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9283219\Desktop\Akanksha\Thailand-Vietnam Bev\Thailand_Data\Simulator\Latest_Version\"/>
    </mc:Choice>
  </mc:AlternateContent>
  <xr:revisionPtr revIDLastSave="0" documentId="13_ncr:1_{FBA47F1F-66E1-4BA4-855F-2921861773AE}" xr6:coauthVersionLast="41" xr6:coauthVersionMax="41" xr10:uidLastSave="{00000000-0000-0000-0000-000000000000}"/>
  <bookViews>
    <workbookView xWindow="-120" yWindow="-120" windowWidth="20730" windowHeight="11160" tabRatio="656" firstSheet="1" activeTab="1" xr2:uid="{B1D2273E-91EB-47C5-AF40-251E8D40C457}"/>
  </bookViews>
  <sheets>
    <sheet name="Queries in simulator" sheetId="1" state="hidden" r:id="rId1"/>
    <sheet name="Simulator2" sheetId="5" r:id="rId2"/>
    <sheet name="Table Format Calculations" sheetId="4" state="hidden" r:id="rId3"/>
    <sheet name="Simulator- Data" sheetId="2" state="hidden" r:id="rId4"/>
    <sheet name="Calculator_Calculations" sheetId="11" state="hidden" r:id="rId5"/>
    <sheet name="Calculator" sheetId="9" r:id="rId6"/>
    <sheet name="Summary" sheetId="13" r:id="rId7"/>
    <sheet name="Table Format Calculations_Blue" sheetId="8" state="hidden" r:id="rId8"/>
    <sheet name="Thai input" sheetId="3" state="hidden" r:id="rId9"/>
  </sheets>
  <definedNames>
    <definedName name="_xlnm._FilterDatabase" localSheetId="5" hidden="1">Calculator!$D$7:$E$13</definedName>
    <definedName name="_xlnm._FilterDatabase" localSheetId="1" hidden="1">Simulator2!$D$7:$E$13</definedName>
    <definedName name="black_check">'Table Format Calculations'!$O$64</definedName>
    <definedName name="DA_Range">Simulator2!$E$18:$G$20</definedName>
    <definedName name="final_result_fe">Simulator2!$K$8:$BU$82</definedName>
    <definedName name="final_results_be">'Thai input'!$F$59:$BP$133</definedName>
    <definedName name="Media_Digital_Range">Simulator2!$E$37:$I$42</definedName>
    <definedName name="Media_KOL_Range">Simulator2!$E$46:$G$49</definedName>
    <definedName name="Media_OOH_Range">Simulator2!$E$59:$G$60</definedName>
    <definedName name="Media_TV_Range">Simulator2!$D$24:$G$33</definedName>
    <definedName name="Mirinda_Digital">Simulator2!$AG$77:$BU$81</definedName>
    <definedName name="Mirinda_KOL">Simulator2!$AG$82:$BU$82</definedName>
    <definedName name="Mirinda_Price_Dist">Simulator2!$AG$64:$BU$65</definedName>
    <definedName name="Mirinda_range1">Calculator!$M$64:$AF$65</definedName>
    <definedName name="Mirinda_range2">Calculator!$M$67:$AF$67</definedName>
    <definedName name="Mirinda_range3">Calculator!$M$70:$AF$74</definedName>
    <definedName name="Mirinda_range4">Calculator!$M$77:$AF$82</definedName>
    <definedName name="Mirinda_sim1">Simulator2!$M$64:$BU$82</definedName>
    <definedName name="Mirinda_Thai_1">'Thai input'!$H$115:$BP$133</definedName>
    <definedName name="Mirinda_Trade">Simulator2!$AG$67:$BU$67</definedName>
    <definedName name="Mirinda_TV">Simulator2!$AG$70:$BU$75</definedName>
    <definedName name="Pepsi_Black_Digital">Simulator2!$AG$53:$BU$56</definedName>
    <definedName name="Pepsi_Black_OOH">Simulator2!$AG$57:$BU$57</definedName>
    <definedName name="Pepsi_black_Price_Dist">Simulator2!$AG$40:$BU$41</definedName>
    <definedName name="Pepsi_Black_range_1">Calculator!$M$40:$AF$41</definedName>
    <definedName name="Pepsi_Black_range2">Calculator!$M$43:$AF$43</definedName>
    <definedName name="Pepsi_Black_range3">Calculator!$M$46:$AF$50</definedName>
    <definedName name="Pepsi_Black_range4">Calculator!$M$53:$AF$57</definedName>
    <definedName name="Pepsi_Black_sim1">Simulator2!$M$40:$BU$57</definedName>
    <definedName name="Pepsi_Black_Thai_1">'Thai input'!$H$91:$BP$108</definedName>
    <definedName name="Pepsi_Black_Trade">Simulator2!$AG$43:$BU$43</definedName>
    <definedName name="Pepsi_Black_TV">Simulator2!$AG$46:$BU$51</definedName>
    <definedName name="Pepsi_Blue_Digital">Simulator2!$AG$26:$BU$29</definedName>
    <definedName name="Pepsi_Blue_KOL">Simulator2!$AG$30:$BU$33</definedName>
    <definedName name="Pepsi_Blue_OOH">Simulator2!$AG$34:$BU$34</definedName>
    <definedName name="Pepsi_Blue_Price_Dist">Simulator2!$AG$13:$BU$14</definedName>
    <definedName name="Pepsi_Blue_range1">Calculator!$M$13:$AF$14</definedName>
    <definedName name="Pepsi_Blue_range2">Calculator!$M$16:$AF$16</definedName>
    <definedName name="Pepsi_Blue_range3">Calculator!$M$19:$AF$23</definedName>
    <definedName name="Pepsi_Blue_range4">Calculator!$M$26:$AF$34</definedName>
    <definedName name="Pepsi_Blue_sim1">Simulator2!$M$13:$BU$34</definedName>
    <definedName name="Pepsi_Blue_Thai_1">'Thai input'!$H$64:$BP$85</definedName>
    <definedName name="Pepsi_Blue_Trade">Simulator2!$AG$16:$BU$16</definedName>
    <definedName name="Pepsi_Blue_TV">Simulator2!$AG$19:$BU$24</definedName>
    <definedName name="solver_adj" localSheetId="5" hidden="1">Calculator!#REF!,Calculator!#REF!</definedName>
    <definedName name="solver_adj" localSheetId="4" hidden="1">Calculator_Calculations!$CM$21:$CN$21,Calculator_Calculations!$DA$21:$DD$21,Calculator_Calculations!$CX$21,Calculator_Calculations!$Z$31,Calculator_Calculations!$M$129:$M$133,Calculator_Calculations!$O$83:$O$87</definedName>
    <definedName name="solver_adj" localSheetId="1" hidden="1">Simulator2!#REF!,Simulator2!#REF!</definedName>
    <definedName name="solver_adj" localSheetId="2" hidden="1">'Table Format Calculations'!$CK$19:$CR$19,'Table Format Calculations'!$Z$29,'Table Format Calculations'!$CT$19:$CU$19,'Table Format Calculations'!$O$54:$O$58,'Table Format Calculations'!$CX$19,'Table Format Calculations'!$M$106:$M$109,'Table Format Calculations'!$CT$20:$CY$20,'Table Format Calculations'!$CM$20,'Table Format Calculations'!$Z$30,'Table Format Calculations'!$O$77,'Table Format Calculations'!$M$118:$M$121</definedName>
    <definedName name="solver_adj" localSheetId="7" hidden="1">'Table Format Calculations_Blue'!$CK$22:$CR$22,'Table Format Calculations_Blue'!$CT$22:$CU$22,'Table Format Calculations_Blue'!$CX$22,'Table Format Calculations_Blue'!$CM$23,'Table Format Calculations_Blue'!$CM$24:$CN$24,'Table Format Calculations_Blue'!$CT$23:$CY$23,'Table Format Calculations_Blue'!$CX$24,'Table Format Calculations_Blue'!$DA$24:$DD$24</definedName>
    <definedName name="solver_cvg" localSheetId="5" hidden="1">0.0001</definedName>
    <definedName name="solver_cvg" localSheetId="4" hidden="1">0.0001</definedName>
    <definedName name="solver_cvg" localSheetId="1" hidden="1">0.0001</definedName>
    <definedName name="solver_cvg" localSheetId="2" hidden="1">0.0001</definedName>
    <definedName name="solver_cvg" localSheetId="7" hidden="1">0.0001</definedName>
    <definedName name="solver_drv" localSheetId="5" hidden="1">2</definedName>
    <definedName name="solver_drv" localSheetId="4" hidden="1">1</definedName>
    <definedName name="solver_drv" localSheetId="1" hidden="1">2</definedName>
    <definedName name="solver_drv" localSheetId="2" hidden="1">1</definedName>
    <definedName name="solver_drv" localSheetId="7" hidden="1">1</definedName>
    <definedName name="solver_eng" localSheetId="5" hidden="1">1</definedName>
    <definedName name="solver_eng" localSheetId="4" hidden="1">1</definedName>
    <definedName name="solver_eng" localSheetId="1" hidden="1">1</definedName>
    <definedName name="solver_eng" localSheetId="2" hidden="1">1</definedName>
    <definedName name="solver_eng" localSheetId="7" hidden="1">1</definedName>
    <definedName name="solver_est" localSheetId="5" hidden="1">1</definedName>
    <definedName name="solver_est" localSheetId="4" hidden="1">1</definedName>
    <definedName name="solver_est" localSheetId="1" hidden="1">1</definedName>
    <definedName name="solver_est" localSheetId="2" hidden="1">1</definedName>
    <definedName name="solver_est" localSheetId="7" hidden="1">1</definedName>
    <definedName name="solver_itr" localSheetId="5" hidden="1">2147483647</definedName>
    <definedName name="solver_itr" localSheetId="4" hidden="1">2147483647</definedName>
    <definedName name="solver_itr" localSheetId="1" hidden="1">2147483647</definedName>
    <definedName name="solver_itr" localSheetId="2" hidden="1">2147483647</definedName>
    <definedName name="solver_itr" localSheetId="7" hidden="1">2147483647</definedName>
    <definedName name="solver_lhs1" localSheetId="5" hidden="1">Calculator!#REF!</definedName>
    <definedName name="solver_lhs1" localSheetId="4" hidden="1">Calculator_Calculations!$Z$31</definedName>
    <definedName name="solver_lhs1" localSheetId="1" hidden="1">Simulator2!#REF!</definedName>
    <definedName name="solver_lhs1" localSheetId="2" hidden="1">'Table Format Calculations'!$Z$29</definedName>
    <definedName name="solver_lhs1" localSheetId="7" hidden="1">'Table Format Calculations_Blue'!$CK$22:$CR$22</definedName>
    <definedName name="solver_lhs10" localSheetId="5" hidden="1">Calculator!#REF!</definedName>
    <definedName name="solver_lhs10" localSheetId="4" hidden="1">Calculator_Calculations!$O$134</definedName>
    <definedName name="solver_lhs10" localSheetId="1" hidden="1">Simulator2!#REF!</definedName>
    <definedName name="solver_lhs10" localSheetId="2" hidden="1">'Table Format Calculations'!$CT$19:$CU$19</definedName>
    <definedName name="solver_lhs10" localSheetId="7" hidden="1">'Table Format Calculations_Blue'!$CM$24:$CN$24</definedName>
    <definedName name="solver_lhs11" localSheetId="4" hidden="1">Calculator_Calculations!$M$129:$M$133</definedName>
    <definedName name="solver_lhs11" localSheetId="2" hidden="1">'Table Format Calculations'!$CX$19</definedName>
    <definedName name="solver_lhs11" localSheetId="7" hidden="1">'Table Format Calculations_Blue'!$CT$23:$CY$23</definedName>
    <definedName name="solver_lhs12" localSheetId="4" hidden="1">Calculator_Calculations!$O$92</definedName>
    <definedName name="solver_lhs12" localSheetId="2" hidden="1">'Table Format Calculations'!$CX$19</definedName>
    <definedName name="solver_lhs12" localSheetId="7" hidden="1">'Table Format Calculations_Blue'!$CT$23:$CY$23</definedName>
    <definedName name="solver_lhs13" localSheetId="4" hidden="1">Calculator_Calculations!$CM$21:$CN$21</definedName>
    <definedName name="solver_lhs13" localSheetId="2" hidden="1">'Table Format Calculations'!$CT$20:$CY$20</definedName>
    <definedName name="solver_lhs13" localSheetId="7" hidden="1">'Table Format Calculations_Blue'!$CX$24</definedName>
    <definedName name="solver_lhs14" localSheetId="4" hidden="1">Calculator_Calculations!$DG$28</definedName>
    <definedName name="solver_lhs14" localSheetId="2" hidden="1">'Table Format Calculations'!$CT$20:$CY$20</definedName>
    <definedName name="solver_lhs14" localSheetId="7" hidden="1">'Table Format Calculations_Blue'!$CX$24</definedName>
    <definedName name="solver_lhs15" localSheetId="4" hidden="1">Calculator_Calculations!$DG$27</definedName>
    <definedName name="solver_lhs15" localSheetId="2" hidden="1">'Table Format Calculations'!$CM$20</definedName>
    <definedName name="solver_lhs15" localSheetId="7" hidden="1">'Table Format Calculations_Blue'!$DA$24:$DD$24</definedName>
    <definedName name="solver_lhs16" localSheetId="4" hidden="1">Calculator_Calculations!$DA$24:$DD$24</definedName>
    <definedName name="solver_lhs16" localSheetId="2" hidden="1">'Table Format Calculations'!$CM$20</definedName>
    <definedName name="solver_lhs16" localSheetId="7" hidden="1">'Table Format Calculations_Blue'!$DA$24:$DD$24</definedName>
    <definedName name="solver_lhs17" localSheetId="4" hidden="1">Calculator_Calculations!$M$111</definedName>
    <definedName name="solver_lhs17" localSheetId="2" hidden="1">'Table Format Calculations'!$O$63</definedName>
    <definedName name="solver_lhs17" localSheetId="7" hidden="1">'Table Format Calculations_Blue'!$N$154:$N$156</definedName>
    <definedName name="solver_lhs18" localSheetId="4" hidden="1">Calculator_Calculations!$M$123</definedName>
    <definedName name="solver_lhs18" localSheetId="2" hidden="1">'Table Format Calculations'!$O$77</definedName>
    <definedName name="solver_lhs18" localSheetId="7" hidden="1">'Table Format Calculations_Blue'!$N$154:$N$156</definedName>
    <definedName name="solver_lhs19" localSheetId="4" hidden="1">Calculator_Calculations!$M$135</definedName>
    <definedName name="solver_lhs19" localSheetId="2" hidden="1">'Table Format Calculations'!$O$110</definedName>
    <definedName name="solver_lhs19" localSheetId="7" hidden="1">'Table Format Calculations_Blue'!$M$135</definedName>
    <definedName name="solver_lhs2" localSheetId="5" hidden="1">Calculator!#REF!</definedName>
    <definedName name="solver_lhs2" localSheetId="4" hidden="1">Calculator_Calculations!$Z$31</definedName>
    <definedName name="solver_lhs2" localSheetId="1" hidden="1">Simulator2!#REF!</definedName>
    <definedName name="solver_lhs2" localSheetId="2" hidden="1">'Table Format Calculations'!$Z$29</definedName>
    <definedName name="solver_lhs2" localSheetId="7" hidden="1">'Table Format Calculations_Blue'!$CK$22:$CR$22</definedName>
    <definedName name="solver_lhs20" localSheetId="4" hidden="1">Calculator_Calculations!$O$110</definedName>
    <definedName name="solver_lhs20" localSheetId="2" hidden="1">'Table Format Calculations'!$M$106:$M$109</definedName>
    <definedName name="solver_lhs20" localSheetId="7" hidden="1">'Table Format Calculations_Blue'!$O$110</definedName>
    <definedName name="solver_lhs21" localSheetId="4" hidden="1">Calculator_Calculations!$O$134</definedName>
    <definedName name="solver_lhs21" localSheetId="2" hidden="1">'Table Format Calculations'!$O$122</definedName>
    <definedName name="solver_lhs21" localSheetId="7" hidden="1">'Table Format Calculations_Blue'!$O$134</definedName>
    <definedName name="solver_lhs22" localSheetId="4" hidden="1">Calculator_Calculations!$O$122</definedName>
    <definedName name="solver_lhs22" localSheetId="2" hidden="1">'Table Format Calculations'!$M$118:$M$121</definedName>
    <definedName name="solver_lhs22" localSheetId="7" hidden="1">'Table Format Calculations_Blue'!$O$122</definedName>
    <definedName name="solver_lhs23" localSheetId="4" hidden="1">Calculator_Calculations!$P$74</definedName>
    <definedName name="solver_lhs23" localSheetId="2" hidden="1">'Table Format Calculations'!$P$74</definedName>
    <definedName name="solver_lhs23" localSheetId="7" hidden="1">'Table Format Calculations_Blue'!$P$74</definedName>
    <definedName name="solver_lhs24" localSheetId="4" hidden="1">Calculator_Calculations!$P$60</definedName>
    <definedName name="solver_lhs24" localSheetId="2" hidden="1">'Table Format Calculations'!$P$60</definedName>
    <definedName name="solver_lhs24" localSheetId="7" hidden="1">'Table Format Calculations_Blue'!$P$60</definedName>
    <definedName name="solver_lhs25" localSheetId="4" hidden="1">Calculator_Calculations!$Z$31</definedName>
    <definedName name="solver_lhs25" localSheetId="2" hidden="1">'Table Format Calculations'!$Z$31</definedName>
    <definedName name="solver_lhs25" localSheetId="7" hidden="1">'Table Format Calculations_Blue'!$Z$31</definedName>
    <definedName name="solver_lhs26" localSheetId="4" hidden="1">Calculator_Calculations!$Z$29</definedName>
    <definedName name="solver_lhs26" localSheetId="2" hidden="1">'Table Format Calculations'!$Z$29</definedName>
    <definedName name="solver_lhs26" localSheetId="7" hidden="1">'Table Format Calculations_Blue'!$Z$29</definedName>
    <definedName name="solver_lhs27" localSheetId="4" hidden="1">Calculator_Calculations!$Z$31</definedName>
    <definedName name="solver_lhs27" localSheetId="2" hidden="1">'Table Format Calculations'!$Z$31</definedName>
    <definedName name="solver_lhs27" localSheetId="7" hidden="1">'Table Format Calculations_Blue'!$Z$31</definedName>
    <definedName name="solver_lhs28" localSheetId="4" hidden="1">Calculator_Calculations!$Z$30</definedName>
    <definedName name="solver_lhs28" localSheetId="2" hidden="1">'Table Format Calculations'!$Z$30</definedName>
    <definedName name="solver_lhs28" localSheetId="7" hidden="1">'Table Format Calculations_Blue'!$Z$30</definedName>
    <definedName name="solver_lhs29" localSheetId="4" hidden="1">Calculator_Calculations!$Z$30</definedName>
    <definedName name="solver_lhs29" localSheetId="2" hidden="1">'Table Format Calculations'!$Z$30</definedName>
    <definedName name="solver_lhs29" localSheetId="7" hidden="1">'Table Format Calculations_Blue'!$Z$30</definedName>
    <definedName name="solver_lhs3" localSheetId="5" hidden="1">Calculator!#REF!</definedName>
    <definedName name="solver_lhs3" localSheetId="4" hidden="1">Calculator_Calculations!$AC$31</definedName>
    <definedName name="solver_lhs3" localSheetId="1" hidden="1">Simulator2!#REF!</definedName>
    <definedName name="solver_lhs3" localSheetId="2" hidden="1">'Table Format Calculations'!$Z$30</definedName>
    <definedName name="solver_lhs3" localSheetId="7" hidden="1">'Table Format Calculations_Blue'!$CT$22:$CU$22</definedName>
    <definedName name="solver_lhs30" localSheetId="4" hidden="1">Calculator_Calculations!$P$89</definedName>
    <definedName name="solver_lhs30" localSheetId="2" hidden="1">'Table Format Calculations'!$P$89</definedName>
    <definedName name="solver_lhs30" localSheetId="7" hidden="1">'Table Format Calculations_Blue'!$P$89</definedName>
    <definedName name="solver_lhs31" localSheetId="4" hidden="1">Calculator_Calculations!$CK$19:$CR$19</definedName>
    <definedName name="solver_lhs31" localSheetId="2" hidden="1">'Table Format Calculations'!$CK$19:$CR$19</definedName>
    <definedName name="solver_lhs31" localSheetId="7" hidden="1">'Table Format Calculations_Blue'!$CK$19:$CR$19</definedName>
    <definedName name="solver_lhs32" localSheetId="4" hidden="1">Calculator_Calculations!$Z$29</definedName>
    <definedName name="solver_lhs32" localSheetId="2" hidden="1">'Table Format Calculations'!$Z$29</definedName>
    <definedName name="solver_lhs32" localSheetId="7" hidden="1">'Table Format Calculations_Blue'!$Z$29</definedName>
    <definedName name="solver_lhs33" localSheetId="4" hidden="1">Calculator_Calculations!$CX$21</definedName>
    <definedName name="solver_lhs33" localSheetId="2" hidden="1">'Table Format Calculations'!$CX$21</definedName>
    <definedName name="solver_lhs33" localSheetId="7" hidden="1">'Table Format Calculations_Blue'!$CX$21</definedName>
    <definedName name="solver_lhs34" localSheetId="4" hidden="1">Calculator_Calculations!$CX$21</definedName>
    <definedName name="solver_lhs34" localSheetId="2" hidden="1">'Table Format Calculations'!$CX$21</definedName>
    <definedName name="solver_lhs34" localSheetId="7" hidden="1">'Table Format Calculations_Blue'!$CX$21</definedName>
    <definedName name="solver_lhs35" localSheetId="4" hidden="1">Calculator_Calculations!$CX$21</definedName>
    <definedName name="solver_lhs35" localSheetId="2" hidden="1">'Table Format Calculations'!$CX$21</definedName>
    <definedName name="solver_lhs35" localSheetId="7" hidden="1">'Table Format Calculations_Blue'!$CX$21</definedName>
    <definedName name="solver_lhs4" localSheetId="5" hidden="1">Calculator!#REF!</definedName>
    <definedName name="solver_lhs4" localSheetId="4" hidden="1">Calculator_Calculations!$CM$21:$CN$21</definedName>
    <definedName name="solver_lhs4" localSheetId="1" hidden="1">Simulator2!#REF!</definedName>
    <definedName name="solver_lhs4" localSheetId="2" hidden="1">'Table Format Calculations'!$Z$30</definedName>
    <definedName name="solver_lhs4" localSheetId="7" hidden="1">'Table Format Calculations_Blue'!$CT$22:$CU$22</definedName>
    <definedName name="solver_lhs5" localSheetId="5" hidden="1">Calculator!#REF!</definedName>
    <definedName name="solver_lhs5" localSheetId="4" hidden="1">Calculator_Calculations!$CM$21:$CN$21</definedName>
    <definedName name="solver_lhs5" localSheetId="1" hidden="1">Simulator2!#REF!</definedName>
    <definedName name="solver_lhs5" localSheetId="2" hidden="1">'Table Format Calculations'!$AC$29</definedName>
    <definedName name="solver_lhs5" localSheetId="7" hidden="1">'Table Format Calculations_Blue'!$CX$22</definedName>
    <definedName name="solver_lhs6" localSheetId="5" hidden="1">Calculator!#REF!</definedName>
    <definedName name="solver_lhs6" localSheetId="4" hidden="1">Calculator_Calculations!$DA$21:$DD$21</definedName>
    <definedName name="solver_lhs6" localSheetId="1" hidden="1">Simulator2!#REF!</definedName>
    <definedName name="solver_lhs6" localSheetId="2" hidden="1">'Table Format Calculations'!$AC$30</definedName>
    <definedName name="solver_lhs6" localSheetId="7" hidden="1">'Table Format Calculations_Blue'!$CX$22</definedName>
    <definedName name="solver_lhs7" localSheetId="5" hidden="1">Calculator!#REF!</definedName>
    <definedName name="solver_lhs7" localSheetId="4" hidden="1">Calculator_Calculations!$DA$21:$DD$21</definedName>
    <definedName name="solver_lhs7" localSheetId="1" hidden="1">Simulator2!#REF!</definedName>
    <definedName name="solver_lhs7" localSheetId="2" hidden="1">'Table Format Calculations'!$CK$19:$CR$19</definedName>
    <definedName name="solver_lhs7" localSheetId="7" hidden="1">'Table Format Calculations_Blue'!$CM$23</definedName>
    <definedName name="solver_lhs8" localSheetId="5" hidden="1">Calculator!#REF!</definedName>
    <definedName name="solver_lhs8" localSheetId="4" hidden="1">Calculator_Calculations!$CX$21</definedName>
    <definedName name="solver_lhs8" localSheetId="1" hidden="1">Simulator2!#REF!</definedName>
    <definedName name="solver_lhs8" localSheetId="2" hidden="1">'Table Format Calculations'!$CK$19:$CR$19</definedName>
    <definedName name="solver_lhs8" localSheetId="7" hidden="1">'Table Format Calculations_Blue'!$CM$23</definedName>
    <definedName name="solver_lhs9" localSheetId="5" hidden="1">Calculator!#REF!</definedName>
    <definedName name="solver_lhs9" localSheetId="4" hidden="1">Calculator_Calculations!$CX$21</definedName>
    <definedName name="solver_lhs9" localSheetId="1" hidden="1">Simulator2!#REF!</definedName>
    <definedName name="solver_lhs9" localSheetId="2" hidden="1">'Table Format Calculations'!$CT$19:$CU$19</definedName>
    <definedName name="solver_lhs9" localSheetId="7" hidden="1">'Table Format Calculations_Blue'!$CM$24:$CN$24</definedName>
    <definedName name="solver_mip" localSheetId="5" hidden="1">2147483647</definedName>
    <definedName name="solver_mip" localSheetId="4" hidden="1">2147483647</definedName>
    <definedName name="solver_mip" localSheetId="1" hidden="1">2147483647</definedName>
    <definedName name="solver_mip" localSheetId="2" hidden="1">2147483647</definedName>
    <definedName name="solver_mip" localSheetId="7" hidden="1">2147483647</definedName>
    <definedName name="solver_mni" localSheetId="5" hidden="1">30</definedName>
    <definedName name="solver_mni" localSheetId="4" hidden="1">30</definedName>
    <definedName name="solver_mni" localSheetId="1" hidden="1">30</definedName>
    <definedName name="solver_mni" localSheetId="2" hidden="1">30</definedName>
    <definedName name="solver_mni" localSheetId="7" hidden="1">30</definedName>
    <definedName name="solver_mrt" localSheetId="5" hidden="1">0.075</definedName>
    <definedName name="solver_mrt" localSheetId="4" hidden="1">0.075</definedName>
    <definedName name="solver_mrt" localSheetId="1" hidden="1">0.075</definedName>
    <definedName name="solver_mrt" localSheetId="2" hidden="1">0.075</definedName>
    <definedName name="solver_mrt" localSheetId="7" hidden="1">0.075</definedName>
    <definedName name="solver_msl" localSheetId="5" hidden="1">2</definedName>
    <definedName name="solver_msl" localSheetId="4" hidden="1">2</definedName>
    <definedName name="solver_msl" localSheetId="1" hidden="1">2</definedName>
    <definedName name="solver_msl" localSheetId="2" hidden="1">2</definedName>
    <definedName name="solver_msl" localSheetId="7" hidden="1">2</definedName>
    <definedName name="solver_neg" localSheetId="5" hidden="1">1</definedName>
    <definedName name="solver_neg" localSheetId="4" hidden="1">1</definedName>
    <definedName name="solver_neg" localSheetId="1" hidden="1">1</definedName>
    <definedName name="solver_neg" localSheetId="2" hidden="1">1</definedName>
    <definedName name="solver_neg" localSheetId="7" hidden="1">1</definedName>
    <definedName name="solver_nod" localSheetId="5" hidden="1">2147483647</definedName>
    <definedName name="solver_nod" localSheetId="4" hidden="1">2147483647</definedName>
    <definedName name="solver_nod" localSheetId="1" hidden="1">2147483647</definedName>
    <definedName name="solver_nod" localSheetId="2" hidden="1">2147483647</definedName>
    <definedName name="solver_nod" localSheetId="7" hidden="1">2147483647</definedName>
    <definedName name="solver_num" localSheetId="5" hidden="1">10</definedName>
    <definedName name="solver_num" localSheetId="4" hidden="1">12</definedName>
    <definedName name="solver_num" localSheetId="1" hidden="1">10</definedName>
    <definedName name="solver_num" localSheetId="2" hidden="1">22</definedName>
    <definedName name="solver_num" localSheetId="7" hidden="1">17</definedName>
    <definedName name="solver_nwt" localSheetId="5" hidden="1">1</definedName>
    <definedName name="solver_nwt" localSheetId="4" hidden="1">1</definedName>
    <definedName name="solver_nwt" localSheetId="1" hidden="1">1</definedName>
    <definedName name="solver_nwt" localSheetId="2" hidden="1">1</definedName>
    <definedName name="solver_nwt" localSheetId="7" hidden="1">1</definedName>
    <definedName name="solver_opt" localSheetId="5" hidden="1">Calculator!#REF!</definedName>
    <definedName name="solver_opt" localSheetId="4" hidden="1">Calculator_Calculations!$AF$31</definedName>
    <definedName name="solver_opt" localSheetId="1" hidden="1">Simulator2!#REF!</definedName>
    <definedName name="solver_opt" localSheetId="2" hidden="1">'Table Format Calculations'!$AF$34</definedName>
    <definedName name="solver_opt" localSheetId="7" hidden="1">'Table Format Calculations_Blue'!$Q$162</definedName>
    <definedName name="solver_pre" localSheetId="5" hidden="1">0.000001</definedName>
    <definedName name="solver_pre" localSheetId="4" hidden="1">0.000001</definedName>
    <definedName name="solver_pre" localSheetId="1" hidden="1">0.000001</definedName>
    <definedName name="solver_pre" localSheetId="2" hidden="1">0.000001</definedName>
    <definedName name="solver_pre" localSheetId="7" hidden="1">0.000001</definedName>
    <definedName name="solver_rbv" localSheetId="5" hidden="1">2</definedName>
    <definedName name="solver_rbv" localSheetId="4" hidden="1">1</definedName>
    <definedName name="solver_rbv" localSheetId="1" hidden="1">2</definedName>
    <definedName name="solver_rbv" localSheetId="2" hidden="1">1</definedName>
    <definedName name="solver_rbv" localSheetId="7" hidden="1">1</definedName>
    <definedName name="solver_rel1" localSheetId="5" hidden="1">3</definedName>
    <definedName name="solver_rel1" localSheetId="4" hidden="1">1</definedName>
    <definedName name="solver_rel1" localSheetId="1" hidden="1">3</definedName>
    <definedName name="solver_rel1" localSheetId="2" hidden="1">1</definedName>
    <definedName name="solver_rel1" localSheetId="7" hidden="1">1</definedName>
    <definedName name="solver_rel10" localSheetId="5" hidden="1">3</definedName>
    <definedName name="solver_rel10" localSheetId="4" hidden="1">1</definedName>
    <definedName name="solver_rel10" localSheetId="1" hidden="1">3</definedName>
    <definedName name="solver_rel10" localSheetId="2" hidden="1">3</definedName>
    <definedName name="solver_rel10" localSheetId="7" hidden="1">3</definedName>
    <definedName name="solver_rel11" localSheetId="4" hidden="1">3</definedName>
    <definedName name="solver_rel11" localSheetId="2" hidden="1">1</definedName>
    <definedName name="solver_rel11" localSheetId="7" hidden="1">1</definedName>
    <definedName name="solver_rel12" localSheetId="4" hidden="1">1</definedName>
    <definedName name="solver_rel12" localSheetId="2" hidden="1">3</definedName>
    <definedName name="solver_rel12" localSheetId="7" hidden="1">3</definedName>
    <definedName name="solver_rel13" localSheetId="4" hidden="1">1</definedName>
    <definedName name="solver_rel13" localSheetId="2" hidden="1">1</definedName>
    <definedName name="solver_rel13" localSheetId="7" hidden="1">1</definedName>
    <definedName name="solver_rel14" localSheetId="4" hidden="1">3</definedName>
    <definedName name="solver_rel14" localSheetId="2" hidden="1">3</definedName>
    <definedName name="solver_rel14" localSheetId="7" hidden="1">3</definedName>
    <definedName name="solver_rel15" localSheetId="4" hidden="1">3</definedName>
    <definedName name="solver_rel15" localSheetId="2" hidden="1">1</definedName>
    <definedName name="solver_rel15" localSheetId="7" hidden="1">1</definedName>
    <definedName name="solver_rel16" localSheetId="4" hidden="1">1</definedName>
    <definedName name="solver_rel16" localSheetId="2" hidden="1">3</definedName>
    <definedName name="solver_rel16" localSheetId="7" hidden="1">3</definedName>
    <definedName name="solver_rel17" localSheetId="4" hidden="1">3</definedName>
    <definedName name="solver_rel17" localSheetId="2" hidden="1">1</definedName>
    <definedName name="solver_rel17" localSheetId="7" hidden="1">2</definedName>
    <definedName name="solver_rel18" localSheetId="4" hidden="1">3</definedName>
    <definedName name="solver_rel18" localSheetId="2" hidden="1">1</definedName>
    <definedName name="solver_rel18" localSheetId="7" hidden="1">2</definedName>
    <definedName name="solver_rel19" localSheetId="4" hidden="1">3</definedName>
    <definedName name="solver_rel19" localSheetId="2" hidden="1">1</definedName>
    <definedName name="solver_rel19" localSheetId="7" hidden="1">3</definedName>
    <definedName name="solver_rel2" localSheetId="5" hidden="1">1</definedName>
    <definedName name="solver_rel2" localSheetId="4" hidden="1">3</definedName>
    <definedName name="solver_rel2" localSheetId="1" hidden="1">1</definedName>
    <definedName name="solver_rel2" localSheetId="2" hidden="1">3</definedName>
    <definedName name="solver_rel2" localSheetId="7" hidden="1">3</definedName>
    <definedName name="solver_rel20" localSheetId="4" hidden="1">1</definedName>
    <definedName name="solver_rel20" localSheetId="2" hidden="1">3</definedName>
    <definedName name="solver_rel20" localSheetId="7" hidden="1">1</definedName>
    <definedName name="solver_rel21" localSheetId="4" hidden="1">1</definedName>
    <definedName name="solver_rel21" localSheetId="2" hidden="1">1</definedName>
    <definedName name="solver_rel21" localSheetId="7" hidden="1">1</definedName>
    <definedName name="solver_rel22" localSheetId="4" hidden="1">1</definedName>
    <definedName name="solver_rel22" localSheetId="2" hidden="1">3</definedName>
    <definedName name="solver_rel22" localSheetId="7" hidden="1">1</definedName>
    <definedName name="solver_rel23" localSheetId="4" hidden="1">1</definedName>
    <definedName name="solver_rel23" localSheetId="2" hidden="1">1</definedName>
    <definedName name="solver_rel23" localSheetId="7" hidden="1">1</definedName>
    <definedName name="solver_rel24" localSheetId="4" hidden="1">1</definedName>
    <definedName name="solver_rel24" localSheetId="2" hidden="1">1</definedName>
    <definedName name="solver_rel24" localSheetId="7" hidden="1">1</definedName>
    <definedName name="solver_rel25" localSheetId="4" hidden="1">1</definedName>
    <definedName name="solver_rel25" localSheetId="2" hidden="1">1</definedName>
    <definedName name="solver_rel25" localSheetId="7" hidden="1">1</definedName>
    <definedName name="solver_rel26" localSheetId="4" hidden="1">1</definedName>
    <definedName name="solver_rel26" localSheetId="2" hidden="1">1</definedName>
    <definedName name="solver_rel26" localSheetId="7" hidden="1">1</definedName>
    <definedName name="solver_rel27" localSheetId="4" hidden="1">3</definedName>
    <definedName name="solver_rel27" localSheetId="2" hidden="1">3</definedName>
    <definedName name="solver_rel27" localSheetId="7" hidden="1">3</definedName>
    <definedName name="solver_rel28" localSheetId="4" hidden="1">3</definedName>
    <definedName name="solver_rel28" localSheetId="2" hidden="1">3</definedName>
    <definedName name="solver_rel28" localSheetId="7" hidden="1">3</definedName>
    <definedName name="solver_rel29" localSheetId="4" hidden="1">1</definedName>
    <definedName name="solver_rel29" localSheetId="2" hidden="1">1</definedName>
    <definedName name="solver_rel29" localSheetId="7" hidden="1">1</definedName>
    <definedName name="solver_rel3" localSheetId="5" hidden="1">2</definedName>
    <definedName name="solver_rel3" localSheetId="4" hidden="1">2</definedName>
    <definedName name="solver_rel3" localSheetId="1" hidden="1">2</definedName>
    <definedName name="solver_rel3" localSheetId="2" hidden="1">1</definedName>
    <definedName name="solver_rel3" localSheetId="7" hidden="1">1</definedName>
    <definedName name="solver_rel30" localSheetId="4" hidden="1">1</definedName>
    <definedName name="solver_rel30" localSheetId="2" hidden="1">1</definedName>
    <definedName name="solver_rel30" localSheetId="7" hidden="1">1</definedName>
    <definedName name="solver_rel31" localSheetId="4" hidden="1">1</definedName>
    <definedName name="solver_rel31" localSheetId="2" hidden="1">1</definedName>
    <definedName name="solver_rel31" localSheetId="7" hidden="1">1</definedName>
    <definedName name="solver_rel32" localSheetId="4" hidden="1">3</definedName>
    <definedName name="solver_rel32" localSheetId="2" hidden="1">3</definedName>
    <definedName name="solver_rel32" localSheetId="7" hidden="1">3</definedName>
    <definedName name="solver_rel33" localSheetId="4" hidden="1">1</definedName>
    <definedName name="solver_rel33" localSheetId="2" hidden="1">1</definedName>
    <definedName name="solver_rel33" localSheetId="7" hidden="1">1</definedName>
    <definedName name="solver_rel34" localSheetId="4" hidden="1">1</definedName>
    <definedName name="solver_rel34" localSheetId="2" hidden="1">1</definedName>
    <definedName name="solver_rel34" localSheetId="7" hidden="1">1</definedName>
    <definedName name="solver_rel35" localSheetId="4" hidden="1">1</definedName>
    <definedName name="solver_rel35" localSheetId="2" hidden="1">1</definedName>
    <definedName name="solver_rel35" localSheetId="7" hidden="1">1</definedName>
    <definedName name="solver_rel4" localSheetId="5" hidden="1">1</definedName>
    <definedName name="solver_rel4" localSheetId="4" hidden="1">3</definedName>
    <definedName name="solver_rel4" localSheetId="1" hidden="1">1</definedName>
    <definedName name="solver_rel4" localSheetId="2" hidden="1">3</definedName>
    <definedName name="solver_rel4" localSheetId="7" hidden="1">3</definedName>
    <definedName name="solver_rel5" localSheetId="5" hidden="1">2</definedName>
    <definedName name="solver_rel5" localSheetId="4" hidden="1">1</definedName>
    <definedName name="solver_rel5" localSheetId="1" hidden="1">2</definedName>
    <definedName name="solver_rel5" localSheetId="2" hidden="1">2</definedName>
    <definedName name="solver_rel5" localSheetId="7" hidden="1">1</definedName>
    <definedName name="solver_rel6" localSheetId="5" hidden="1">1</definedName>
    <definedName name="solver_rel6" localSheetId="4" hidden="1">3</definedName>
    <definedName name="solver_rel6" localSheetId="1" hidden="1">1</definedName>
    <definedName name="solver_rel6" localSheetId="2" hidden="1">2</definedName>
    <definedName name="solver_rel6" localSheetId="7" hidden="1">3</definedName>
    <definedName name="solver_rel7" localSheetId="5" hidden="1">3</definedName>
    <definedName name="solver_rel7" localSheetId="4" hidden="1">1</definedName>
    <definedName name="solver_rel7" localSheetId="1" hidden="1">3</definedName>
    <definedName name="solver_rel7" localSheetId="2" hidden="1">1</definedName>
    <definedName name="solver_rel7" localSheetId="7" hidden="1">1</definedName>
    <definedName name="solver_rel8" localSheetId="5" hidden="1">2</definedName>
    <definedName name="solver_rel8" localSheetId="4" hidden="1">3</definedName>
    <definedName name="solver_rel8" localSheetId="1" hidden="1">2</definedName>
    <definedName name="solver_rel8" localSheetId="2" hidden="1">3</definedName>
    <definedName name="solver_rel8" localSheetId="7" hidden="1">3</definedName>
    <definedName name="solver_rel9" localSheetId="5" hidden="1">2</definedName>
    <definedName name="solver_rel9" localSheetId="4" hidden="1">1</definedName>
    <definedName name="solver_rel9" localSheetId="1" hidden="1">2</definedName>
    <definedName name="solver_rel9" localSheetId="2" hidden="1">1</definedName>
    <definedName name="solver_rel9" localSheetId="7" hidden="1">1</definedName>
    <definedName name="solver_rhs1" localSheetId="5" hidden="1">0</definedName>
    <definedName name="solver_rhs1" localSheetId="4" hidden="1">Calculator_Calculations!$L$31</definedName>
    <definedName name="solver_rhs1" localSheetId="1" hidden="1">0</definedName>
    <definedName name="solver_rhs1" localSheetId="2" hidden="1">'Table Format Calculations'!$L$29</definedName>
    <definedName name="solver_rhs1" localSheetId="7" hidden="1">'Table Format Calculations_Blue'!$I$2:$P$2</definedName>
    <definedName name="solver_rhs10" localSheetId="5" hidden="1">0</definedName>
    <definedName name="solver_rhs10" localSheetId="4" hidden="1">Calculator_Calculations!$Q$127</definedName>
    <definedName name="solver_rhs10" localSheetId="1" hidden="1">0</definedName>
    <definedName name="solver_rhs10" localSheetId="2" hidden="1">'Table Format Calculations'!$CT$4:$CU$4</definedName>
    <definedName name="solver_rhs10" localSheetId="7" hidden="1">'Table Format Calculations_Blue'!$K$24:$L$24</definedName>
    <definedName name="solver_rhs11" localSheetId="4" hidden="1">Calculator_Calculations!$K$129:$K$133</definedName>
    <definedName name="solver_rhs11" localSheetId="2" hidden="1">'Table Format Calculations'!$V$19</definedName>
    <definedName name="solver_rhs11" localSheetId="7" hidden="1">'Table Format Calculations_Blue'!$R$3:$W$3</definedName>
    <definedName name="solver_rhs12" localSheetId="4" hidden="1">Calculator_Calculations!$N$92</definedName>
    <definedName name="solver_rhs12" localSheetId="2" hidden="1">'Table Format Calculations'!$CX$4</definedName>
    <definedName name="solver_rhs12" localSheetId="7" hidden="1">'Table Format Calculations_Blue'!$R$23:$W$23</definedName>
    <definedName name="solver_rhs13" localSheetId="4" hidden="1">Calculator_Calculations!$CM$6:$CN$6</definedName>
    <definedName name="solver_rhs13" localSheetId="2" hidden="1">'Table Format Calculations'!$R$20:$W$20</definedName>
    <definedName name="solver_rhs13" localSheetId="7" hidden="1">'Table Format Calculations_Blue'!$V$4</definedName>
    <definedName name="solver_rhs14" localSheetId="4" hidden="1">-100%</definedName>
    <definedName name="solver_rhs14" localSheetId="2" hidden="1">'Table Format Calculations'!$CT$5:$CY$5</definedName>
    <definedName name="solver_rhs14" localSheetId="7" hidden="1">'Table Format Calculations_Blue'!$V$24</definedName>
    <definedName name="solver_rhs15" localSheetId="4" hidden="1">0%</definedName>
    <definedName name="solver_rhs15" localSheetId="2" hidden="1">'Table Format Calculations'!$K$20</definedName>
    <definedName name="solver_rhs15" localSheetId="7" hidden="1">'Table Format Calculations_Blue'!$Y$4:$AB$4</definedName>
    <definedName name="solver_rhs16" localSheetId="4" hidden="1">Calculator_Calculations!$Y$4:$AB$4</definedName>
    <definedName name="solver_rhs16" localSheetId="2" hidden="1">'Table Format Calculations'!$CM$5</definedName>
    <definedName name="solver_rhs16" localSheetId="7" hidden="1">'Table Format Calculations_Blue'!$Y$24:$AB$24</definedName>
    <definedName name="solver_rhs17" localSheetId="4" hidden="1">Calculator_Calculations!$K$111</definedName>
    <definedName name="solver_rhs17" localSheetId="2" hidden="1">'Table Format Calculations'!$N$63</definedName>
    <definedName name="solver_rhs17" localSheetId="7" hidden="1">'Table Format Calculations_Blue'!$K$154:$K$156</definedName>
    <definedName name="solver_rhs18" localSheetId="4" hidden="1">Calculator_Calculations!$K$123</definedName>
    <definedName name="solver_rhs18" localSheetId="2" hidden="1">'Table Format Calculations'!$N$77</definedName>
    <definedName name="solver_rhs18" localSheetId="7" hidden="1">'Table Format Calculations_Blue'!$K$154:$K$156</definedName>
    <definedName name="solver_rhs19" localSheetId="4" hidden="1">Calculator_Calculations!$K$135</definedName>
    <definedName name="solver_rhs19" localSheetId="2" hidden="1">'Table Format Calculations'!$Q$104</definedName>
    <definedName name="solver_rhs19" localSheetId="7" hidden="1">'Table Format Calculations_Blue'!$K$135</definedName>
    <definedName name="solver_rhs2" localSheetId="5" hidden="1">Calculator!$A$19</definedName>
    <definedName name="solver_rhs2" localSheetId="4" hidden="1">Calculator_Calculations!$H$31</definedName>
    <definedName name="solver_rhs2" localSheetId="1" hidden="1">Simulator2!$A$19</definedName>
    <definedName name="solver_rhs2" localSheetId="2" hidden="1">'Table Format Calculations'!$H$29</definedName>
    <definedName name="solver_rhs2" localSheetId="7" hidden="1">'Table Format Calculations_Blue'!$I$22:$P$22</definedName>
    <definedName name="solver_rhs20" localSheetId="4" hidden="1">Calculator_Calculations!$Q$104</definedName>
    <definedName name="solver_rhs20" localSheetId="2" hidden="1">'Table Format Calculations'!$K$106:$K$109</definedName>
    <definedName name="solver_rhs20" localSheetId="7" hidden="1">'Table Format Calculations_Blue'!$Q$104</definedName>
    <definedName name="solver_rhs21" localSheetId="4" hidden="1">Calculator_Calculations!$Q$127</definedName>
    <definedName name="solver_rhs21" localSheetId="2" hidden="1">'Table Format Calculations'!$Q$116</definedName>
    <definedName name="solver_rhs21" localSheetId="7" hidden="1">'Table Format Calculations_Blue'!$Q$127</definedName>
    <definedName name="solver_rhs22" localSheetId="4" hidden="1">Calculator_Calculations!$Q$116</definedName>
    <definedName name="solver_rhs22" localSheetId="2" hidden="1">'Table Format Calculations'!$K$118:$K$121</definedName>
    <definedName name="solver_rhs22" localSheetId="7" hidden="1">'Table Format Calculations_Blue'!$Q$116</definedName>
    <definedName name="solver_rhs23" localSheetId="4" hidden="1">Calculator_Calculations!$M$30</definedName>
    <definedName name="solver_rhs23" localSheetId="2" hidden="1">'Table Format Calculations'!$M$30</definedName>
    <definedName name="solver_rhs23" localSheetId="7" hidden="1">'Table Format Calculations_Blue'!$M$30</definedName>
    <definedName name="solver_rhs24" localSheetId="4" hidden="1">Calculator_Calculations!$M$29</definedName>
    <definedName name="solver_rhs24" localSheetId="2" hidden="1">'Table Format Calculations'!$M$29</definedName>
    <definedName name="solver_rhs24" localSheetId="7" hidden="1">'Table Format Calculations_Blue'!$M$29</definedName>
    <definedName name="solver_rhs25" localSheetId="4" hidden="1">Calculator_Calculations!$L$31</definedName>
    <definedName name="solver_rhs25" localSheetId="2" hidden="1">'Table Format Calculations'!$L$31</definedName>
    <definedName name="solver_rhs25" localSheetId="7" hidden="1">'Table Format Calculations_Blue'!$L$31</definedName>
    <definedName name="solver_rhs26" localSheetId="4" hidden="1">Calculator_Calculations!$L$29</definedName>
    <definedName name="solver_rhs26" localSheetId="2" hidden="1">'Table Format Calculations'!$L$29</definedName>
    <definedName name="solver_rhs26" localSheetId="7" hidden="1">'Table Format Calculations_Blue'!$L$29</definedName>
    <definedName name="solver_rhs27" localSheetId="4" hidden="1">Calculator_Calculations!$H$31</definedName>
    <definedName name="solver_rhs27" localSheetId="2" hidden="1">'Table Format Calculations'!$H$31</definedName>
    <definedName name="solver_rhs27" localSheetId="7" hidden="1">'Table Format Calculations_Blue'!$H$31</definedName>
    <definedName name="solver_rhs28" localSheetId="4" hidden="1">Calculator_Calculations!$H$30</definedName>
    <definedName name="solver_rhs28" localSheetId="2" hidden="1">'Table Format Calculations'!$H$30</definedName>
    <definedName name="solver_rhs28" localSheetId="7" hidden="1">'Table Format Calculations_Blue'!$H$30</definedName>
    <definedName name="solver_rhs29" localSheetId="4" hidden="1">Calculator_Calculations!$L$30</definedName>
    <definedName name="solver_rhs29" localSheetId="2" hidden="1">'Table Format Calculations'!$L$30</definedName>
    <definedName name="solver_rhs29" localSheetId="7" hidden="1">'Table Format Calculations_Blue'!$L$30</definedName>
    <definedName name="solver_rhs3" localSheetId="5" hidden="1">Calculator!#REF!</definedName>
    <definedName name="solver_rhs3" localSheetId="4" hidden="1">Calculator_Calculations!$O$166</definedName>
    <definedName name="solver_rhs3" localSheetId="1" hidden="1">Simulator2!#REF!</definedName>
    <definedName name="solver_rhs3" localSheetId="2" hidden="1">'Table Format Calculations'!$L$30</definedName>
    <definedName name="solver_rhs3" localSheetId="7" hidden="1">'Table Format Calculations_Blue'!$R$2:$S$2</definedName>
    <definedName name="solver_rhs30" localSheetId="4" hidden="1">Calculator_Calculations!$M$31</definedName>
    <definedName name="solver_rhs30" localSheetId="2" hidden="1">'Table Format Calculations'!$M$31</definedName>
    <definedName name="solver_rhs30" localSheetId="7" hidden="1">'Table Format Calculations_Blue'!$M$31</definedName>
    <definedName name="solver_rhs31" localSheetId="4" hidden="1">Calculator_Calculations!$CK$4:$CR$4</definedName>
    <definedName name="solver_rhs31" localSheetId="2" hidden="1">'Table Format Calculations'!$CK$4:$CR$4</definedName>
    <definedName name="solver_rhs31" localSheetId="7" hidden="1">'Table Format Calculations_Blue'!$CK$4:$CR$4</definedName>
    <definedName name="solver_rhs32" localSheetId="4" hidden="1">Calculator_Calculations!$H$29</definedName>
    <definedName name="solver_rhs32" localSheetId="2" hidden="1">'Table Format Calculations'!$H$29</definedName>
    <definedName name="solver_rhs32" localSheetId="7" hidden="1">'Table Format Calculations_Blue'!$H$29</definedName>
    <definedName name="solver_rhs33" localSheetId="4" hidden="1">Calculator_Calculations!$CX$6</definedName>
    <definedName name="solver_rhs33" localSheetId="2" hidden="1">'Table Format Calculations'!$CX$6</definedName>
    <definedName name="solver_rhs33" localSheetId="7" hidden="1">'Table Format Calculations_Blue'!$CX$6</definedName>
    <definedName name="solver_rhs34" localSheetId="4" hidden="1">Calculator_Calculations!$CX$6</definedName>
    <definedName name="solver_rhs34" localSheetId="2" hidden="1">'Table Format Calculations'!$CX$6</definedName>
    <definedName name="solver_rhs34" localSheetId="7" hidden="1">'Table Format Calculations_Blue'!$CX$6</definedName>
    <definedName name="solver_rhs35" localSheetId="4" hidden="1">Calculator_Calculations!$CX$6</definedName>
    <definedName name="solver_rhs35" localSheetId="2" hidden="1">'Table Format Calculations'!$CX$6</definedName>
    <definedName name="solver_rhs35" localSheetId="7" hidden="1">'Table Format Calculations_Blue'!$CX$6</definedName>
    <definedName name="solver_rhs4" localSheetId="5" hidden="1">0</definedName>
    <definedName name="solver_rhs4" localSheetId="4" hidden="1">Calculator_Calculations!$K$21:$L$21</definedName>
    <definedName name="solver_rhs4" localSheetId="1" hidden="1">0</definedName>
    <definedName name="solver_rhs4" localSheetId="2" hidden="1">'Table Format Calculations'!$H$30</definedName>
    <definedName name="solver_rhs4" localSheetId="7" hidden="1">'Table Format Calculations_Blue'!$R$22:$S$22</definedName>
    <definedName name="solver_rhs5" localSheetId="5" hidden="1">Calculator!#REF!</definedName>
    <definedName name="solver_rhs5" localSheetId="4" hidden="1">Calculator_Calculations!$CM$6:$CN$6</definedName>
    <definedName name="solver_rhs5" localSheetId="1" hidden="1">Simulator2!#REF!</definedName>
    <definedName name="solver_rhs5" localSheetId="2" hidden="1">'Table Format Calculations'!$O$164</definedName>
    <definedName name="solver_rhs5" localSheetId="7" hidden="1">'Table Format Calculations_Blue'!$V$2</definedName>
    <definedName name="solver_rhs6" localSheetId="5" hidden="1">Calculator!#REF!</definedName>
    <definedName name="solver_rhs6" localSheetId="4" hidden="1">Calculator_Calculations!$Y$21:$AB$21</definedName>
    <definedName name="solver_rhs6" localSheetId="1" hidden="1">Simulator2!#REF!</definedName>
    <definedName name="solver_rhs6" localSheetId="2" hidden="1">'Table Format Calculations'!$O$165</definedName>
    <definedName name="solver_rhs6" localSheetId="7" hidden="1">'Table Format Calculations_Blue'!$V$22</definedName>
    <definedName name="solver_rhs7" localSheetId="5" hidden="1">Calculator!$A$15</definedName>
    <definedName name="solver_rhs7" localSheetId="4" hidden="1">Calculator_Calculations!$DA$6:$DD$6</definedName>
    <definedName name="solver_rhs7" localSheetId="1" hidden="1">Simulator2!$A$15</definedName>
    <definedName name="solver_rhs7" localSheetId="2" hidden="1">'Table Format Calculations'!$I$19:$P$19</definedName>
    <definedName name="solver_rhs7" localSheetId="7" hidden="1">'Table Format Calculations_Blue'!$K$3</definedName>
    <definedName name="solver_rhs8" localSheetId="5" hidden="1">Calculator!#REF!</definedName>
    <definedName name="solver_rhs8" localSheetId="4" hidden="1">Calculator_Calculations!$V$21</definedName>
    <definedName name="solver_rhs8" localSheetId="1" hidden="1">Simulator2!#REF!</definedName>
    <definedName name="solver_rhs8" localSheetId="2" hidden="1">'Table Format Calculations'!$CK$4:$CR$4</definedName>
    <definedName name="solver_rhs8" localSheetId="7" hidden="1">'Table Format Calculations_Blue'!$K$23</definedName>
    <definedName name="solver_rhs9" localSheetId="5" hidden="1">Calculator!#REF!</definedName>
    <definedName name="solver_rhs9" localSheetId="4" hidden="1">Calculator_Calculations!$CX$6</definedName>
    <definedName name="solver_rhs9" localSheetId="1" hidden="1">Simulator2!#REF!</definedName>
    <definedName name="solver_rhs9" localSheetId="2" hidden="1">'Table Format Calculations'!$R$19:$S$19</definedName>
    <definedName name="solver_rhs9" localSheetId="7" hidden="1">'Table Format Calculations_Blue'!$K$4:$L$4</definedName>
    <definedName name="solver_rlx" localSheetId="5" hidden="1">2</definedName>
    <definedName name="solver_rlx" localSheetId="4" hidden="1">2</definedName>
    <definedName name="solver_rlx" localSheetId="1" hidden="1">2</definedName>
    <definedName name="solver_rlx" localSheetId="2" hidden="1">2</definedName>
    <definedName name="solver_rlx" localSheetId="7" hidden="1">2</definedName>
    <definedName name="solver_rsd" localSheetId="5" hidden="1">0</definedName>
    <definedName name="solver_rsd" localSheetId="4" hidden="1">0</definedName>
    <definedName name="solver_rsd" localSheetId="1" hidden="1">0</definedName>
    <definedName name="solver_rsd" localSheetId="2" hidden="1">0</definedName>
    <definedName name="solver_rsd" localSheetId="7" hidden="1">0</definedName>
    <definedName name="solver_scl" localSheetId="5" hidden="1">2</definedName>
    <definedName name="solver_scl" localSheetId="4" hidden="1">1</definedName>
    <definedName name="solver_scl" localSheetId="1" hidden="1">2</definedName>
    <definedName name="solver_scl" localSheetId="2" hidden="1">1</definedName>
    <definedName name="solver_scl" localSheetId="7" hidden="1">1</definedName>
    <definedName name="solver_sho" localSheetId="5" hidden="1">2</definedName>
    <definedName name="solver_sho" localSheetId="4" hidden="1">2</definedName>
    <definedName name="solver_sho" localSheetId="1" hidden="1">2</definedName>
    <definedName name="solver_sho" localSheetId="2" hidden="1">2</definedName>
    <definedName name="solver_sho" localSheetId="7" hidden="1">2</definedName>
    <definedName name="solver_ssz" localSheetId="5" hidden="1">100</definedName>
    <definedName name="solver_ssz" localSheetId="4" hidden="1">100</definedName>
    <definedName name="solver_ssz" localSheetId="1" hidden="1">100</definedName>
    <definedName name="solver_ssz" localSheetId="2" hidden="1">100</definedName>
    <definedName name="solver_ssz" localSheetId="7" hidden="1">100</definedName>
    <definedName name="solver_tim" localSheetId="5" hidden="1">2147483647</definedName>
    <definedName name="solver_tim" localSheetId="4" hidden="1">2147483647</definedName>
    <definedName name="solver_tim" localSheetId="1" hidden="1">2147483647</definedName>
    <definedName name="solver_tim" localSheetId="2" hidden="1">2147483647</definedName>
    <definedName name="solver_tim" localSheetId="7" hidden="1">2147483647</definedName>
    <definedName name="solver_tol" localSheetId="5" hidden="1">0.01</definedName>
    <definedName name="solver_tol" localSheetId="4" hidden="1">0.01</definedName>
    <definedName name="solver_tol" localSheetId="1" hidden="1">0.01</definedName>
    <definedName name="solver_tol" localSheetId="2" hidden="1">0.01</definedName>
    <definedName name="solver_tol" localSheetId="7" hidden="1">0.01</definedName>
    <definedName name="solver_typ" localSheetId="5" hidden="1">2</definedName>
    <definedName name="solver_typ" localSheetId="4" hidden="1">2</definedName>
    <definedName name="solver_typ" localSheetId="1" hidden="1">2</definedName>
    <definedName name="solver_typ" localSheetId="2" hidden="1">2</definedName>
    <definedName name="solver_typ" localSheetId="7" hidden="1">2</definedName>
    <definedName name="solver_val" localSheetId="5" hidden="1">0</definedName>
    <definedName name="solver_val" localSheetId="4" hidden="1">0</definedName>
    <definedName name="solver_val" localSheetId="1" hidden="1">0</definedName>
    <definedName name="solver_val" localSheetId="2" hidden="1">0</definedName>
    <definedName name="solver_val" localSheetId="7" hidden="1">0</definedName>
    <definedName name="solver_ver" localSheetId="5" hidden="1">3</definedName>
    <definedName name="solver_ver" localSheetId="4" hidden="1">3</definedName>
    <definedName name="solver_ver" localSheetId="1" hidden="1">3</definedName>
    <definedName name="solver_ver" localSheetId="2" hidden="1">3</definedName>
    <definedName name="solver_ver" localSheetId="7" hidden="1">3</definedName>
    <definedName name="summary_flag">Summary!$XFD$144</definedName>
    <definedName name="summary_flag1">Summary!$XFD$145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9" l="1"/>
  <c r="L14" i="3"/>
  <c r="L7" i="3"/>
  <c r="O185" i="3"/>
  <c r="O184" i="3"/>
  <c r="E56" i="9" l="1"/>
  <c r="E55" i="9"/>
  <c r="E54" i="9"/>
  <c r="G53" i="9"/>
  <c r="E53" i="9"/>
  <c r="I35" i="9"/>
  <c r="G35" i="9"/>
  <c r="E35" i="9"/>
  <c r="L12" i="3"/>
  <c r="L13" i="3"/>
  <c r="L11" i="3"/>
  <c r="U84" i="11"/>
  <c r="U85" i="11"/>
  <c r="U86" i="11"/>
  <c r="U87" i="11"/>
  <c r="U83" i="11"/>
  <c r="U69" i="11"/>
  <c r="U70" i="11"/>
  <c r="U71" i="11"/>
  <c r="U72" i="11"/>
  <c r="U68" i="11"/>
  <c r="U55" i="11"/>
  <c r="U56" i="11"/>
  <c r="U57" i="11"/>
  <c r="U58" i="11"/>
  <c r="U54" i="11"/>
  <c r="C42" i="13"/>
  <c r="L10" i="3" l="1"/>
  <c r="C75" i="11"/>
  <c r="I3" i="8" l="1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I2" i="8"/>
  <c r="L185" i="3"/>
  <c r="L184" i="3"/>
  <c r="I183" i="3"/>
  <c r="L179" i="3"/>
  <c r="L178" i="3"/>
  <c r="I177" i="3"/>
  <c r="AG18" i="9"/>
  <c r="AG69" i="9"/>
  <c r="AG76" i="9"/>
  <c r="M76" i="9"/>
  <c r="M69" i="9"/>
  <c r="M68" i="9"/>
  <c r="M52" i="9"/>
  <c r="AG52" i="9"/>
  <c r="AG45" i="9"/>
  <c r="O45" i="9"/>
  <c r="M45" i="9"/>
  <c r="O44" i="9"/>
  <c r="M44" i="9"/>
  <c r="AG25" i="9"/>
  <c r="M25" i="9"/>
  <c r="M18" i="9"/>
  <c r="O18" i="9"/>
  <c r="O17" i="9"/>
  <c r="M17" i="9"/>
  <c r="L183" i="3" l="1"/>
  <c r="O183" i="3" s="1"/>
  <c r="L177" i="3"/>
  <c r="O177" i="3" s="1"/>
  <c r="K79" i="11"/>
  <c r="J79" i="11"/>
  <c r="K78" i="11"/>
  <c r="J78" i="11"/>
  <c r="K65" i="11"/>
  <c r="J65" i="11"/>
  <c r="K64" i="11"/>
  <c r="J64" i="11"/>
  <c r="D13" i="5" l="1"/>
  <c r="D13" i="9"/>
  <c r="N75" i="11"/>
  <c r="N61" i="11"/>
  <c r="N84" i="11"/>
  <c r="N85" i="11"/>
  <c r="N86" i="11"/>
  <c r="N87" i="11"/>
  <c r="N83" i="11"/>
  <c r="N69" i="11"/>
  <c r="N70" i="11"/>
  <c r="N71" i="11"/>
  <c r="N72" i="11"/>
  <c r="N68" i="11"/>
  <c r="N55" i="11"/>
  <c r="N56" i="11"/>
  <c r="N57" i="11"/>
  <c r="N58" i="11"/>
  <c r="N54" i="11"/>
  <c r="N84" i="4"/>
  <c r="N85" i="4"/>
  <c r="N86" i="4"/>
  <c r="N87" i="4"/>
  <c r="N83" i="4"/>
  <c r="N69" i="4"/>
  <c r="N70" i="4"/>
  <c r="N71" i="4"/>
  <c r="N72" i="4"/>
  <c r="N68" i="4"/>
  <c r="N55" i="4"/>
  <c r="N56" i="4"/>
  <c r="N57" i="4"/>
  <c r="N58" i="4"/>
  <c r="N54" i="4"/>
  <c r="J96" i="3" l="1"/>
  <c r="J95" i="3"/>
  <c r="H96" i="3"/>
  <c r="H95" i="3"/>
  <c r="C75" i="4"/>
  <c r="T30" i="4"/>
  <c r="T29" i="4"/>
  <c r="K79" i="4"/>
  <c r="J79" i="4"/>
  <c r="K78" i="4"/>
  <c r="J78" i="4"/>
  <c r="J69" i="3"/>
  <c r="J68" i="3"/>
  <c r="H69" i="3"/>
  <c r="H68" i="3"/>
  <c r="K64" i="4"/>
  <c r="K65" i="4"/>
  <c r="J65" i="4"/>
  <c r="J64" i="4"/>
  <c r="O63" i="4"/>
  <c r="E63" i="4"/>
  <c r="C63" i="4"/>
  <c r="E76" i="4"/>
  <c r="O68" i="4" s="1"/>
  <c r="C76" i="4"/>
  <c r="N74" i="4"/>
  <c r="N60" i="4"/>
  <c r="F63" i="4" l="1"/>
  <c r="O69" i="4"/>
  <c r="O70" i="4"/>
  <c r="O71" i="4"/>
  <c r="O72" i="4"/>
  <c r="Q115" i="4"/>
  <c r="O61" i="4" l="1"/>
  <c r="C61" i="4"/>
  <c r="AH54" i="13"/>
  <c r="AH55" i="13"/>
  <c r="AH53" i="13"/>
  <c r="T88" i="4"/>
  <c r="O84" i="11"/>
  <c r="O85" i="11"/>
  <c r="O86" i="11"/>
  <c r="O87" i="11"/>
  <c r="O83" i="11"/>
  <c r="O69" i="11"/>
  <c r="O70" i="11"/>
  <c r="O71" i="11"/>
  <c r="O72" i="11"/>
  <c r="O73" i="11"/>
  <c r="O55" i="11"/>
  <c r="O56" i="11"/>
  <c r="O57" i="11"/>
  <c r="O58" i="11"/>
  <c r="O59" i="11"/>
  <c r="O54" i="11"/>
  <c r="O75" i="11" l="1"/>
  <c r="O63" i="11"/>
  <c r="N75" i="4" l="1"/>
  <c r="N61" i="4"/>
  <c r="D10" i="9" l="1"/>
  <c r="K11" i="3" s="1"/>
  <c r="N11" i="3" s="1"/>
  <c r="N14" i="3" s="1"/>
  <c r="Q11" i="3" l="1"/>
  <c r="P157" i="11"/>
  <c r="O157" i="11"/>
  <c r="P151" i="11"/>
  <c r="O151" i="11"/>
  <c r="M147" i="11"/>
  <c r="M142" i="11"/>
  <c r="M141" i="11"/>
  <c r="M140" i="11"/>
  <c r="M139" i="11"/>
  <c r="O133" i="11"/>
  <c r="N133" i="11"/>
  <c r="O132" i="11"/>
  <c r="N132" i="11"/>
  <c r="O131" i="11"/>
  <c r="N131" i="11"/>
  <c r="O130" i="11"/>
  <c r="N130" i="11"/>
  <c r="O129" i="11"/>
  <c r="N129" i="11"/>
  <c r="O121" i="11"/>
  <c r="N121" i="11"/>
  <c r="O120" i="11"/>
  <c r="N120" i="11"/>
  <c r="O119" i="11"/>
  <c r="N119" i="11"/>
  <c r="O118" i="11"/>
  <c r="N118" i="11"/>
  <c r="N109" i="11"/>
  <c r="O109" i="11"/>
  <c r="O108" i="11"/>
  <c r="N108" i="11"/>
  <c r="O107" i="11"/>
  <c r="N107" i="11"/>
  <c r="O106" i="11"/>
  <c r="N106" i="11"/>
  <c r="M157" i="4"/>
  <c r="M151" i="4"/>
  <c r="P88" i="11"/>
  <c r="P87" i="11"/>
  <c r="P86" i="11"/>
  <c r="P85" i="11"/>
  <c r="P84" i="11"/>
  <c r="P83" i="11"/>
  <c r="P73" i="11"/>
  <c r="P72" i="11"/>
  <c r="P71" i="11"/>
  <c r="P70" i="11"/>
  <c r="P69" i="11"/>
  <c r="P68" i="11"/>
  <c r="P61" i="11" l="1"/>
  <c r="P78" i="11"/>
  <c r="M130" i="11"/>
  <c r="M132" i="11"/>
  <c r="M106" i="11"/>
  <c r="M118" i="11"/>
  <c r="M129" i="11"/>
  <c r="M131" i="11"/>
  <c r="M133" i="11"/>
  <c r="M109" i="11"/>
  <c r="M121" i="11"/>
  <c r="M107" i="11"/>
  <c r="M119" i="11"/>
  <c r="M108" i="11"/>
  <c r="M120" i="11"/>
  <c r="M157" i="11"/>
  <c r="M151" i="11"/>
  <c r="M143" i="11"/>
  <c r="P59" i="11" l="1"/>
  <c r="P58" i="11"/>
  <c r="P57" i="11"/>
  <c r="P56" i="11"/>
  <c r="P55" i="11"/>
  <c r="P54" i="11"/>
  <c r="P75" i="11" l="1"/>
  <c r="P64" i="11"/>
  <c r="J38" i="11"/>
  <c r="J37" i="11"/>
  <c r="J36" i="11"/>
  <c r="K296" i="11"/>
  <c r="J296" i="11"/>
  <c r="L296" i="11" s="1"/>
  <c r="J295" i="11"/>
  <c r="L295" i="11" s="1"/>
  <c r="I295" i="11"/>
  <c r="K295" i="11" s="1"/>
  <c r="I294" i="11"/>
  <c r="K294" i="11" s="1"/>
  <c r="J293" i="11"/>
  <c r="L293" i="11" s="1"/>
  <c r="I293" i="11"/>
  <c r="K293" i="11" s="1"/>
  <c r="J292" i="11"/>
  <c r="L292" i="11" s="1"/>
  <c r="I292" i="11"/>
  <c r="K292" i="11" s="1"/>
  <c r="AB287" i="11"/>
  <c r="L287" i="11"/>
  <c r="N287" i="11" s="1"/>
  <c r="K287" i="11"/>
  <c r="C287" i="11"/>
  <c r="O287" i="11" s="1"/>
  <c r="L286" i="11"/>
  <c r="N286" i="11" s="1"/>
  <c r="K286" i="11"/>
  <c r="C286" i="11"/>
  <c r="O286" i="11" s="1"/>
  <c r="AB285" i="11"/>
  <c r="L285" i="11"/>
  <c r="N285" i="11" s="1"/>
  <c r="K285" i="11"/>
  <c r="C285" i="11"/>
  <c r="O285" i="11" s="1"/>
  <c r="L284" i="11"/>
  <c r="N284" i="11" s="1"/>
  <c r="K284" i="11"/>
  <c r="C284" i="11"/>
  <c r="O284" i="11" s="1"/>
  <c r="P284" i="11" s="1"/>
  <c r="O283" i="11"/>
  <c r="L283" i="11"/>
  <c r="L288" i="11" s="1"/>
  <c r="K283" i="11"/>
  <c r="C283" i="11"/>
  <c r="W281" i="11"/>
  <c r="Q280" i="11"/>
  <c r="Q281" i="11" s="1"/>
  <c r="K280" i="11"/>
  <c r="J280" i="11"/>
  <c r="K279" i="11"/>
  <c r="J279" i="11"/>
  <c r="K278" i="11"/>
  <c r="J278" i="11"/>
  <c r="K277" i="11"/>
  <c r="J277" i="11"/>
  <c r="K276" i="11"/>
  <c r="J276" i="11"/>
  <c r="K275" i="11"/>
  <c r="J275" i="11"/>
  <c r="O274" i="11"/>
  <c r="AB271" i="11"/>
  <c r="S271" i="11"/>
  <c r="O271" i="11"/>
  <c r="K271" i="11"/>
  <c r="AB270" i="11"/>
  <c r="AA270" i="11" s="1"/>
  <c r="Z270" i="11" s="1"/>
  <c r="V270" i="11"/>
  <c r="U270" i="11"/>
  <c r="T270" i="11"/>
  <c r="J270" i="11"/>
  <c r="L270" i="11" s="1"/>
  <c r="Q270" i="11" s="1"/>
  <c r="AB269" i="11"/>
  <c r="W269" i="11"/>
  <c r="U269" i="11"/>
  <c r="N269" i="11"/>
  <c r="P269" i="11" s="1"/>
  <c r="M269" i="11"/>
  <c r="L269" i="11"/>
  <c r="J269" i="11"/>
  <c r="AB268" i="11"/>
  <c r="W268" i="11"/>
  <c r="U268" i="11"/>
  <c r="N268" i="11"/>
  <c r="P268" i="11" s="1"/>
  <c r="M268" i="11"/>
  <c r="L268" i="11"/>
  <c r="J268" i="11"/>
  <c r="AB267" i="11"/>
  <c r="W267" i="11"/>
  <c r="X267" i="11" s="1"/>
  <c r="V267" i="11" s="1"/>
  <c r="I267" i="11" s="1"/>
  <c r="U267" i="11"/>
  <c r="N267" i="11"/>
  <c r="P267" i="11" s="1"/>
  <c r="M267" i="11"/>
  <c r="J267" i="11"/>
  <c r="L267" i="11" s="1"/>
  <c r="AB266" i="11"/>
  <c r="W266" i="11"/>
  <c r="X266" i="11" s="1"/>
  <c r="V266" i="11" s="1"/>
  <c r="I266" i="11" s="1"/>
  <c r="U266" i="11"/>
  <c r="P266" i="11"/>
  <c r="N266" i="11"/>
  <c r="M266" i="11"/>
  <c r="J266" i="11"/>
  <c r="L266" i="11" s="1"/>
  <c r="AB265" i="11"/>
  <c r="W265" i="11"/>
  <c r="X265" i="11" s="1"/>
  <c r="V265" i="11" s="1"/>
  <c r="U265" i="11"/>
  <c r="P265" i="11"/>
  <c r="Q265" i="11" s="1"/>
  <c r="N265" i="11"/>
  <c r="N271" i="11" s="1"/>
  <c r="M265" i="11"/>
  <c r="J265" i="11"/>
  <c r="L265" i="11" s="1"/>
  <c r="X263" i="11"/>
  <c r="X268" i="11" s="1"/>
  <c r="V268" i="11" s="1"/>
  <c r="I268" i="11" s="1"/>
  <c r="O259" i="11"/>
  <c r="M259" i="11"/>
  <c r="K259" i="11"/>
  <c r="I259" i="11"/>
  <c r="M256" i="11"/>
  <c r="K256" i="11"/>
  <c r="U256" i="11" s="1"/>
  <c r="I256" i="11"/>
  <c r="O256" i="11" s="1"/>
  <c r="S256" i="11" s="1"/>
  <c r="M252" i="11"/>
  <c r="K252" i="11"/>
  <c r="I252" i="11"/>
  <c r="O252" i="11" s="1"/>
  <c r="U247" i="11"/>
  <c r="R247" i="11"/>
  <c r="M247" i="11"/>
  <c r="K247" i="11"/>
  <c r="I247" i="11"/>
  <c r="O247" i="11" s="1"/>
  <c r="S247" i="11" s="1"/>
  <c r="W247" i="11" s="1"/>
  <c r="U246" i="11"/>
  <c r="R246" i="11"/>
  <c r="M246" i="11"/>
  <c r="K246" i="11"/>
  <c r="I246" i="11"/>
  <c r="O246" i="11" s="1"/>
  <c r="S246" i="11" s="1"/>
  <c r="W246" i="11" s="1"/>
  <c r="U245" i="11"/>
  <c r="R245" i="11"/>
  <c r="M245" i="11"/>
  <c r="K245" i="11"/>
  <c r="I245" i="11"/>
  <c r="O245" i="11" s="1"/>
  <c r="S245" i="11" s="1"/>
  <c r="W245" i="11" s="1"/>
  <c r="R244" i="11"/>
  <c r="O244" i="11"/>
  <c r="S244" i="11" s="1"/>
  <c r="M244" i="11"/>
  <c r="K244" i="11"/>
  <c r="U244" i="11" s="1"/>
  <c r="U248" i="11" s="1"/>
  <c r="I244" i="11"/>
  <c r="M237" i="11"/>
  <c r="K237" i="11"/>
  <c r="M236" i="11"/>
  <c r="K236" i="11"/>
  <c r="M235" i="11"/>
  <c r="K235" i="11"/>
  <c r="M234" i="11"/>
  <c r="K234" i="11"/>
  <c r="M233" i="11"/>
  <c r="K233" i="11"/>
  <c r="K239" i="11" s="1"/>
  <c r="M227" i="11"/>
  <c r="K227" i="11"/>
  <c r="O226" i="11"/>
  <c r="M226" i="11"/>
  <c r="O225" i="11"/>
  <c r="M225" i="11"/>
  <c r="M224" i="11"/>
  <c r="K224" i="11"/>
  <c r="M223" i="11"/>
  <c r="K223" i="11"/>
  <c r="M222" i="11"/>
  <c r="K222" i="11"/>
  <c r="K228" i="11" s="1"/>
  <c r="U216" i="11"/>
  <c r="U215" i="11"/>
  <c r="M214" i="11"/>
  <c r="K214" i="11"/>
  <c r="U214" i="11" s="1"/>
  <c r="M213" i="11"/>
  <c r="K213" i="11"/>
  <c r="U213" i="11" s="1"/>
  <c r="M212" i="11"/>
  <c r="K212" i="11"/>
  <c r="U212" i="11" s="1"/>
  <c r="M211" i="11"/>
  <c r="K211" i="11"/>
  <c r="M203" i="11"/>
  <c r="K203" i="11"/>
  <c r="J203" i="11"/>
  <c r="I203" i="11"/>
  <c r="O203" i="11" s="1"/>
  <c r="M202" i="11"/>
  <c r="K202" i="11"/>
  <c r="M201" i="11"/>
  <c r="K201" i="11"/>
  <c r="M200" i="11"/>
  <c r="K200" i="11"/>
  <c r="M199" i="11"/>
  <c r="K199" i="11"/>
  <c r="M198" i="11"/>
  <c r="K198" i="11"/>
  <c r="K204" i="11" s="1"/>
  <c r="M194" i="11"/>
  <c r="K194" i="11"/>
  <c r="J194" i="11"/>
  <c r="I194" i="11"/>
  <c r="O194" i="11" s="1"/>
  <c r="M193" i="11"/>
  <c r="K193" i="11"/>
  <c r="M192" i="11"/>
  <c r="K192" i="11"/>
  <c r="M191" i="11"/>
  <c r="K191" i="11"/>
  <c r="M190" i="11"/>
  <c r="K190" i="11"/>
  <c r="M189" i="11"/>
  <c r="K189" i="11"/>
  <c r="K195" i="11" s="1"/>
  <c r="M185" i="11"/>
  <c r="K185" i="11"/>
  <c r="U185" i="11" s="1"/>
  <c r="J185" i="11"/>
  <c r="I185" i="11"/>
  <c r="O185" i="11" s="1"/>
  <c r="S185" i="11" s="1"/>
  <c r="W185" i="11" s="1"/>
  <c r="M184" i="11"/>
  <c r="K184" i="11"/>
  <c r="U184" i="11" s="1"/>
  <c r="M183" i="11"/>
  <c r="K183" i="11"/>
  <c r="U183" i="11" s="1"/>
  <c r="M182" i="11"/>
  <c r="K182" i="11"/>
  <c r="U182" i="11" s="1"/>
  <c r="M181" i="11"/>
  <c r="K181" i="11"/>
  <c r="U181" i="11" s="1"/>
  <c r="M180" i="11"/>
  <c r="K180" i="11"/>
  <c r="K186" i="11" s="1"/>
  <c r="U157" i="11"/>
  <c r="R157" i="11"/>
  <c r="J259" i="11" s="1"/>
  <c r="L259" i="11"/>
  <c r="N157" i="11"/>
  <c r="L157" i="11"/>
  <c r="B157" i="11"/>
  <c r="U151" i="11"/>
  <c r="L256" i="11"/>
  <c r="N151" i="11"/>
  <c r="L151" i="11"/>
  <c r="R151" i="11" s="1"/>
  <c r="B151" i="11"/>
  <c r="S147" i="11"/>
  <c r="P147" i="11"/>
  <c r="L252" i="11"/>
  <c r="F145" i="11"/>
  <c r="K143" i="11"/>
  <c r="S143" i="11" s="1"/>
  <c r="J143" i="11"/>
  <c r="S142" i="11"/>
  <c r="P142" i="11"/>
  <c r="L247" i="11"/>
  <c r="V247" i="11" s="1"/>
  <c r="S141" i="11"/>
  <c r="P141" i="11"/>
  <c r="L246" i="11"/>
  <c r="V246" i="11" s="1"/>
  <c r="S140" i="11"/>
  <c r="P140" i="11"/>
  <c r="N140" i="11"/>
  <c r="L245" i="11"/>
  <c r="V245" i="11" s="1"/>
  <c r="S139" i="11"/>
  <c r="L244" i="11"/>
  <c r="M135" i="11"/>
  <c r="L135" i="11"/>
  <c r="K135" i="11"/>
  <c r="U133" i="11"/>
  <c r="S133" i="11"/>
  <c r="J236" i="11" s="1"/>
  <c r="R133" i="11"/>
  <c r="I236" i="11" s="1"/>
  <c r="O236" i="11" s="1"/>
  <c r="Q133" i="11"/>
  <c r="BV81" i="9" s="1"/>
  <c r="F133" i="11"/>
  <c r="B133" i="11"/>
  <c r="S132" i="11"/>
  <c r="J234" i="11" s="1"/>
  <c r="R132" i="11"/>
  <c r="I234" i="11" s="1"/>
  <c r="O234" i="11" s="1"/>
  <c r="Q132" i="11"/>
  <c r="BV80" i="9" s="1"/>
  <c r="L234" i="11"/>
  <c r="F132" i="11"/>
  <c r="B132" i="11"/>
  <c r="U131" i="11"/>
  <c r="S131" i="11"/>
  <c r="J235" i="11" s="1"/>
  <c r="R131" i="11"/>
  <c r="I235" i="11" s="1"/>
  <c r="O235" i="11" s="1"/>
  <c r="Q131" i="11"/>
  <c r="BV79" i="9" s="1"/>
  <c r="F131" i="11"/>
  <c r="B131" i="11"/>
  <c r="P131" i="11" s="1"/>
  <c r="S130" i="11"/>
  <c r="R130" i="11"/>
  <c r="Q130" i="11"/>
  <c r="BV78" i="9" s="1"/>
  <c r="F130" i="11"/>
  <c r="B130" i="11"/>
  <c r="S129" i="11"/>
  <c r="R129" i="11"/>
  <c r="Q129" i="11"/>
  <c r="BV77" i="9" s="1"/>
  <c r="F129" i="11"/>
  <c r="B129" i="11"/>
  <c r="Q126" i="11"/>
  <c r="Q127" i="11" s="1"/>
  <c r="M124" i="11"/>
  <c r="Q124" i="11" s="1"/>
  <c r="L169" i="11" s="1"/>
  <c r="K124" i="11"/>
  <c r="R124" i="11" s="1"/>
  <c r="M123" i="11"/>
  <c r="L123" i="11"/>
  <c r="K123" i="11"/>
  <c r="S121" i="11"/>
  <c r="J223" i="11" s="1"/>
  <c r="R121" i="11"/>
  <c r="I223" i="11" s="1"/>
  <c r="O223" i="11" s="1"/>
  <c r="Q121" i="11"/>
  <c r="BV56" i="9" s="1"/>
  <c r="L223" i="11"/>
  <c r="F121" i="11"/>
  <c r="B121" i="11"/>
  <c r="U120" i="11"/>
  <c r="S120" i="11"/>
  <c r="J224" i="11" s="1"/>
  <c r="R120" i="11"/>
  <c r="I224" i="11" s="1"/>
  <c r="O224" i="11" s="1"/>
  <c r="Q120" i="11"/>
  <c r="BV55" i="9" s="1"/>
  <c r="F120" i="11"/>
  <c r="B120" i="11"/>
  <c r="U119" i="11"/>
  <c r="S119" i="11"/>
  <c r="J222" i="11" s="1"/>
  <c r="R119" i="11"/>
  <c r="Q119" i="11"/>
  <c r="BV54" i="9" s="1"/>
  <c r="L222" i="11"/>
  <c r="F119" i="11"/>
  <c r="B119" i="11"/>
  <c r="S118" i="11"/>
  <c r="J227" i="11" s="1"/>
  <c r="R118" i="11"/>
  <c r="Q118" i="11"/>
  <c r="BV53" i="9" s="1"/>
  <c r="L227" i="11"/>
  <c r="V216" i="11" s="1"/>
  <c r="F118" i="11"/>
  <c r="B118" i="11"/>
  <c r="Q116" i="11"/>
  <c r="Q115" i="11"/>
  <c r="M111" i="11"/>
  <c r="L111" i="11"/>
  <c r="L124" i="11" s="1"/>
  <c r="N124" i="11" s="1"/>
  <c r="K111" i="11"/>
  <c r="U109" i="11"/>
  <c r="S109" i="11"/>
  <c r="J212" i="11" s="1"/>
  <c r="R109" i="11"/>
  <c r="Q109" i="11"/>
  <c r="BV29" i="9" s="1"/>
  <c r="L212" i="11"/>
  <c r="F109" i="11"/>
  <c r="B109" i="11"/>
  <c r="S108" i="11"/>
  <c r="J214" i="11" s="1"/>
  <c r="R108" i="11"/>
  <c r="Q108" i="11"/>
  <c r="BV28" i="9" s="1"/>
  <c r="L214" i="11"/>
  <c r="F108" i="11"/>
  <c r="B108" i="11"/>
  <c r="S107" i="11"/>
  <c r="J213" i="11" s="1"/>
  <c r="R107" i="11"/>
  <c r="Q107" i="11"/>
  <c r="BV27" i="9" s="1"/>
  <c r="L213" i="11"/>
  <c r="F107" i="11"/>
  <c r="B107" i="11"/>
  <c r="S106" i="11"/>
  <c r="J211" i="11" s="1"/>
  <c r="R106" i="11"/>
  <c r="I211" i="11" s="1"/>
  <c r="Q106" i="11"/>
  <c r="BV26" i="9" s="1"/>
  <c r="L211" i="11"/>
  <c r="F106" i="11"/>
  <c r="B106" i="11"/>
  <c r="Q104" i="11"/>
  <c r="Q103" i="11"/>
  <c r="I96" i="11"/>
  <c r="I95" i="11"/>
  <c r="I94" i="11"/>
  <c r="I93" i="11"/>
  <c r="O92" i="11"/>
  <c r="I92" i="11"/>
  <c r="I91" i="11"/>
  <c r="J91" i="11" s="1"/>
  <c r="O89" i="11"/>
  <c r="K89" i="11"/>
  <c r="J89" i="11"/>
  <c r="L88" i="11"/>
  <c r="Q88" i="11" s="1"/>
  <c r="C88" i="11"/>
  <c r="S87" i="11"/>
  <c r="I202" i="11" s="1"/>
  <c r="O202" i="11" s="1"/>
  <c r="M87" i="11"/>
  <c r="L87" i="11"/>
  <c r="F87" i="11"/>
  <c r="E87" i="11"/>
  <c r="AD86" i="11"/>
  <c r="S86" i="11"/>
  <c r="I201" i="11" s="1"/>
  <c r="O201" i="11" s="1"/>
  <c r="R86" i="11"/>
  <c r="M86" i="11"/>
  <c r="L86" i="11"/>
  <c r="F86" i="11"/>
  <c r="E86" i="11"/>
  <c r="AD85" i="11"/>
  <c r="S85" i="11"/>
  <c r="I200" i="11" s="1"/>
  <c r="O200" i="11" s="1"/>
  <c r="Q85" i="11"/>
  <c r="L200" i="11" s="1"/>
  <c r="R85" i="11"/>
  <c r="M85" i="11"/>
  <c r="L85" i="11"/>
  <c r="F85" i="11" s="1"/>
  <c r="E85" i="11"/>
  <c r="C85" i="11"/>
  <c r="AD84" i="11"/>
  <c r="S84" i="11"/>
  <c r="I199" i="11" s="1"/>
  <c r="O199" i="11" s="1"/>
  <c r="M84" i="11"/>
  <c r="L84" i="11"/>
  <c r="F84" i="11" s="1"/>
  <c r="E84" i="11"/>
  <c r="C84" i="11"/>
  <c r="S83" i="11"/>
  <c r="I198" i="11" s="1"/>
  <c r="M83" i="11"/>
  <c r="L83" i="11"/>
  <c r="F83" i="11" s="1"/>
  <c r="E83" i="11"/>
  <c r="AA82" i="11"/>
  <c r="AA84" i="11" s="1"/>
  <c r="L75" i="11"/>
  <c r="J75" i="11"/>
  <c r="K75" i="11" s="1"/>
  <c r="J74" i="11"/>
  <c r="T73" i="11"/>
  <c r="Q73" i="11"/>
  <c r="L194" i="11" s="1"/>
  <c r="L73" i="11"/>
  <c r="E73" i="11"/>
  <c r="C73" i="11"/>
  <c r="S72" i="11"/>
  <c r="I193" i="11" s="1"/>
  <c r="O193" i="11" s="1"/>
  <c r="M72" i="11"/>
  <c r="L72" i="11"/>
  <c r="F72" i="11" s="1"/>
  <c r="E72" i="11"/>
  <c r="AD71" i="11"/>
  <c r="S71" i="11"/>
  <c r="I192" i="11" s="1"/>
  <c r="O192" i="11" s="1"/>
  <c r="R71" i="11"/>
  <c r="M71" i="11"/>
  <c r="L71" i="11"/>
  <c r="F71" i="11"/>
  <c r="E71" i="11"/>
  <c r="AD70" i="11"/>
  <c r="S70" i="11"/>
  <c r="I191" i="11" s="1"/>
  <c r="O191" i="11" s="1"/>
  <c r="Q70" i="11"/>
  <c r="L191" i="11" s="1"/>
  <c r="R70" i="11"/>
  <c r="M70" i="11"/>
  <c r="L70" i="11"/>
  <c r="F70" i="11" s="1"/>
  <c r="E70" i="11"/>
  <c r="C70" i="11"/>
  <c r="AD69" i="11"/>
  <c r="S69" i="11"/>
  <c r="I190" i="11" s="1"/>
  <c r="O190" i="11" s="1"/>
  <c r="R69" i="11"/>
  <c r="J190" i="11" s="1"/>
  <c r="Q69" i="11"/>
  <c r="L190" i="11" s="1"/>
  <c r="M69" i="11"/>
  <c r="L69" i="11"/>
  <c r="F69" i="11" s="1"/>
  <c r="E69" i="11"/>
  <c r="C69" i="11"/>
  <c r="S68" i="11"/>
  <c r="I189" i="11" s="1"/>
  <c r="M68" i="11"/>
  <c r="L68" i="11"/>
  <c r="F68" i="11" s="1"/>
  <c r="E68" i="11"/>
  <c r="AA67" i="11"/>
  <c r="AA69" i="11" s="1"/>
  <c r="L61" i="11"/>
  <c r="J61" i="11"/>
  <c r="K61" i="11" s="1"/>
  <c r="T59" i="11"/>
  <c r="Q59" i="11"/>
  <c r="L185" i="11" s="1"/>
  <c r="L59" i="11"/>
  <c r="E59" i="11"/>
  <c r="C59" i="11"/>
  <c r="S58" i="11"/>
  <c r="I184" i="11" s="1"/>
  <c r="O184" i="11" s="1"/>
  <c r="S184" i="11" s="1"/>
  <c r="W184" i="11" s="1"/>
  <c r="M58" i="11"/>
  <c r="L58" i="11"/>
  <c r="F58" i="11" s="1"/>
  <c r="E58" i="11"/>
  <c r="AD57" i="11"/>
  <c r="S57" i="11"/>
  <c r="I183" i="11" s="1"/>
  <c r="O183" i="11" s="1"/>
  <c r="S183" i="11" s="1"/>
  <c r="W183" i="11" s="1"/>
  <c r="R57" i="11"/>
  <c r="M57" i="11"/>
  <c r="L57" i="11"/>
  <c r="F57" i="11"/>
  <c r="E57" i="11"/>
  <c r="AD56" i="11"/>
  <c r="S56" i="11"/>
  <c r="I182" i="11" s="1"/>
  <c r="O182" i="11" s="1"/>
  <c r="S182" i="11" s="1"/>
  <c r="W182" i="11" s="1"/>
  <c r="Q56" i="11"/>
  <c r="M56" i="11"/>
  <c r="L56" i="11"/>
  <c r="F56" i="11"/>
  <c r="E56" i="11"/>
  <c r="C56" i="11"/>
  <c r="AD55" i="11"/>
  <c r="S55" i="11"/>
  <c r="I181" i="11" s="1"/>
  <c r="O181" i="11" s="1"/>
  <c r="S181" i="11" s="1"/>
  <c r="W181" i="11" s="1"/>
  <c r="R55" i="11"/>
  <c r="J181" i="11" s="1"/>
  <c r="Q55" i="11"/>
  <c r="L181" i="11" s="1"/>
  <c r="M55" i="11"/>
  <c r="L55" i="11"/>
  <c r="F55" i="11" s="1"/>
  <c r="E55" i="11"/>
  <c r="C55" i="11"/>
  <c r="AA54" i="11"/>
  <c r="S54" i="11"/>
  <c r="I180" i="11" s="1"/>
  <c r="M54" i="11"/>
  <c r="L54" i="11"/>
  <c r="F54" i="11" s="1"/>
  <c r="E54" i="11"/>
  <c r="AA53" i="11"/>
  <c r="AA55" i="11" s="1"/>
  <c r="R38" i="11"/>
  <c r="Q38" i="11"/>
  <c r="Q37" i="11"/>
  <c r="R37" i="11" s="1"/>
  <c r="R36" i="11"/>
  <c r="Q36" i="11"/>
  <c r="V256" i="11" l="1"/>
  <c r="Q134" i="11"/>
  <c r="L173" i="11" s="1"/>
  <c r="V212" i="11"/>
  <c r="Q122" i="11"/>
  <c r="L172" i="11" s="1"/>
  <c r="O124" i="11"/>
  <c r="P124" i="11" s="1"/>
  <c r="Q110" i="11"/>
  <c r="L171" i="11" s="1"/>
  <c r="S124" i="11"/>
  <c r="V244" i="11"/>
  <c r="V248" i="11" s="1"/>
  <c r="S61" i="11"/>
  <c r="K60" i="11"/>
  <c r="Q72" i="11"/>
  <c r="R72" i="11"/>
  <c r="J201" i="11"/>
  <c r="T86" i="11"/>
  <c r="BV72" i="9" s="1"/>
  <c r="Q87" i="11"/>
  <c r="R87" i="11"/>
  <c r="L203" i="11"/>
  <c r="V185" i="11" s="1"/>
  <c r="L233" i="11"/>
  <c r="V211" i="11" s="1"/>
  <c r="P130" i="11"/>
  <c r="J192" i="11"/>
  <c r="T71" i="11"/>
  <c r="BV48" i="9" s="1"/>
  <c r="R84" i="11"/>
  <c r="Q84" i="11"/>
  <c r="J183" i="11"/>
  <c r="T57" i="11"/>
  <c r="BV21" i="9" s="1"/>
  <c r="N60" i="11"/>
  <c r="Q83" i="11"/>
  <c r="P89" i="11"/>
  <c r="J100" i="11" s="1"/>
  <c r="R83" i="11"/>
  <c r="J200" i="11"/>
  <c r="T85" i="11"/>
  <c r="BV73" i="9" s="1"/>
  <c r="L224" i="11"/>
  <c r="L228" i="11" s="1"/>
  <c r="P120" i="11"/>
  <c r="L182" i="11"/>
  <c r="V182" i="11" s="1"/>
  <c r="Q58" i="11"/>
  <c r="R58" i="11"/>
  <c r="J191" i="11"/>
  <c r="T70" i="11"/>
  <c r="BV49" i="9" s="1"/>
  <c r="S75" i="11"/>
  <c r="K74" i="11"/>
  <c r="AA262" i="11" s="1"/>
  <c r="AE55" i="11"/>
  <c r="AA58" i="11"/>
  <c r="J60" i="11"/>
  <c r="AA68" i="11"/>
  <c r="AE69" i="11"/>
  <c r="AA72" i="11"/>
  <c r="S74" i="11"/>
  <c r="C74" i="11" s="1"/>
  <c r="AA83" i="11"/>
  <c r="AA87" i="11"/>
  <c r="N89" i="11"/>
  <c r="O211" i="11"/>
  <c r="Y106" i="11"/>
  <c r="R284" i="11"/>
  <c r="I213" i="11"/>
  <c r="O213" i="11" s="1"/>
  <c r="S213" i="11" s="1"/>
  <c r="W213" i="11" s="1"/>
  <c r="Y107" i="11"/>
  <c r="R285" i="11"/>
  <c r="I214" i="11"/>
  <c r="O214" i="11" s="1"/>
  <c r="S214" i="11" s="1"/>
  <c r="W214" i="11" s="1"/>
  <c r="Y108" i="11"/>
  <c r="R110" i="11"/>
  <c r="U110" i="11" s="1"/>
  <c r="I227" i="11"/>
  <c r="O227" i="11" s="1"/>
  <c r="S216" i="11" s="1"/>
  <c r="W216" i="11" s="1"/>
  <c r="R287" i="11"/>
  <c r="Y118" i="11"/>
  <c r="J228" i="11"/>
  <c r="J233" i="11"/>
  <c r="J256" i="11"/>
  <c r="S151" i="11"/>
  <c r="I195" i="11"/>
  <c r="O189" i="11"/>
  <c r="O195" i="11" s="1"/>
  <c r="AE70" i="11"/>
  <c r="O198" i="11"/>
  <c r="O204" i="11" s="1"/>
  <c r="I204" i="11"/>
  <c r="AE85" i="11"/>
  <c r="S89" i="11"/>
  <c r="C89" i="11" s="1"/>
  <c r="L217" i="11"/>
  <c r="J217" i="11"/>
  <c r="P109" i="11"/>
  <c r="O110" i="11"/>
  <c r="O112" i="11" s="1"/>
  <c r="S110" i="11"/>
  <c r="P119" i="11"/>
  <c r="Y121" i="11"/>
  <c r="R122" i="11"/>
  <c r="U122" i="11" s="1"/>
  <c r="I237" i="11"/>
  <c r="O237" i="11" s="1"/>
  <c r="S215" i="11" s="1"/>
  <c r="W215" i="11" s="1"/>
  <c r="R134" i="11"/>
  <c r="U134" i="11" s="1"/>
  <c r="L235" i="11"/>
  <c r="AD54" i="11"/>
  <c r="R56" i="11"/>
  <c r="AA56" i="11"/>
  <c r="C57" i="11"/>
  <c r="Q57" i="11"/>
  <c r="AD58" i="11"/>
  <c r="AD68" i="11"/>
  <c r="AA70" i="11"/>
  <c r="C71" i="11"/>
  <c r="Q71" i="11"/>
  <c r="AD72" i="11"/>
  <c r="AD83" i="11"/>
  <c r="AA85" i="11"/>
  <c r="C86" i="11"/>
  <c r="Q86" i="11"/>
  <c r="AD87" i="11"/>
  <c r="P106" i="11"/>
  <c r="U106" i="11"/>
  <c r="P107" i="11"/>
  <c r="U107" i="11"/>
  <c r="P108" i="11"/>
  <c r="U108" i="11"/>
  <c r="P118" i="11"/>
  <c r="U118" i="11"/>
  <c r="Y120" i="11"/>
  <c r="O122" i="11"/>
  <c r="S122" i="11"/>
  <c r="L237" i="11"/>
  <c r="V215" i="11" s="1"/>
  <c r="O134" i="11"/>
  <c r="J237" i="11"/>
  <c r="S134" i="11"/>
  <c r="I186" i="11"/>
  <c r="O180" i="11"/>
  <c r="C54" i="11"/>
  <c r="T55" i="11"/>
  <c r="BV20" i="9" s="1"/>
  <c r="AA57" i="11"/>
  <c r="C58" i="11"/>
  <c r="S60" i="11"/>
  <c r="C60" i="11" s="1"/>
  <c r="C68" i="11"/>
  <c r="T69" i="11"/>
  <c r="BV47" i="9" s="1"/>
  <c r="AA71" i="11"/>
  <c r="C72" i="11"/>
  <c r="C83" i="11"/>
  <c r="AA86" i="11"/>
  <c r="C87" i="11"/>
  <c r="R286" i="11"/>
  <c r="I212" i="11"/>
  <c r="O212" i="11" s="1"/>
  <c r="S212" i="11" s="1"/>
  <c r="W212" i="11" s="1"/>
  <c r="Y109" i="11"/>
  <c r="AB109" i="11" s="1"/>
  <c r="AB286" i="11" s="1"/>
  <c r="R283" i="11"/>
  <c r="I222" i="11"/>
  <c r="Y119" i="11"/>
  <c r="P121" i="11"/>
  <c r="U121" i="11"/>
  <c r="P129" i="11"/>
  <c r="U129" i="11"/>
  <c r="I233" i="11"/>
  <c r="U130" i="11"/>
  <c r="L236" i="11"/>
  <c r="V214" i="11" s="1"/>
  <c r="P133" i="11"/>
  <c r="P139" i="11"/>
  <c r="P143" i="11" s="1"/>
  <c r="N141" i="11"/>
  <c r="Q157" i="11"/>
  <c r="U180" i="11"/>
  <c r="U186" i="11" s="1"/>
  <c r="K217" i="11"/>
  <c r="U211" i="11"/>
  <c r="U217" i="11" s="1"/>
  <c r="Q267" i="11"/>
  <c r="R267" i="11"/>
  <c r="AC286" i="11"/>
  <c r="P286" i="11"/>
  <c r="AD286" i="11"/>
  <c r="W244" i="11"/>
  <c r="S248" i="11"/>
  <c r="W248" i="11" s="1"/>
  <c r="W256" i="11"/>
  <c r="I265" i="11"/>
  <c r="R265" i="11" s="1"/>
  <c r="N139" i="11"/>
  <c r="Q151" i="11"/>
  <c r="S157" i="11"/>
  <c r="R266" i="11"/>
  <c r="Q269" i="11"/>
  <c r="AD270" i="11"/>
  <c r="AC270" i="11"/>
  <c r="O288" i="11"/>
  <c r="P288" i="11" s="1"/>
  <c r="P132" i="11"/>
  <c r="U132" i="11"/>
  <c r="N142" i="11"/>
  <c r="N147" i="11"/>
  <c r="AD265" i="11"/>
  <c r="AC265" i="11"/>
  <c r="R268" i="11"/>
  <c r="Q268" i="11"/>
  <c r="P287" i="11"/>
  <c r="AD287" i="11"/>
  <c r="AC287" i="11"/>
  <c r="P283" i="11"/>
  <c r="AC284" i="11"/>
  <c r="P285" i="11"/>
  <c r="L294" i="11"/>
  <c r="AD285" i="11" s="1"/>
  <c r="Q266" i="11"/>
  <c r="X269" i="11"/>
  <c r="V269" i="11" s="1"/>
  <c r="I269" i="11" s="1"/>
  <c r="R269" i="11" s="1"/>
  <c r="AD284" i="11"/>
  <c r="AC285" i="11"/>
  <c r="J271" i="11"/>
  <c r="P271" i="11"/>
  <c r="N283" i="11"/>
  <c r="AC283" i="11"/>
  <c r="AD283" i="11"/>
  <c r="E10" i="5"/>
  <c r="Y263" i="11" l="1"/>
  <c r="V172" i="11"/>
  <c r="BV57" i="9"/>
  <c r="V171" i="11"/>
  <c r="V175" i="11" s="1"/>
  <c r="BV34" i="9"/>
  <c r="L175" i="11"/>
  <c r="V213" i="11"/>
  <c r="V217" i="11" s="1"/>
  <c r="AA269" i="11"/>
  <c r="Z269" i="11" s="1"/>
  <c r="T269" i="11"/>
  <c r="AC289" i="11"/>
  <c r="T268" i="11"/>
  <c r="AA268" i="11"/>
  <c r="Z268" i="11"/>
  <c r="V283" i="11"/>
  <c r="W283" i="11" s="1"/>
  <c r="T283" i="11" s="1"/>
  <c r="J283" i="11" s="1"/>
  <c r="V286" i="11"/>
  <c r="W286" i="11" s="1"/>
  <c r="T286" i="11"/>
  <c r="J286" i="11" s="1"/>
  <c r="O186" i="11"/>
  <c r="S180" i="11"/>
  <c r="P110" i="11"/>
  <c r="Q68" i="11"/>
  <c r="Q78" i="11" s="1"/>
  <c r="AG44" i="9" s="1"/>
  <c r="R68" i="11"/>
  <c r="Q54" i="11"/>
  <c r="Q64" i="11" s="1"/>
  <c r="AG17" i="9" s="1"/>
  <c r="R54" i="11"/>
  <c r="J239" i="11"/>
  <c r="AB107" i="11"/>
  <c r="AB284" i="11" s="1"/>
  <c r="O217" i="11"/>
  <c r="L184" i="11"/>
  <c r="AE58" i="11"/>
  <c r="L198" i="11"/>
  <c r="Q89" i="11"/>
  <c r="AG68" i="9" s="1"/>
  <c r="AE83" i="11"/>
  <c r="L74" i="11"/>
  <c r="L193" i="11"/>
  <c r="AE72" i="11"/>
  <c r="AD289" i="11"/>
  <c r="AC266" i="11"/>
  <c r="AD266" i="11"/>
  <c r="AA267" i="11"/>
  <c r="Z267" i="11" s="1"/>
  <c r="T267" i="11"/>
  <c r="O233" i="11"/>
  <c r="O239" i="11" s="1"/>
  <c r="I239" i="11"/>
  <c r="P122" i="11"/>
  <c r="J182" i="11"/>
  <c r="T56" i="11"/>
  <c r="BV22" i="9" s="1"/>
  <c r="V287" i="11"/>
  <c r="W287" i="11" s="1"/>
  <c r="T287" i="11" s="1"/>
  <c r="J287" i="11" s="1"/>
  <c r="I217" i="11"/>
  <c r="AE56" i="11"/>
  <c r="J202" i="11"/>
  <c r="T87" i="11"/>
  <c r="BV74" i="9" s="1"/>
  <c r="AD269" i="11"/>
  <c r="AC269" i="11"/>
  <c r="AA265" i="11"/>
  <c r="Z265" i="11"/>
  <c r="T265" i="11"/>
  <c r="R271" i="11"/>
  <c r="AD267" i="11"/>
  <c r="AC267" i="11"/>
  <c r="L201" i="11"/>
  <c r="AE86" i="11"/>
  <c r="L183" i="11"/>
  <c r="AE57" i="11"/>
  <c r="V284" i="11"/>
  <c r="W284" i="11" s="1"/>
  <c r="T284" i="11" s="1"/>
  <c r="J284" i="11" s="1"/>
  <c r="N74" i="11"/>
  <c r="J198" i="11"/>
  <c r="T83" i="11"/>
  <c r="BV70" i="9" s="1"/>
  <c r="AB82" i="11"/>
  <c r="AB83" i="11" s="1"/>
  <c r="R89" i="11"/>
  <c r="L199" i="11"/>
  <c r="V181" i="11" s="1"/>
  <c r="AE84" i="11"/>
  <c r="L239" i="11"/>
  <c r="L202" i="11"/>
  <c r="AE87" i="11"/>
  <c r="AC268" i="11"/>
  <c r="AD268" i="11"/>
  <c r="Q271" i="11"/>
  <c r="T266" i="11"/>
  <c r="AA266" i="11"/>
  <c r="Z266" i="11"/>
  <c r="V271" i="11"/>
  <c r="V272" i="11" s="1"/>
  <c r="P134" i="11"/>
  <c r="I228" i="11"/>
  <c r="O222" i="11"/>
  <c r="O228" i="11" s="1"/>
  <c r="L192" i="11"/>
  <c r="AE71" i="11"/>
  <c r="V285" i="11"/>
  <c r="W285" i="11" s="1"/>
  <c r="T285" i="11" s="1"/>
  <c r="J285" i="11" s="1"/>
  <c r="AB106" i="11"/>
  <c r="AB283" i="11" s="1"/>
  <c r="J184" i="11"/>
  <c r="T58" i="11"/>
  <c r="BV23" i="9" s="1"/>
  <c r="J199" i="11"/>
  <c r="T84" i="11"/>
  <c r="BV71" i="9" s="1"/>
  <c r="J193" i="11"/>
  <c r="T72" i="11"/>
  <c r="BV50" i="9" s="1"/>
  <c r="K100" i="11" l="1"/>
  <c r="M38" i="11" s="1"/>
  <c r="Q61" i="11"/>
  <c r="Q65" i="11" s="1"/>
  <c r="AI17" i="9" s="1"/>
  <c r="Q75" i="11"/>
  <c r="Q79" i="11" s="1"/>
  <c r="AI44" i="9" s="1"/>
  <c r="AD271" i="11"/>
  <c r="AC271" i="11"/>
  <c r="AB84" i="11"/>
  <c r="L204" i="11"/>
  <c r="V183" i="11"/>
  <c r="S287" i="11"/>
  <c r="Q287" i="11"/>
  <c r="AA287" i="11" s="1"/>
  <c r="S283" i="11"/>
  <c r="Q283" i="11"/>
  <c r="Q284" i="11"/>
  <c r="S284" i="11"/>
  <c r="S285" i="11"/>
  <c r="Q285" i="11"/>
  <c r="Z285" i="11" s="1"/>
  <c r="S211" i="11"/>
  <c r="L180" i="11"/>
  <c r="AE54" i="11"/>
  <c r="S286" i="11"/>
  <c r="Q286" i="11"/>
  <c r="J204" i="11"/>
  <c r="J189" i="11"/>
  <c r="T68" i="11"/>
  <c r="BV46" i="9" s="1"/>
  <c r="AB67" i="11"/>
  <c r="AB86" i="11"/>
  <c r="AB85" i="11"/>
  <c r="AA271" i="11"/>
  <c r="Z271" i="11" s="1"/>
  <c r="AB87" i="11"/>
  <c r="J180" i="11"/>
  <c r="T54" i="11"/>
  <c r="AB53" i="11"/>
  <c r="AB54" i="11" s="1"/>
  <c r="W180" i="11"/>
  <c r="S186" i="11"/>
  <c r="W186" i="11" s="1"/>
  <c r="L100" i="11"/>
  <c r="V184" i="11"/>
  <c r="L189" i="11"/>
  <c r="L195" i="11" s="1"/>
  <c r="AE68" i="11"/>
  <c r="M124" i="4"/>
  <c r="S124" i="4" s="1"/>
  <c r="K124" i="4"/>
  <c r="R124" i="4" s="1"/>
  <c r="L124" i="4"/>
  <c r="N124" i="4" s="1"/>
  <c r="Q280" i="4"/>
  <c r="U270" i="4"/>
  <c r="U269" i="4"/>
  <c r="U268" i="4"/>
  <c r="U267" i="4"/>
  <c r="U266" i="4"/>
  <c r="U265" i="4"/>
  <c r="Y263" i="4"/>
  <c r="BV19" i="9" l="1"/>
  <c r="AB69" i="11"/>
  <c r="AB71" i="11"/>
  <c r="AB70" i="11"/>
  <c r="AB72" i="11"/>
  <c r="Q288" i="11"/>
  <c r="AA283" i="11"/>
  <c r="J186" i="11"/>
  <c r="AA286" i="11"/>
  <c r="Z286" i="11" s="1"/>
  <c r="L186" i="11"/>
  <c r="V180" i="11"/>
  <c r="V186" i="11" s="1"/>
  <c r="AB57" i="11"/>
  <c r="AB55" i="11"/>
  <c r="AB58" i="11"/>
  <c r="AB56" i="11"/>
  <c r="AB68" i="11"/>
  <c r="J195" i="11"/>
  <c r="S217" i="11"/>
  <c r="W217" i="11" s="1"/>
  <c r="W211" i="11"/>
  <c r="AA284" i="11"/>
  <c r="Z284" i="11"/>
  <c r="O124" i="4"/>
  <c r="P124" i="4" s="1"/>
  <c r="Q124" i="4"/>
  <c r="AA289" i="11" l="1"/>
  <c r="Z283" i="11"/>
  <c r="Z289" i="11" s="1"/>
  <c r="J75" i="4"/>
  <c r="J61" i="4"/>
  <c r="O75" i="4"/>
  <c r="K293" i="4"/>
  <c r="L293" i="4"/>
  <c r="K294" i="4"/>
  <c r="L294" i="4"/>
  <c r="K295" i="4"/>
  <c r="L295" i="4"/>
  <c r="K296" i="4"/>
  <c r="L296" i="4"/>
  <c r="L292" i="4"/>
  <c r="K292" i="4"/>
  <c r="J296" i="4"/>
  <c r="J295" i="4"/>
  <c r="J293" i="4"/>
  <c r="J292" i="4"/>
  <c r="I293" i="4"/>
  <c r="I294" i="4"/>
  <c r="I295" i="4"/>
  <c r="I292" i="4"/>
  <c r="C287" i="4"/>
  <c r="O287" i="4" s="1"/>
  <c r="P287" i="4" s="1"/>
  <c r="C286" i="4"/>
  <c r="O286" i="4" s="1"/>
  <c r="P286" i="4" s="1"/>
  <c r="C285" i="4"/>
  <c r="C284" i="4"/>
  <c r="O284" i="4" s="1"/>
  <c r="P284" i="4" s="1"/>
  <c r="C283" i="4"/>
  <c r="O283" i="4" s="1"/>
  <c r="P283" i="4" s="1"/>
  <c r="Y121" i="4"/>
  <c r="Y120" i="4"/>
  <c r="Y119" i="4"/>
  <c r="Y118" i="4"/>
  <c r="Y109" i="4"/>
  <c r="AB109" i="4" s="1"/>
  <c r="AB286" i="4" s="1"/>
  <c r="Y108" i="4"/>
  <c r="AB107" i="4"/>
  <c r="Y107" i="4"/>
  <c r="Y106" i="4"/>
  <c r="AB106" i="4" s="1"/>
  <c r="AB283" i="4" s="1"/>
  <c r="AB287" i="4"/>
  <c r="R287" i="4"/>
  <c r="V287" i="4" s="1"/>
  <c r="W287" i="4" s="1"/>
  <c r="N287" i="4"/>
  <c r="L287" i="4"/>
  <c r="K287" i="4"/>
  <c r="R286" i="4"/>
  <c r="L286" i="4"/>
  <c r="N286" i="4" s="1"/>
  <c r="K286" i="4"/>
  <c r="AB285" i="4"/>
  <c r="R285" i="4"/>
  <c r="O285" i="4"/>
  <c r="P285" i="4" s="1"/>
  <c r="L285" i="4"/>
  <c r="N285" i="4" s="1"/>
  <c r="K285" i="4"/>
  <c r="AB284" i="4"/>
  <c r="R284" i="4"/>
  <c r="V284" i="4" s="1"/>
  <c r="W284" i="4" s="1"/>
  <c r="N284" i="4"/>
  <c r="L284" i="4"/>
  <c r="K284" i="4"/>
  <c r="V283" i="4"/>
  <c r="W283" i="4" s="1"/>
  <c r="R283" i="4"/>
  <c r="L283" i="4"/>
  <c r="L288" i="4" s="1"/>
  <c r="K283" i="4"/>
  <c r="W281" i="4"/>
  <c r="K280" i="4"/>
  <c r="J280" i="4"/>
  <c r="K279" i="4"/>
  <c r="J279" i="4"/>
  <c r="K278" i="4"/>
  <c r="J278" i="4"/>
  <c r="K277" i="4"/>
  <c r="J277" i="4"/>
  <c r="K276" i="4"/>
  <c r="J276" i="4"/>
  <c r="K275" i="4"/>
  <c r="J275" i="4"/>
  <c r="O274" i="4"/>
  <c r="AB271" i="4"/>
  <c r="S271" i="4"/>
  <c r="O271" i="4"/>
  <c r="N271" i="4"/>
  <c r="K271" i="4"/>
  <c r="AB270" i="4"/>
  <c r="AA270" i="4"/>
  <c r="Z270" i="4"/>
  <c r="V270" i="4"/>
  <c r="T270" i="4" s="1"/>
  <c r="L270" i="4"/>
  <c r="Q270" i="4" s="1"/>
  <c r="J270" i="4"/>
  <c r="AB269" i="4"/>
  <c r="W269" i="4"/>
  <c r="X269" i="4" s="1"/>
  <c r="V269" i="4" s="1"/>
  <c r="I269" i="4" s="1"/>
  <c r="N269" i="4"/>
  <c r="P269" i="4" s="1"/>
  <c r="M269" i="4"/>
  <c r="J269" i="4"/>
  <c r="L269" i="4" s="1"/>
  <c r="AB268" i="4"/>
  <c r="W268" i="4"/>
  <c r="X268" i="4" s="1"/>
  <c r="V268" i="4" s="1"/>
  <c r="I268" i="4" s="1"/>
  <c r="P268" i="4"/>
  <c r="N268" i="4"/>
  <c r="M268" i="4"/>
  <c r="J268" i="4"/>
  <c r="L268" i="4" s="1"/>
  <c r="AB267" i="4"/>
  <c r="W267" i="4"/>
  <c r="X267" i="4" s="1"/>
  <c r="V267" i="4" s="1"/>
  <c r="I267" i="4" s="1"/>
  <c r="N267" i="4"/>
  <c r="P267" i="4" s="1"/>
  <c r="M267" i="4"/>
  <c r="J267" i="4"/>
  <c r="L267" i="4" s="1"/>
  <c r="AB266" i="4"/>
  <c r="W266" i="4"/>
  <c r="X266" i="4" s="1"/>
  <c r="V266" i="4" s="1"/>
  <c r="I266" i="4" s="1"/>
  <c r="P266" i="4"/>
  <c r="Q266" i="4" s="1"/>
  <c r="N266" i="4"/>
  <c r="M266" i="4"/>
  <c r="J266" i="4"/>
  <c r="L266" i="4" s="1"/>
  <c r="W265" i="4"/>
  <c r="X265" i="4" s="1"/>
  <c r="V265" i="4" s="1"/>
  <c r="N265" i="4"/>
  <c r="P265" i="4" s="1"/>
  <c r="M265" i="4"/>
  <c r="J265" i="4"/>
  <c r="L265" i="4" s="1"/>
  <c r="X263" i="4"/>
  <c r="P79" i="11" l="1"/>
  <c r="AI45" i="9" s="1"/>
  <c r="Q281" i="4"/>
  <c r="AD286" i="4"/>
  <c r="AC286" i="4"/>
  <c r="AC284" i="4"/>
  <c r="AD287" i="4"/>
  <c r="AD285" i="4"/>
  <c r="AC283" i="4"/>
  <c r="AD284" i="4"/>
  <c r="AD283" i="4"/>
  <c r="AC287" i="4"/>
  <c r="AC285" i="4"/>
  <c r="AC266" i="4"/>
  <c r="AD266" i="4"/>
  <c r="Q265" i="4"/>
  <c r="P271" i="4"/>
  <c r="Q284" i="4"/>
  <c r="AA284" i="4" s="1"/>
  <c r="Z284" i="4" s="1"/>
  <c r="I265" i="4"/>
  <c r="R265" i="4" s="1"/>
  <c r="V271" i="4"/>
  <c r="V272" i="4" s="1"/>
  <c r="Q269" i="4"/>
  <c r="R269" i="4"/>
  <c r="Q285" i="4"/>
  <c r="Z285" i="4" s="1"/>
  <c r="AD270" i="4"/>
  <c r="AC270" i="4"/>
  <c r="R268" i="4"/>
  <c r="Q267" i="4"/>
  <c r="R267" i="4"/>
  <c r="T283" i="4"/>
  <c r="J283" i="4" s="1"/>
  <c r="V286" i="4"/>
  <c r="W286" i="4" s="1"/>
  <c r="T286" i="4" s="1"/>
  <c r="J286" i="4" s="1"/>
  <c r="Q268" i="4"/>
  <c r="N283" i="4"/>
  <c r="R266" i="4"/>
  <c r="J271" i="4"/>
  <c r="T284" i="4"/>
  <c r="J284" i="4" s="1"/>
  <c r="S284" i="4" s="1"/>
  <c r="V285" i="4"/>
  <c r="W285" i="4" s="1"/>
  <c r="T285" i="4" s="1"/>
  <c r="J285" i="4" s="1"/>
  <c r="S285" i="4" s="1"/>
  <c r="T287" i="4"/>
  <c r="J287" i="4" s="1"/>
  <c r="S287" i="4" s="1"/>
  <c r="O288" i="4"/>
  <c r="P288" i="4" s="1"/>
  <c r="Q74" i="11" l="1"/>
  <c r="K99" i="11" s="1"/>
  <c r="M37" i="11" s="1"/>
  <c r="R75" i="11"/>
  <c r="P74" i="11"/>
  <c r="J99" i="11" s="1"/>
  <c r="AC289" i="4"/>
  <c r="AD289" i="4"/>
  <c r="T265" i="4"/>
  <c r="R271" i="4"/>
  <c r="Q286" i="4"/>
  <c r="S286" i="4"/>
  <c r="T268" i="4"/>
  <c r="AA268" i="4"/>
  <c r="Z268" i="4" s="1"/>
  <c r="T266" i="4"/>
  <c r="AA266" i="4"/>
  <c r="Z266" i="4"/>
  <c r="Q283" i="4"/>
  <c r="S283" i="4"/>
  <c r="AA269" i="4"/>
  <c r="Z269" i="4" s="1"/>
  <c r="T269" i="4"/>
  <c r="Q287" i="4"/>
  <c r="AA287" i="4" s="1"/>
  <c r="Q271" i="4"/>
  <c r="AD265" i="4"/>
  <c r="AC265" i="4"/>
  <c r="AA267" i="4"/>
  <c r="Z267" i="4"/>
  <c r="T267" i="4"/>
  <c r="AC269" i="4"/>
  <c r="AD269" i="4"/>
  <c r="AC268" i="4"/>
  <c r="AD268" i="4"/>
  <c r="AD267" i="4"/>
  <c r="AC267" i="4"/>
  <c r="T75" i="11" l="1"/>
  <c r="R74" i="11"/>
  <c r="AD271" i="4"/>
  <c r="AA283" i="4"/>
  <c r="Z283" i="4" s="1"/>
  <c r="Q288" i="4"/>
  <c r="AA286" i="4"/>
  <c r="Z286" i="4" s="1"/>
  <c r="AA271" i="4"/>
  <c r="Z271" i="4" s="1"/>
  <c r="AC271" i="4"/>
  <c r="L99" i="11" l="1"/>
  <c r="T74" i="11"/>
  <c r="AA289" i="4"/>
  <c r="Z289" i="4"/>
  <c r="L75" i="4" l="1"/>
  <c r="K74" i="4"/>
  <c r="AA262" i="4" s="1"/>
  <c r="J74" i="4"/>
  <c r="Q38" i="4"/>
  <c r="R38" i="4" s="1"/>
  <c r="Q37" i="4"/>
  <c r="R37" i="4" s="1"/>
  <c r="J60" i="4" s="1"/>
  <c r="Q36" i="4"/>
  <c r="R36" i="4" s="1"/>
  <c r="DB6" i="4"/>
  <c r="DC6" i="4"/>
  <c r="DD6" i="4"/>
  <c r="DA6" i="4"/>
  <c r="CX6" i="4"/>
  <c r="CX4" i="4"/>
  <c r="CV5" i="4"/>
  <c r="CW5" i="4"/>
  <c r="CX5" i="4"/>
  <c r="CY5" i="4"/>
  <c r="CU5" i="4"/>
  <c r="CT5" i="4"/>
  <c r="CU4" i="4"/>
  <c r="CT4" i="4"/>
  <c r="CN6" i="4"/>
  <c r="CM6" i="4"/>
  <c r="CM5" i="4"/>
  <c r="CL4" i="4"/>
  <c r="CM4" i="4"/>
  <c r="CN4" i="4"/>
  <c r="CO4" i="4"/>
  <c r="CP4" i="4"/>
  <c r="CQ4" i="4"/>
  <c r="CR4" i="4"/>
  <c r="CK4" i="4"/>
  <c r="L74" i="4" l="1"/>
  <c r="S75" i="4"/>
  <c r="S74" i="4" s="1"/>
  <c r="J37" i="4" s="1"/>
  <c r="L61" i="4"/>
  <c r="U84" i="4"/>
  <c r="U85" i="4"/>
  <c r="U86" i="4"/>
  <c r="U87" i="4"/>
  <c r="U83" i="4"/>
  <c r="U69" i="4"/>
  <c r="U70" i="4"/>
  <c r="U71" i="4"/>
  <c r="U72" i="4"/>
  <c r="U68" i="4"/>
  <c r="U55" i="4"/>
  <c r="U56" i="4"/>
  <c r="U57" i="4"/>
  <c r="U58" i="4"/>
  <c r="U54" i="4"/>
  <c r="P75" i="4" l="1"/>
  <c r="P79" i="4" s="1"/>
  <c r="AD96" i="3" s="1"/>
  <c r="S61" i="4"/>
  <c r="S60" i="4" s="1"/>
  <c r="J36" i="4" s="1"/>
  <c r="K60" i="4"/>
  <c r="R75" i="4" l="1"/>
  <c r="W256" i="4"/>
  <c r="U256" i="4"/>
  <c r="S256" i="4"/>
  <c r="T75" i="4" l="1"/>
  <c r="K259" i="4" l="1"/>
  <c r="I259" i="4"/>
  <c r="O259" i="4"/>
  <c r="O256" i="4"/>
  <c r="K256" i="4"/>
  <c r="I256" i="4"/>
  <c r="M259" i="4"/>
  <c r="M256" i="4"/>
  <c r="W248" i="4"/>
  <c r="U248" i="4"/>
  <c r="S248" i="4"/>
  <c r="W245" i="4"/>
  <c r="W246" i="4"/>
  <c r="W247" i="4"/>
  <c r="U246" i="4"/>
  <c r="U247" i="4"/>
  <c r="U245" i="4"/>
  <c r="S246" i="4"/>
  <c r="S247" i="4"/>
  <c r="S245" i="4"/>
  <c r="W244" i="4"/>
  <c r="U244" i="4"/>
  <c r="S244" i="4"/>
  <c r="R245" i="4"/>
  <c r="R246" i="4"/>
  <c r="R247" i="4"/>
  <c r="R244" i="4"/>
  <c r="O252" i="4"/>
  <c r="K252" i="4"/>
  <c r="I252" i="4"/>
  <c r="O245" i="4"/>
  <c r="O246" i="4"/>
  <c r="O247" i="4"/>
  <c r="O244" i="4"/>
  <c r="I245" i="4"/>
  <c r="K245" i="4"/>
  <c r="I246" i="4"/>
  <c r="K246" i="4"/>
  <c r="I247" i="4"/>
  <c r="K247" i="4"/>
  <c r="K244" i="4"/>
  <c r="I244" i="4"/>
  <c r="M245" i="4"/>
  <c r="M246" i="4"/>
  <c r="M247" i="4"/>
  <c r="M244" i="4"/>
  <c r="M252" i="4"/>
  <c r="W217" i="4"/>
  <c r="U217" i="4"/>
  <c r="S217" i="4"/>
  <c r="W212" i="4"/>
  <c r="W213" i="4"/>
  <c r="W214" i="4"/>
  <c r="W215" i="4"/>
  <c r="W216" i="4"/>
  <c r="W211" i="4"/>
  <c r="U212" i="4"/>
  <c r="U213" i="4"/>
  <c r="U214" i="4"/>
  <c r="U215" i="4"/>
  <c r="U216" i="4"/>
  <c r="U211" i="4"/>
  <c r="S212" i="4"/>
  <c r="S213" i="4"/>
  <c r="S214" i="4"/>
  <c r="S215" i="4"/>
  <c r="S216" i="4"/>
  <c r="S211" i="4"/>
  <c r="W186" i="4"/>
  <c r="U186" i="4"/>
  <c r="S186" i="4"/>
  <c r="W181" i="4"/>
  <c r="W182" i="4"/>
  <c r="W183" i="4"/>
  <c r="W184" i="4"/>
  <c r="W185" i="4"/>
  <c r="W180" i="4"/>
  <c r="U181" i="4"/>
  <c r="U182" i="4"/>
  <c r="U183" i="4"/>
  <c r="U184" i="4"/>
  <c r="U185" i="4"/>
  <c r="V185" i="4"/>
  <c r="U180" i="4"/>
  <c r="S181" i="4"/>
  <c r="S182" i="4"/>
  <c r="S183" i="4"/>
  <c r="S184" i="4"/>
  <c r="S185" i="4"/>
  <c r="S180" i="4"/>
  <c r="O234" i="4"/>
  <c r="O235" i="4"/>
  <c r="O236" i="4"/>
  <c r="O237" i="4"/>
  <c r="O233" i="4"/>
  <c r="M234" i="4"/>
  <c r="M235" i="4"/>
  <c r="M236" i="4"/>
  <c r="M237" i="4"/>
  <c r="M233" i="4"/>
  <c r="K237" i="4"/>
  <c r="K236" i="4"/>
  <c r="K235" i="4"/>
  <c r="K234" i="4"/>
  <c r="K233" i="4"/>
  <c r="K239" i="4"/>
  <c r="O239" i="4"/>
  <c r="I239" i="4"/>
  <c r="I233" i="4"/>
  <c r="I235" i="4"/>
  <c r="I234" i="4"/>
  <c r="I236" i="4"/>
  <c r="I237" i="4"/>
  <c r="O228" i="4"/>
  <c r="K228" i="4"/>
  <c r="I228" i="4"/>
  <c r="O223" i="4"/>
  <c r="O224" i="4"/>
  <c r="O225" i="4"/>
  <c r="O226" i="4"/>
  <c r="O227" i="4"/>
  <c r="O222" i="4"/>
  <c r="M223" i="4"/>
  <c r="M224" i="4"/>
  <c r="M225" i="4"/>
  <c r="M226" i="4"/>
  <c r="M227" i="4"/>
  <c r="M222" i="4"/>
  <c r="K227" i="4"/>
  <c r="K224" i="4"/>
  <c r="K223" i="4"/>
  <c r="K222" i="4"/>
  <c r="I222" i="4"/>
  <c r="I224" i="4"/>
  <c r="I223" i="4"/>
  <c r="I227" i="4"/>
  <c r="K186" i="4"/>
  <c r="I186" i="4"/>
  <c r="K195" i="4"/>
  <c r="I195" i="4"/>
  <c r="K204" i="4"/>
  <c r="I204" i="4"/>
  <c r="K217" i="4"/>
  <c r="I217" i="4"/>
  <c r="O217" i="4"/>
  <c r="O212" i="4"/>
  <c r="O213" i="4"/>
  <c r="O214" i="4"/>
  <c r="O211" i="4"/>
  <c r="M212" i="4"/>
  <c r="M213" i="4"/>
  <c r="M214" i="4"/>
  <c r="M211" i="4"/>
  <c r="K214" i="4"/>
  <c r="K213" i="4"/>
  <c r="K212" i="4"/>
  <c r="K211" i="4"/>
  <c r="I213" i="4" l="1"/>
  <c r="I214" i="4"/>
  <c r="I212" i="4"/>
  <c r="I211" i="4"/>
  <c r="O204" i="4"/>
  <c r="I199" i="4"/>
  <c r="K199" i="4"/>
  <c r="M199" i="4"/>
  <c r="O199" i="4"/>
  <c r="I200" i="4"/>
  <c r="K200" i="4"/>
  <c r="M200" i="4"/>
  <c r="O200" i="4"/>
  <c r="I201" i="4"/>
  <c r="K201" i="4"/>
  <c r="M201" i="4"/>
  <c r="O201" i="4"/>
  <c r="I202" i="4"/>
  <c r="K202" i="4"/>
  <c r="M202" i="4"/>
  <c r="O202" i="4"/>
  <c r="I203" i="4"/>
  <c r="J203" i="4"/>
  <c r="K203" i="4"/>
  <c r="L203" i="4"/>
  <c r="M203" i="4"/>
  <c r="O203" i="4"/>
  <c r="M198" i="4"/>
  <c r="K198" i="4"/>
  <c r="I198" i="4"/>
  <c r="O198" i="4"/>
  <c r="O195" i="4"/>
  <c r="O186" i="4"/>
  <c r="O190" i="4"/>
  <c r="O191" i="4"/>
  <c r="O192" i="4"/>
  <c r="O193" i="4"/>
  <c r="O194" i="4"/>
  <c r="O189" i="4"/>
  <c r="I190" i="4"/>
  <c r="K190" i="4"/>
  <c r="M190" i="4"/>
  <c r="I191" i="4"/>
  <c r="K191" i="4"/>
  <c r="M191" i="4"/>
  <c r="I192" i="4"/>
  <c r="K192" i="4"/>
  <c r="M192" i="4"/>
  <c r="I193" i="4"/>
  <c r="K193" i="4"/>
  <c r="M193" i="4"/>
  <c r="I194" i="4"/>
  <c r="J194" i="4"/>
  <c r="K194" i="4"/>
  <c r="L194" i="4"/>
  <c r="M194" i="4"/>
  <c r="M189" i="4"/>
  <c r="K189" i="4"/>
  <c r="I189" i="4"/>
  <c r="O181" i="4"/>
  <c r="O182" i="4"/>
  <c r="O183" i="4"/>
  <c r="O184" i="4"/>
  <c r="O185" i="4"/>
  <c r="O180" i="4"/>
  <c r="M181" i="4"/>
  <c r="M182" i="4"/>
  <c r="M183" i="4"/>
  <c r="M184" i="4"/>
  <c r="M185" i="4"/>
  <c r="M180" i="4"/>
  <c r="K181" i="4"/>
  <c r="K182" i="4"/>
  <c r="K183" i="4"/>
  <c r="K184" i="4"/>
  <c r="K185" i="4"/>
  <c r="L185" i="4"/>
  <c r="K180" i="4"/>
  <c r="I181" i="4"/>
  <c r="I182" i="4"/>
  <c r="I183" i="4"/>
  <c r="I184" i="4"/>
  <c r="I185" i="4"/>
  <c r="J185" i="4"/>
  <c r="I180" i="4"/>
  <c r="S143" i="4"/>
  <c r="K143" i="4"/>
  <c r="J143" i="4"/>
  <c r="U134" i="4"/>
  <c r="U122" i="4"/>
  <c r="R134" i="4"/>
  <c r="R122" i="4"/>
  <c r="U110" i="4"/>
  <c r="R110" i="4"/>
  <c r="S89" i="4"/>
  <c r="C88" i="4"/>
  <c r="C89" i="4"/>
  <c r="L173" i="3"/>
  <c r="L172" i="3"/>
  <c r="O172" i="3" s="1"/>
  <c r="K173" i="3"/>
  <c r="K172" i="3"/>
  <c r="J173" i="3"/>
  <c r="J172" i="3"/>
  <c r="N172" i="3"/>
  <c r="O165" i="3"/>
  <c r="N165" i="3"/>
  <c r="M165" i="3"/>
  <c r="J169" i="3" s="1"/>
  <c r="J165" i="3"/>
  <c r="O164" i="3"/>
  <c r="N164" i="3"/>
  <c r="M164" i="3"/>
  <c r="J168" i="3" s="1"/>
  <c r="J164" i="3"/>
  <c r="P172" i="3" l="1"/>
  <c r="M168" i="3"/>
  <c r="K168" i="3"/>
  <c r="N168" i="3" s="1"/>
  <c r="K174" i="3"/>
  <c r="N174" i="3" s="1"/>
  <c r="M169" i="3"/>
  <c r="K169" i="3"/>
  <c r="P173" i="3"/>
  <c r="N173" i="3"/>
  <c r="O173" i="3" l="1"/>
  <c r="N169" i="3"/>
  <c r="L174" i="3"/>
  <c r="P174" i="3" l="1"/>
  <c r="O174" i="3"/>
  <c r="C74" i="4" l="1"/>
  <c r="C73" i="4"/>
  <c r="C60" i="4"/>
  <c r="C59" i="4"/>
  <c r="U157" i="4" l="1"/>
  <c r="U151" i="4"/>
  <c r="S147" i="4"/>
  <c r="S140" i="4"/>
  <c r="S141" i="4"/>
  <c r="S142" i="4"/>
  <c r="S139" i="4"/>
  <c r="U130" i="4" l="1"/>
  <c r="U131" i="4"/>
  <c r="U132" i="4"/>
  <c r="U133" i="4"/>
  <c r="U129" i="4"/>
  <c r="U120" i="4"/>
  <c r="U121" i="4"/>
  <c r="U107" i="4"/>
  <c r="U108" i="4"/>
  <c r="U109" i="4"/>
  <c r="U106" i="4"/>
  <c r="C84" i="4"/>
  <c r="C85" i="4"/>
  <c r="C86" i="4"/>
  <c r="C87" i="4"/>
  <c r="C83" i="4"/>
  <c r="C69" i="4"/>
  <c r="C70" i="4"/>
  <c r="C71" i="4"/>
  <c r="C72" i="4"/>
  <c r="C68" i="4"/>
  <c r="H15" i="11"/>
  <c r="H14" i="11"/>
  <c r="H13" i="11"/>
  <c r="C55" i="4"/>
  <c r="C56" i="4"/>
  <c r="C57" i="4"/>
  <c r="C58" i="4"/>
  <c r="C54" i="4"/>
  <c r="AE13" i="4"/>
  <c r="AF13" i="4"/>
  <c r="AH13" i="4"/>
  <c r="AI13" i="4"/>
  <c r="AJ13" i="4"/>
  <c r="AK13" i="4"/>
  <c r="AL13" i="4"/>
  <c r="AM13" i="4"/>
  <c r="AT13" i="4"/>
  <c r="AU13" i="4"/>
  <c r="AV13" i="4"/>
  <c r="AW13" i="4"/>
  <c r="AX13" i="4"/>
  <c r="AE14" i="4"/>
  <c r="AF14" i="4"/>
  <c r="AI14" i="4"/>
  <c r="AJ14" i="4"/>
  <c r="AK14" i="4"/>
  <c r="AL14" i="4"/>
  <c r="AM14" i="4"/>
  <c r="AN14" i="4"/>
  <c r="AO14" i="4"/>
  <c r="AP14" i="4"/>
  <c r="AQ14" i="4"/>
  <c r="AS14" i="4"/>
  <c r="AT14" i="4"/>
  <c r="AM12" i="4"/>
  <c r="AP12" i="4"/>
  <c r="AQ12" i="4"/>
  <c r="AS12" i="4"/>
  <c r="AT12" i="4"/>
  <c r="AU12" i="4"/>
  <c r="AV12" i="4"/>
  <c r="AW12" i="4"/>
  <c r="AX12" i="4"/>
  <c r="AE9" i="4"/>
  <c r="AF9" i="4"/>
  <c r="AG9" i="4"/>
  <c r="AG13" i="4" s="1"/>
  <c r="AH9" i="4"/>
  <c r="AI9" i="4"/>
  <c r="AJ9" i="4"/>
  <c r="AK9" i="4"/>
  <c r="AL9" i="4"/>
  <c r="AM9" i="4"/>
  <c r="AN9" i="4"/>
  <c r="AN13" i="4" s="1"/>
  <c r="AO9" i="4"/>
  <c r="AO13" i="4" s="1"/>
  <c r="AP9" i="4"/>
  <c r="AP13" i="4" s="1"/>
  <c r="AQ9" i="4"/>
  <c r="AQ13" i="4" s="1"/>
  <c r="AR9" i="4"/>
  <c r="AR13" i="4" s="1"/>
  <c r="AS9" i="4"/>
  <c r="AS13" i="4" s="1"/>
  <c r="AT9" i="4"/>
  <c r="AU9" i="4"/>
  <c r="AV9" i="4"/>
  <c r="AW9" i="4"/>
  <c r="AX9" i="4"/>
  <c r="AE10" i="4"/>
  <c r="AF10" i="4"/>
  <c r="AG10" i="4"/>
  <c r="AG14" i="4" s="1"/>
  <c r="AH10" i="4"/>
  <c r="AH14" i="4" s="1"/>
  <c r="AI10" i="4"/>
  <c r="AJ10" i="4"/>
  <c r="AK10" i="4"/>
  <c r="AL10" i="4"/>
  <c r="AM10" i="4"/>
  <c r="AN10" i="4"/>
  <c r="AO10" i="4"/>
  <c r="AP10" i="4"/>
  <c r="AQ10" i="4"/>
  <c r="AR10" i="4"/>
  <c r="AR14" i="4" s="1"/>
  <c r="AS10" i="4"/>
  <c r="AT10" i="4"/>
  <c r="AU10" i="4"/>
  <c r="AU14" i="4" s="1"/>
  <c r="AV10" i="4"/>
  <c r="AV14" i="4" s="1"/>
  <c r="AW10" i="4"/>
  <c r="AW14" i="4" s="1"/>
  <c r="AX10" i="4"/>
  <c r="AX14" i="4" s="1"/>
  <c r="AF8" i="4"/>
  <c r="AF12" i="4" s="1"/>
  <c r="AG8" i="4"/>
  <c r="AG12" i="4" s="1"/>
  <c r="AH8" i="4"/>
  <c r="AH12" i="4" s="1"/>
  <c r="AI8" i="4"/>
  <c r="AI12" i="4" s="1"/>
  <c r="AJ8" i="4"/>
  <c r="AJ12" i="4" s="1"/>
  <c r="AK8" i="4"/>
  <c r="AK12" i="4" s="1"/>
  <c r="AL8" i="4"/>
  <c r="AL12" i="4" s="1"/>
  <c r="AM8" i="4"/>
  <c r="AN8" i="4"/>
  <c r="AN12" i="4" s="1"/>
  <c r="AO8" i="4"/>
  <c r="AO12" i="4" s="1"/>
  <c r="AP8" i="4"/>
  <c r="AQ8" i="4"/>
  <c r="AR8" i="4"/>
  <c r="AR12" i="4" s="1"/>
  <c r="AS8" i="4"/>
  <c r="AT8" i="4"/>
  <c r="AU8" i="4"/>
  <c r="AV8" i="4"/>
  <c r="AW8" i="4"/>
  <c r="AX8" i="4"/>
  <c r="AE8" i="4"/>
  <c r="AE12" i="4" s="1"/>
  <c r="H14" i="4"/>
  <c r="H15" i="4"/>
  <c r="H13" i="4"/>
  <c r="AD14" i="4" l="1"/>
  <c r="AI55" i="13" s="1"/>
  <c r="AD13" i="4"/>
  <c r="AI54" i="13" s="1"/>
  <c r="AD12" i="4"/>
  <c r="C22" i="13"/>
  <c r="C31" i="13"/>
  <c r="C32" i="13"/>
  <c r="C33" i="13"/>
  <c r="C34" i="13"/>
  <c r="C35" i="13"/>
  <c r="C30" i="13"/>
  <c r="C24" i="13"/>
  <c r="C25" i="13"/>
  <c r="C26" i="13"/>
  <c r="C27" i="13"/>
  <c r="C28" i="13"/>
  <c r="C23" i="13"/>
  <c r="AI53" i="13" l="1"/>
  <c r="N235" i="4"/>
  <c r="N237" i="4"/>
  <c r="N252" i="4"/>
  <c r="N233" i="4"/>
  <c r="N234" i="4"/>
  <c r="N236" i="4"/>
  <c r="N199" i="4"/>
  <c r="N200" i="4"/>
  <c r="N201" i="4"/>
  <c r="N202" i="4"/>
  <c r="N203" i="4"/>
  <c r="P203" i="4" s="1"/>
  <c r="D88" i="4"/>
  <c r="N198" i="4"/>
  <c r="D73" i="4"/>
  <c r="N223" i="4"/>
  <c r="N225" i="4"/>
  <c r="P225" i="4" s="1"/>
  <c r="N227" i="4"/>
  <c r="N222" i="4"/>
  <c r="N259" i="4"/>
  <c r="N224" i="4"/>
  <c r="N226" i="4"/>
  <c r="P226" i="4" s="1"/>
  <c r="N191" i="4"/>
  <c r="N193" i="4"/>
  <c r="N192" i="4"/>
  <c r="N190" i="4"/>
  <c r="N189" i="4"/>
  <c r="N194" i="4"/>
  <c r="P194" i="4" s="1"/>
  <c r="D59" i="4"/>
  <c r="N212" i="4"/>
  <c r="N214" i="4"/>
  <c r="N211" i="4"/>
  <c r="N245" i="4"/>
  <c r="N247" i="4"/>
  <c r="N256" i="4"/>
  <c r="N244" i="4"/>
  <c r="N213" i="4"/>
  <c r="N246" i="4"/>
  <c r="N180" i="4"/>
  <c r="N181" i="4"/>
  <c r="N182" i="4"/>
  <c r="N184" i="4"/>
  <c r="N185" i="4"/>
  <c r="P185" i="4" s="1"/>
  <c r="N183" i="4"/>
  <c r="C29" i="13"/>
  <c r="S130" i="4"/>
  <c r="S131" i="4"/>
  <c r="S132" i="4"/>
  <c r="S133" i="4"/>
  <c r="S129" i="4"/>
  <c r="S119" i="4"/>
  <c r="J222" i="4" s="1"/>
  <c r="S120" i="4"/>
  <c r="J224" i="4" s="1"/>
  <c r="S121" i="4"/>
  <c r="S118" i="4"/>
  <c r="S107" i="4"/>
  <c r="S108" i="4"/>
  <c r="S109" i="4"/>
  <c r="S106" i="4"/>
  <c r="R130" i="4"/>
  <c r="R131" i="4"/>
  <c r="R132" i="4"/>
  <c r="R133" i="4"/>
  <c r="R129" i="4"/>
  <c r="R119" i="4"/>
  <c r="U119" i="4" s="1"/>
  <c r="R120" i="4"/>
  <c r="R121" i="4"/>
  <c r="R118" i="4"/>
  <c r="U118" i="4" s="1"/>
  <c r="R107" i="4"/>
  <c r="R108" i="4"/>
  <c r="R109" i="4"/>
  <c r="R106" i="4"/>
  <c r="U77" i="13"/>
  <c r="J213" i="4" l="1"/>
  <c r="P213" i="4" s="1"/>
  <c r="T185" i="4"/>
  <c r="X185" i="4" s="1"/>
  <c r="J234" i="4"/>
  <c r="P234" i="4" s="1"/>
  <c r="J235" i="4"/>
  <c r="P235" i="4" s="1"/>
  <c r="J233" i="4"/>
  <c r="P233" i="4" s="1"/>
  <c r="J237" i="4"/>
  <c r="P237" i="4" s="1"/>
  <c r="T215" i="4" s="1"/>
  <c r="S134" i="4"/>
  <c r="J236" i="4"/>
  <c r="P236" i="4" s="1"/>
  <c r="J227" i="4"/>
  <c r="P227" i="4" s="1"/>
  <c r="T216" i="4" s="1"/>
  <c r="S122" i="4"/>
  <c r="J223" i="4"/>
  <c r="P223" i="4" s="1"/>
  <c r="P224" i="4"/>
  <c r="P222" i="4"/>
  <c r="S110" i="4"/>
  <c r="J211" i="4"/>
  <c r="P211" i="4" s="1"/>
  <c r="J214" i="4"/>
  <c r="P214" i="4" s="1"/>
  <c r="J212" i="4"/>
  <c r="P212" i="4" s="1"/>
  <c r="S79" i="13"/>
  <c r="S71" i="13"/>
  <c r="S63" i="13" s="1"/>
  <c r="K71" i="13"/>
  <c r="K63" i="13" s="1"/>
  <c r="C84" i="13"/>
  <c r="C81" i="13"/>
  <c r="C39" i="13" s="1"/>
  <c r="C82" i="13"/>
  <c r="C40" i="13" s="1"/>
  <c r="C83" i="13"/>
  <c r="C41" i="13" s="1"/>
  <c r="C80" i="13"/>
  <c r="C71" i="13"/>
  <c r="S64" i="13"/>
  <c r="K64" i="13"/>
  <c r="C64" i="13"/>
  <c r="C63" i="13" l="1"/>
  <c r="T213" i="4"/>
  <c r="P239" i="4"/>
  <c r="J239" i="4"/>
  <c r="P228" i="4"/>
  <c r="J228" i="4"/>
  <c r="T211" i="4"/>
  <c r="T212" i="4"/>
  <c r="J217" i="4"/>
  <c r="T214" i="4"/>
  <c r="P217" i="4"/>
  <c r="C21" i="13"/>
  <c r="C79" i="13"/>
  <c r="C38" i="13"/>
  <c r="C37" i="13" s="1"/>
  <c r="E84" i="4"/>
  <c r="E85" i="4"/>
  <c r="E86" i="4"/>
  <c r="E87" i="4"/>
  <c r="E83" i="4"/>
  <c r="T217" i="4" l="1"/>
  <c r="E69" i="4"/>
  <c r="E70" i="4"/>
  <c r="E71" i="4"/>
  <c r="E72" i="4"/>
  <c r="E73" i="4"/>
  <c r="E68" i="4"/>
  <c r="E55" i="4" l="1"/>
  <c r="E56" i="4"/>
  <c r="E57" i="4"/>
  <c r="E58" i="4"/>
  <c r="E59" i="4"/>
  <c r="E54" i="4"/>
  <c r="M147" i="4" l="1"/>
  <c r="L252" i="4" s="1"/>
  <c r="M140" i="4"/>
  <c r="L245" i="4" s="1"/>
  <c r="V245" i="4" s="1"/>
  <c r="M141" i="4"/>
  <c r="L246" i="4" s="1"/>
  <c r="V246" i="4" s="1"/>
  <c r="M142" i="4"/>
  <c r="L247" i="4" s="1"/>
  <c r="V247" i="4" s="1"/>
  <c r="M139" i="4"/>
  <c r="L244" i="4" l="1"/>
  <c r="V244" i="4" s="1"/>
  <c r="V248" i="4" s="1"/>
  <c r="M143" i="4"/>
  <c r="DF22" i="8"/>
  <c r="DG22" i="8"/>
  <c r="DH22" i="8"/>
  <c r="DI22" i="8"/>
  <c r="DJ22" i="8"/>
  <c r="DK22" i="8"/>
  <c r="DL22" i="8"/>
  <c r="DE22" i="8"/>
  <c r="GN47" i="8"/>
  <c r="GN46" i="8"/>
  <c r="GN45" i="8"/>
  <c r="GN44" i="8"/>
  <c r="GN43" i="8" a="1"/>
  <c r="GN43" i="8" s="1"/>
  <c r="GN42" i="8" a="1"/>
  <c r="GN42" i="8" s="1"/>
  <c r="GN41" i="8"/>
  <c r="GN40" i="8"/>
  <c r="GN39" i="8" a="1"/>
  <c r="GN39" i="8" s="1"/>
  <c r="GN38" i="8" a="1"/>
  <c r="GN38" i="8" s="1"/>
  <c r="GN37" i="8" a="1"/>
  <c r="GN36" i="8" a="1"/>
  <c r="GN36" i="8" s="1"/>
  <c r="GN35" i="8" a="1"/>
  <c r="GN35" i="8" s="1"/>
  <c r="GN34" i="8" a="1"/>
  <c r="GN34" i="8" s="1"/>
  <c r="GN33" i="8" a="1"/>
  <c r="GN33" i="8" s="1"/>
  <c r="GN32" i="8" a="1"/>
  <c r="GN32" i="8" s="1"/>
  <c r="GN31" i="8"/>
  <c r="GN30" i="8"/>
  <c r="GN29" i="8" a="1"/>
  <c r="GN29" i="8" s="1"/>
  <c r="GN28" i="8"/>
  <c r="GL48" i="8"/>
  <c r="GL47" i="8"/>
  <c r="GL46" i="8" a="1"/>
  <c r="GL45" i="8" a="1"/>
  <c r="GL44" i="8" a="1"/>
  <c r="GL44" i="8" s="1"/>
  <c r="GL43" i="8"/>
  <c r="GL42" i="8"/>
  <c r="GL41" i="8" a="1"/>
  <c r="GL41" i="8" s="1"/>
  <c r="GL40" i="8" a="1"/>
  <c r="GL40" i="8" s="1"/>
  <c r="GL39" i="8" a="1"/>
  <c r="GL39" i="8" s="1"/>
  <c r="GL38" i="8" a="1"/>
  <c r="GL38" i="8"/>
  <c r="GL37" i="8"/>
  <c r="GL36" i="8"/>
  <c r="GL35" i="8" a="1"/>
  <c r="GL35" i="8" s="1"/>
  <c r="GL34" i="8" a="1"/>
  <c r="GL34" i="8" s="1"/>
  <c r="GL33" i="8" a="1"/>
  <c r="GL33" i="8" s="1"/>
  <c r="GL32" i="8" a="1"/>
  <c r="GL32" i="8" s="1"/>
  <c r="GL31" i="8"/>
  <c r="GL30" i="8" a="1"/>
  <c r="GL30" i="8" s="1"/>
  <c r="GL29" i="8"/>
  <c r="GL28" i="8"/>
  <c r="GJ48" i="8"/>
  <c r="GJ47" i="8"/>
  <c r="GJ46" i="8" a="1"/>
  <c r="GJ45" i="8" a="1"/>
  <c r="GJ44" i="8" a="1"/>
  <c r="GJ44" i="8" s="1"/>
  <c r="GJ43" i="8"/>
  <c r="GJ42" i="8" a="1"/>
  <c r="GJ42" i="8" s="1"/>
  <c r="GJ41" i="8" a="1"/>
  <c r="GJ41" i="8" s="1"/>
  <c r="GJ40" i="8" a="1"/>
  <c r="GJ40" i="8" s="1"/>
  <c r="GJ39" i="8" a="1"/>
  <c r="GJ39" i="8" s="1"/>
  <c r="GJ38" i="8" a="1"/>
  <c r="GJ38" i="8" s="1"/>
  <c r="GJ37" i="8"/>
  <c r="GJ36" i="8" a="1"/>
  <c r="GJ36" i="8" s="1"/>
  <c r="GJ35" i="8"/>
  <c r="GJ34" i="8"/>
  <c r="GJ33" i="8"/>
  <c r="GJ32" i="8" a="1"/>
  <c r="GJ32" i="8" s="1"/>
  <c r="GJ31" i="8"/>
  <c r="GJ30" i="8" a="1"/>
  <c r="GJ30" i="8" s="1"/>
  <c r="GJ29" i="8" a="1"/>
  <c r="GJ29" i="8" s="1"/>
  <c r="GJ28" i="8"/>
  <c r="CN25" i="8"/>
  <c r="CO25" i="8"/>
  <c r="CP25" i="8"/>
  <c r="CQ25" i="8"/>
  <c r="CR25" i="8"/>
  <c r="CS25" i="8"/>
  <c r="CT25" i="8"/>
  <c r="CU25" i="8"/>
  <c r="CV25" i="8"/>
  <c r="CW25" i="8"/>
  <c r="CX25" i="8"/>
  <c r="CY25" i="8"/>
  <c r="CZ25" i="8"/>
  <c r="DA25" i="8"/>
  <c r="DB25" i="8"/>
  <c r="DC25" i="8"/>
  <c r="DD25" i="8"/>
  <c r="CM25" i="8"/>
  <c r="Z31" i="11" l="1"/>
  <c r="Z30" i="11"/>
  <c r="Z29" i="11"/>
  <c r="F145" i="4" l="1"/>
  <c r="CL24" i="11" l="1"/>
  <c r="CM24" i="11"/>
  <c r="CN24" i="11"/>
  <c r="CO24" i="11"/>
  <c r="CP24" i="11"/>
  <c r="CQ24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CK24" i="11"/>
  <c r="CL21" i="11"/>
  <c r="AF10" i="11" s="1"/>
  <c r="AF14" i="11" s="1"/>
  <c r="CM21" i="11"/>
  <c r="AG10" i="11" s="1"/>
  <c r="AG14" i="11" s="1"/>
  <c r="CN21" i="11"/>
  <c r="AH10" i="11" s="1"/>
  <c r="AH14" i="11" s="1"/>
  <c r="CO21" i="11"/>
  <c r="AI10" i="11" s="1"/>
  <c r="AI14" i="11" s="1"/>
  <c r="CP21" i="11"/>
  <c r="AJ10" i="11" s="1"/>
  <c r="AJ14" i="11" s="1"/>
  <c r="CQ21" i="11"/>
  <c r="AK10" i="11" s="1"/>
  <c r="AK14" i="11" s="1"/>
  <c r="CR21" i="11"/>
  <c r="AL10" i="11" s="1"/>
  <c r="AL14" i="11" s="1"/>
  <c r="CS21" i="11"/>
  <c r="AM10" i="11" s="1"/>
  <c r="AM14" i="11" s="1"/>
  <c r="CT21" i="11"/>
  <c r="AN10" i="11" s="1"/>
  <c r="AN14" i="11" s="1"/>
  <c r="CU21" i="11"/>
  <c r="AO10" i="11" s="1"/>
  <c r="AO14" i="11" s="1"/>
  <c r="CV21" i="11"/>
  <c r="AP10" i="11" s="1"/>
  <c r="AP14" i="11" s="1"/>
  <c r="CW21" i="11"/>
  <c r="AQ10" i="11" s="1"/>
  <c r="AQ14" i="11" s="1"/>
  <c r="CX21" i="11"/>
  <c r="AR10" i="11" s="1"/>
  <c r="AR14" i="11" s="1"/>
  <c r="CY21" i="11"/>
  <c r="AS10" i="11" s="1"/>
  <c r="AS14" i="11" s="1"/>
  <c r="CZ21" i="11"/>
  <c r="AT10" i="11" s="1"/>
  <c r="AT14" i="11" s="1"/>
  <c r="DA21" i="11"/>
  <c r="AU10" i="11" s="1"/>
  <c r="AU14" i="11" s="1"/>
  <c r="DB21" i="11"/>
  <c r="AV10" i="11" s="1"/>
  <c r="AV14" i="11" s="1"/>
  <c r="DC21" i="11"/>
  <c r="AW10" i="11" s="1"/>
  <c r="AW14" i="11" s="1"/>
  <c r="DD21" i="11"/>
  <c r="AX10" i="11" s="1"/>
  <c r="AX14" i="11" s="1"/>
  <c r="CK21" i="11"/>
  <c r="AE10" i="11" s="1"/>
  <c r="AE14" i="11" s="1"/>
  <c r="F133" i="4"/>
  <c r="F132" i="4"/>
  <c r="F131" i="4"/>
  <c r="F130" i="4"/>
  <c r="F129" i="4"/>
  <c r="F121" i="4"/>
  <c r="F120" i="4"/>
  <c r="F119" i="4"/>
  <c r="F118" i="4"/>
  <c r="F107" i="4"/>
  <c r="F108" i="4"/>
  <c r="F109" i="4"/>
  <c r="F106" i="4"/>
  <c r="AD14" i="11" l="1"/>
  <c r="F65" i="5"/>
  <c r="E65" i="5"/>
  <c r="G53" i="5"/>
  <c r="E54" i="5"/>
  <c r="E55" i="5"/>
  <c r="E56" i="5"/>
  <c r="E53" i="5"/>
  <c r="G19" i="5"/>
  <c r="G20" i="5"/>
  <c r="G18" i="5"/>
  <c r="E11" i="5"/>
  <c r="E13" i="5" s="1"/>
  <c r="E12" i="5"/>
  <c r="G65" i="5"/>
  <c r="N236" i="11" l="1"/>
  <c r="P236" i="11" s="1"/>
  <c r="N199" i="11"/>
  <c r="P199" i="11" s="1"/>
  <c r="V129" i="11"/>
  <c r="N252" i="11"/>
  <c r="N237" i="11"/>
  <c r="P237" i="11" s="1"/>
  <c r="N233" i="11"/>
  <c r="P233" i="11" s="1"/>
  <c r="N200" i="11"/>
  <c r="P200" i="11" s="1"/>
  <c r="N234" i="11"/>
  <c r="P234" i="11" s="1"/>
  <c r="N203" i="11"/>
  <c r="P203" i="11" s="1"/>
  <c r="N201" i="11"/>
  <c r="P201" i="11" s="1"/>
  <c r="N235" i="11"/>
  <c r="P235" i="11" s="1"/>
  <c r="N202" i="11"/>
  <c r="P202" i="11" s="1"/>
  <c r="N198" i="11"/>
  <c r="P198" i="11" s="1"/>
  <c r="D85" i="11"/>
  <c r="V132" i="11"/>
  <c r="D88" i="11"/>
  <c r="V131" i="11"/>
  <c r="V133" i="11"/>
  <c r="V130" i="11"/>
  <c r="V134" i="11"/>
  <c r="D84" i="11"/>
  <c r="D83" i="11"/>
  <c r="D87" i="11"/>
  <c r="D86" i="11"/>
  <c r="D89" i="11"/>
  <c r="E9" i="5"/>
  <c r="N14" i="13"/>
  <c r="N15" i="13"/>
  <c r="N13" i="13"/>
  <c r="XFD145" i="13"/>
  <c r="P64" i="13" s="1"/>
  <c r="G65" i="9"/>
  <c r="E65" i="9"/>
  <c r="CL23" i="11"/>
  <c r="CM23" i="11"/>
  <c r="CN23" i="11"/>
  <c r="CO23" i="11"/>
  <c r="CP23" i="11"/>
  <c r="CQ23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CK23" i="11"/>
  <c r="CL20" i="11"/>
  <c r="AF9" i="11" s="1"/>
  <c r="AF13" i="11" s="1"/>
  <c r="CM20" i="11"/>
  <c r="AG9" i="11" s="1"/>
  <c r="AG13" i="11" s="1"/>
  <c r="CN20" i="11"/>
  <c r="AH9" i="11" s="1"/>
  <c r="AH13" i="11" s="1"/>
  <c r="CO20" i="11"/>
  <c r="AI9" i="11" s="1"/>
  <c r="AI13" i="11" s="1"/>
  <c r="CP20" i="11"/>
  <c r="AJ9" i="11" s="1"/>
  <c r="AJ13" i="11" s="1"/>
  <c r="CQ20" i="11"/>
  <c r="AK9" i="11" s="1"/>
  <c r="AK13" i="11" s="1"/>
  <c r="CR20" i="11"/>
  <c r="AL9" i="11" s="1"/>
  <c r="AL13" i="11" s="1"/>
  <c r="CS20" i="11"/>
  <c r="AM9" i="11" s="1"/>
  <c r="AM13" i="11" s="1"/>
  <c r="CT20" i="11"/>
  <c r="AN9" i="11" s="1"/>
  <c r="AN13" i="11" s="1"/>
  <c r="CU20" i="11"/>
  <c r="AO9" i="11" s="1"/>
  <c r="AO13" i="11" s="1"/>
  <c r="CV20" i="11"/>
  <c r="AP9" i="11" s="1"/>
  <c r="AP13" i="11" s="1"/>
  <c r="CW20" i="11"/>
  <c r="AQ9" i="11" s="1"/>
  <c r="AQ13" i="11" s="1"/>
  <c r="CX20" i="11"/>
  <c r="AR9" i="11" s="1"/>
  <c r="AR13" i="11" s="1"/>
  <c r="CY20" i="11"/>
  <c r="AS9" i="11" s="1"/>
  <c r="AS13" i="11" s="1"/>
  <c r="CZ20" i="11"/>
  <c r="AT9" i="11" s="1"/>
  <c r="AT13" i="11" s="1"/>
  <c r="DA20" i="11"/>
  <c r="AU9" i="11" s="1"/>
  <c r="AU13" i="11" s="1"/>
  <c r="DB20" i="11"/>
  <c r="AV9" i="11" s="1"/>
  <c r="AV13" i="11" s="1"/>
  <c r="DC20" i="11"/>
  <c r="AW9" i="11" s="1"/>
  <c r="AW13" i="11" s="1"/>
  <c r="DD20" i="11"/>
  <c r="AX9" i="11" s="1"/>
  <c r="AX13" i="11" s="1"/>
  <c r="CK20" i="11"/>
  <c r="AE9" i="11" s="1"/>
  <c r="AE13" i="11" s="1"/>
  <c r="CL22" i="11"/>
  <c r="CM22" i="11"/>
  <c r="CN22" i="11"/>
  <c r="CO22" i="11"/>
  <c r="CP22" i="11"/>
  <c r="CQ22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CK22" i="11"/>
  <c r="CL19" i="11"/>
  <c r="AF8" i="11" s="1"/>
  <c r="AF12" i="11" s="1"/>
  <c r="CM19" i="11"/>
  <c r="AG8" i="11" s="1"/>
  <c r="AG12" i="11" s="1"/>
  <c r="CN19" i="11"/>
  <c r="AH8" i="11" s="1"/>
  <c r="AH12" i="11" s="1"/>
  <c r="CO19" i="11"/>
  <c r="AI8" i="11" s="1"/>
  <c r="AI12" i="11" s="1"/>
  <c r="CP19" i="11"/>
  <c r="AJ8" i="11" s="1"/>
  <c r="AJ12" i="11" s="1"/>
  <c r="CQ19" i="11"/>
  <c r="AK8" i="11" s="1"/>
  <c r="AK12" i="11" s="1"/>
  <c r="CR19" i="11"/>
  <c r="AL8" i="11" s="1"/>
  <c r="AL12" i="11" s="1"/>
  <c r="CS19" i="11"/>
  <c r="AM8" i="11" s="1"/>
  <c r="AM12" i="11" s="1"/>
  <c r="CT19" i="11"/>
  <c r="AN8" i="11" s="1"/>
  <c r="AN12" i="11" s="1"/>
  <c r="CU19" i="11"/>
  <c r="AO8" i="11" s="1"/>
  <c r="AO12" i="11" s="1"/>
  <c r="CV19" i="11"/>
  <c r="AP8" i="11" s="1"/>
  <c r="AP12" i="11" s="1"/>
  <c r="CW19" i="11"/>
  <c r="AQ8" i="11" s="1"/>
  <c r="AQ12" i="11" s="1"/>
  <c r="CX19" i="11"/>
  <c r="AR8" i="11" s="1"/>
  <c r="AR12" i="11" s="1"/>
  <c r="CY19" i="11"/>
  <c r="AS8" i="11" s="1"/>
  <c r="AS12" i="11" s="1"/>
  <c r="CZ19" i="11"/>
  <c r="AT8" i="11" s="1"/>
  <c r="AT12" i="11" s="1"/>
  <c r="DA19" i="11"/>
  <c r="AU8" i="11" s="1"/>
  <c r="AU12" i="11" s="1"/>
  <c r="DB19" i="11"/>
  <c r="AV8" i="11" s="1"/>
  <c r="AV12" i="11" s="1"/>
  <c r="DC19" i="11"/>
  <c r="AW8" i="11" s="1"/>
  <c r="AW12" i="11" s="1"/>
  <c r="DD19" i="11"/>
  <c r="AX8" i="11" s="1"/>
  <c r="AX12" i="11" s="1"/>
  <c r="CK19" i="11"/>
  <c r="AE8" i="11" s="1"/>
  <c r="AE12" i="11" s="1"/>
  <c r="AJ126" i="13" l="1"/>
  <c r="AI125" i="13"/>
  <c r="G75" i="13"/>
  <c r="G74" i="13"/>
  <c r="P239" i="11"/>
  <c r="P204" i="11"/>
  <c r="H74" i="13"/>
  <c r="H75" i="13"/>
  <c r="X75" i="13"/>
  <c r="X73" i="13"/>
  <c r="H42" i="13"/>
  <c r="H41" i="13"/>
  <c r="H33" i="13"/>
  <c r="H26" i="13"/>
  <c r="X64" i="13"/>
  <c r="H37" i="13"/>
  <c r="H35" i="13"/>
  <c r="H23" i="13"/>
  <c r="P71" i="13"/>
  <c r="H39" i="13"/>
  <c r="H30" i="13"/>
  <c r="H25" i="13"/>
  <c r="H38" i="13"/>
  <c r="H29" i="13"/>
  <c r="H34" i="13"/>
  <c r="H22" i="13"/>
  <c r="H27" i="13"/>
  <c r="X71" i="13"/>
  <c r="X79" i="13"/>
  <c r="H31" i="13"/>
  <c r="H24" i="13"/>
  <c r="H79" i="13"/>
  <c r="H32" i="13"/>
  <c r="X74" i="13"/>
  <c r="P73" i="13"/>
  <c r="P84" i="13"/>
  <c r="H82" i="13"/>
  <c r="X72" i="13"/>
  <c r="P72" i="13"/>
  <c r="H83" i="13"/>
  <c r="P77" i="13"/>
  <c r="X80" i="13"/>
  <c r="H72" i="13"/>
  <c r="H84" i="13"/>
  <c r="H73" i="13"/>
  <c r="H80" i="13"/>
  <c r="X76" i="13"/>
  <c r="P74" i="13"/>
  <c r="H81" i="13"/>
  <c r="X68" i="13"/>
  <c r="P67" i="13"/>
  <c r="H66" i="13"/>
  <c r="H65" i="13"/>
  <c r="P68" i="13"/>
  <c r="H67" i="13"/>
  <c r="X66" i="13"/>
  <c r="P69" i="13"/>
  <c r="X67" i="13"/>
  <c r="H69" i="13"/>
  <c r="X69" i="13"/>
  <c r="X65" i="13"/>
  <c r="H68" i="13"/>
  <c r="P66" i="13"/>
  <c r="P65" i="13"/>
  <c r="V76" i="13"/>
  <c r="F34" i="13" s="1"/>
  <c r="V72" i="13"/>
  <c r="N72" i="13"/>
  <c r="V74" i="13"/>
  <c r="F74" i="13"/>
  <c r="N73" i="13"/>
  <c r="F73" i="13"/>
  <c r="V75" i="13"/>
  <c r="N77" i="13"/>
  <c r="F35" i="13" s="1"/>
  <c r="F75" i="13"/>
  <c r="N74" i="13"/>
  <c r="V73" i="13"/>
  <c r="O77" i="13"/>
  <c r="G35" i="13" s="1"/>
  <c r="W75" i="13"/>
  <c r="W73" i="13"/>
  <c r="W72" i="13"/>
  <c r="O74" i="13"/>
  <c r="W74" i="13"/>
  <c r="W76" i="13"/>
  <c r="G34" i="13" s="1"/>
  <c r="O73" i="13"/>
  <c r="G73" i="13"/>
  <c r="O72" i="13"/>
  <c r="AD12" i="11"/>
  <c r="AD13" i="11"/>
  <c r="D75" i="11" s="1"/>
  <c r="V65" i="13"/>
  <c r="N65" i="13"/>
  <c r="F65" i="13"/>
  <c r="F82" i="13"/>
  <c r="F40" i="13" s="1"/>
  <c r="D81" i="13"/>
  <c r="N84" i="13"/>
  <c r="V67" i="13"/>
  <c r="N69" i="13"/>
  <c r="F67" i="13"/>
  <c r="D80" i="13"/>
  <c r="G72" i="13"/>
  <c r="V66" i="13"/>
  <c r="V68" i="13"/>
  <c r="V70" i="13"/>
  <c r="N66" i="13"/>
  <c r="N68" i="13"/>
  <c r="N70" i="13"/>
  <c r="F66" i="13"/>
  <c r="F68" i="13"/>
  <c r="F70" i="13"/>
  <c r="V80" i="13"/>
  <c r="V79" i="13" s="1"/>
  <c r="F83" i="13"/>
  <c r="F41" i="13" s="1"/>
  <c r="D82" i="13"/>
  <c r="V69" i="13"/>
  <c r="N67" i="13"/>
  <c r="F81" i="13"/>
  <c r="F39" i="13" s="1"/>
  <c r="F72" i="13"/>
  <c r="F84" i="13"/>
  <c r="W70" i="13"/>
  <c r="O70" i="13"/>
  <c r="G70" i="13"/>
  <c r="F80" i="13"/>
  <c r="D83" i="13"/>
  <c r="F69" i="13"/>
  <c r="T80" i="13"/>
  <c r="L70" i="13"/>
  <c r="M70" i="13" s="1"/>
  <c r="T70" i="13"/>
  <c r="U70" i="13" s="1"/>
  <c r="D70" i="13"/>
  <c r="N224" i="11" l="1"/>
  <c r="P224" i="11" s="1"/>
  <c r="N194" i="11"/>
  <c r="P194" i="11" s="1"/>
  <c r="N192" i="11"/>
  <c r="P192" i="11" s="1"/>
  <c r="N259" i="11"/>
  <c r="P259" i="11" s="1"/>
  <c r="N193" i="11"/>
  <c r="P193" i="11" s="1"/>
  <c r="N189" i="11"/>
  <c r="P189" i="11" s="1"/>
  <c r="V121" i="11"/>
  <c r="D73" i="11"/>
  <c r="N225" i="11"/>
  <c r="P225" i="11" s="1"/>
  <c r="N222" i="11"/>
  <c r="P222" i="11" s="1"/>
  <c r="N190" i="11"/>
  <c r="P190" i="11" s="1"/>
  <c r="D69" i="11"/>
  <c r="N227" i="11"/>
  <c r="P227" i="11" s="1"/>
  <c r="T216" i="11" s="1"/>
  <c r="X216" i="11" s="1"/>
  <c r="N226" i="11"/>
  <c r="P226" i="11" s="1"/>
  <c r="T215" i="11" s="1"/>
  <c r="X215" i="11" s="1"/>
  <c r="N223" i="11"/>
  <c r="P223" i="11" s="1"/>
  <c r="N191" i="11"/>
  <c r="P191" i="11" s="1"/>
  <c r="V120" i="11"/>
  <c r="V157" i="11"/>
  <c r="D70" i="11"/>
  <c r="V119" i="11"/>
  <c r="V118" i="11"/>
  <c r="V122" i="11"/>
  <c r="D72" i="11"/>
  <c r="D71" i="11"/>
  <c r="D68" i="11"/>
  <c r="D74" i="11"/>
  <c r="N256" i="11"/>
  <c r="P256" i="11" s="1"/>
  <c r="N246" i="11"/>
  <c r="N244" i="11"/>
  <c r="N211" i="11"/>
  <c r="P211" i="11" s="1"/>
  <c r="N185" i="11"/>
  <c r="P185" i="11" s="1"/>
  <c r="N183" i="11"/>
  <c r="P183" i="11" s="1"/>
  <c r="N212" i="11"/>
  <c r="P212" i="11" s="1"/>
  <c r="N184" i="11"/>
  <c r="P184" i="11" s="1"/>
  <c r="N180" i="11"/>
  <c r="P180" i="11" s="1"/>
  <c r="D59" i="11"/>
  <c r="N247" i="11"/>
  <c r="N245" i="11"/>
  <c r="N213" i="11"/>
  <c r="P213" i="11" s="1"/>
  <c r="N181" i="11"/>
  <c r="P181" i="11" s="1"/>
  <c r="N214" i="11"/>
  <c r="P214" i="11" s="1"/>
  <c r="T214" i="11" s="1"/>
  <c r="X214" i="11" s="1"/>
  <c r="N182" i="11"/>
  <c r="P182" i="11" s="1"/>
  <c r="V151" i="11"/>
  <c r="V107" i="11"/>
  <c r="V108" i="11"/>
  <c r="D55" i="11"/>
  <c r="V109" i="11"/>
  <c r="V106" i="11"/>
  <c r="V110" i="11"/>
  <c r="D57" i="11"/>
  <c r="D58" i="11"/>
  <c r="D56" i="11"/>
  <c r="D54" i="11"/>
  <c r="F31" i="13"/>
  <c r="F23" i="13"/>
  <c r="G33" i="13"/>
  <c r="G31" i="13"/>
  <c r="N71" i="13"/>
  <c r="F33" i="13"/>
  <c r="V71" i="13"/>
  <c r="G32" i="13"/>
  <c r="F32" i="13"/>
  <c r="O71" i="13"/>
  <c r="W71" i="13"/>
  <c r="F27" i="13"/>
  <c r="G28" i="13"/>
  <c r="F42" i="13"/>
  <c r="F28" i="13"/>
  <c r="F24" i="13"/>
  <c r="F71" i="13"/>
  <c r="H71" i="13" s="1"/>
  <c r="F30" i="13"/>
  <c r="F79" i="13"/>
  <c r="F38" i="13"/>
  <c r="F37" i="13" s="1"/>
  <c r="F26" i="13"/>
  <c r="F25" i="13"/>
  <c r="D38" i="13"/>
  <c r="E38" i="13" s="1"/>
  <c r="E70" i="13"/>
  <c r="D28" i="13"/>
  <c r="E28" i="13" s="1"/>
  <c r="E83" i="13"/>
  <c r="D41" i="13"/>
  <c r="E41" i="13" s="1"/>
  <c r="E82" i="13"/>
  <c r="D40" i="13"/>
  <c r="E40" i="13" s="1"/>
  <c r="E81" i="13"/>
  <c r="D39" i="13"/>
  <c r="E39" i="13" s="1"/>
  <c r="G71" i="13"/>
  <c r="G30" i="13"/>
  <c r="E80" i="13"/>
  <c r="D79" i="13"/>
  <c r="E79" i="13" s="1"/>
  <c r="V64" i="13"/>
  <c r="N64" i="13"/>
  <c r="T79" i="13"/>
  <c r="U79" i="13" s="1"/>
  <c r="U80" i="13"/>
  <c r="F64" i="13"/>
  <c r="H64" i="13" s="1"/>
  <c r="T181" i="11" l="1"/>
  <c r="X181" i="11" s="1"/>
  <c r="T183" i="11"/>
  <c r="X183" i="11" s="1"/>
  <c r="T185" i="11"/>
  <c r="X185" i="11" s="1"/>
  <c r="T213" i="11"/>
  <c r="X213" i="11" s="1"/>
  <c r="T184" i="11"/>
  <c r="X184" i="11" s="1"/>
  <c r="T212" i="11"/>
  <c r="X212" i="11" s="1"/>
  <c r="T256" i="11"/>
  <c r="X256" i="11" s="1"/>
  <c r="T182" i="11"/>
  <c r="X182" i="11" s="1"/>
  <c r="P228" i="11"/>
  <c r="P195" i="11"/>
  <c r="P217" i="11"/>
  <c r="T211" i="11"/>
  <c r="T180" i="11"/>
  <c r="P186" i="11"/>
  <c r="F29" i="13"/>
  <c r="N63" i="13"/>
  <c r="P63" i="13" s="1"/>
  <c r="V63" i="13"/>
  <c r="X63" i="13" s="1"/>
  <c r="G29" i="13"/>
  <c r="F63" i="13"/>
  <c r="H63" i="13" s="1"/>
  <c r="F22" i="13"/>
  <c r="D37" i="13"/>
  <c r="E37" i="13" s="1"/>
  <c r="X211" i="11" l="1"/>
  <c r="T217" i="11"/>
  <c r="X217" i="11" s="1"/>
  <c r="X180" i="11"/>
  <c r="T186" i="11"/>
  <c r="X186" i="11" s="1"/>
  <c r="F21" i="13"/>
  <c r="AA31" i="11"/>
  <c r="AB31" i="11" s="1"/>
  <c r="O31" i="11"/>
  <c r="L31" i="11"/>
  <c r="K31" i="11"/>
  <c r="D31" i="11"/>
  <c r="C31" i="11"/>
  <c r="E31" i="11" s="1"/>
  <c r="AA30" i="11"/>
  <c r="AB30" i="11" s="1"/>
  <c r="O30" i="11"/>
  <c r="L30" i="11"/>
  <c r="K30" i="11"/>
  <c r="I165" i="11" s="1"/>
  <c r="D30" i="11"/>
  <c r="C30" i="11"/>
  <c r="E30" i="11" s="1"/>
  <c r="F30" i="11" s="1"/>
  <c r="AA29" i="11"/>
  <c r="AB29" i="11" s="1"/>
  <c r="O29" i="11"/>
  <c r="L29" i="11"/>
  <c r="K29" i="11"/>
  <c r="E29" i="11"/>
  <c r="D29" i="11"/>
  <c r="C29" i="11"/>
  <c r="IR24" i="11"/>
  <c r="IQ24" i="11"/>
  <c r="IP24" i="11"/>
  <c r="IO24" i="11"/>
  <c r="IL24" i="11"/>
  <c r="IA24" i="11"/>
  <c r="HW24" i="11"/>
  <c r="HV24" i="11"/>
  <c r="HU24" i="11"/>
  <c r="HT24" i="11"/>
  <c r="HS24" i="11"/>
  <c r="HR24" i="11"/>
  <c r="HQ24" i="11"/>
  <c r="HP24" i="11"/>
  <c r="HO24" i="11"/>
  <c r="HN24" i="11"/>
  <c r="HM24" i="11"/>
  <c r="HL24" i="11"/>
  <c r="HK24" i="11"/>
  <c r="HJ24" i="11"/>
  <c r="HI24" i="11"/>
  <c r="HH24" i="11"/>
  <c r="HG24" i="11"/>
  <c r="HF24" i="11"/>
  <c r="HE24" i="11"/>
  <c r="HD24" i="11"/>
  <c r="DX24" i="11"/>
  <c r="ER24" i="11" s="1"/>
  <c r="DW24" i="11"/>
  <c r="EQ24" i="11" s="1"/>
  <c r="DV24" i="11"/>
  <c r="EP24" i="11" s="1"/>
  <c r="DU24" i="11"/>
  <c r="EO24" i="11" s="1"/>
  <c r="DT24" i="11"/>
  <c r="EN24" i="11" s="1"/>
  <c r="DS24" i="11"/>
  <c r="EM24" i="11" s="1"/>
  <c r="DR24" i="11"/>
  <c r="EL24" i="11" s="1"/>
  <c r="DQ24" i="11"/>
  <c r="EK24" i="11" s="1"/>
  <c r="DP24" i="11"/>
  <c r="EJ24" i="11" s="1"/>
  <c r="DO24" i="11"/>
  <c r="EI24" i="11" s="1"/>
  <c r="DN24" i="11"/>
  <c r="EH24" i="11" s="1"/>
  <c r="DM24" i="11"/>
  <c r="EG24" i="11" s="1"/>
  <c r="DL24" i="11"/>
  <c r="EF24" i="11" s="1"/>
  <c r="DK24" i="11"/>
  <c r="EE24" i="11" s="1"/>
  <c r="DJ24" i="11"/>
  <c r="ED24" i="11" s="1"/>
  <c r="DI24" i="11"/>
  <c r="EC24" i="11" s="1"/>
  <c r="DH24" i="11"/>
  <c r="EB24" i="11" s="1"/>
  <c r="DG24" i="11"/>
  <c r="EA24" i="11" s="1"/>
  <c r="DF24" i="11"/>
  <c r="DZ24" i="11" s="1"/>
  <c r="DE24" i="11"/>
  <c r="DY24" i="11" s="1"/>
  <c r="IM23" i="11"/>
  <c r="IL23" i="11"/>
  <c r="IK23" i="11"/>
  <c r="IJ23" i="11"/>
  <c r="II23" i="11"/>
  <c r="IH23" i="11"/>
  <c r="IA23" i="11"/>
  <c r="HW23" i="11"/>
  <c r="HV23" i="11"/>
  <c r="HU23" i="11"/>
  <c r="HT23" i="11"/>
  <c r="HS23" i="11"/>
  <c r="HR23" i="11"/>
  <c r="HQ23" i="11"/>
  <c r="HP23" i="11"/>
  <c r="HO23" i="11"/>
  <c r="HN23" i="11"/>
  <c r="HM23" i="11"/>
  <c r="HL23" i="11"/>
  <c r="HK23" i="11"/>
  <c r="HJ23" i="11"/>
  <c r="HI23" i="11"/>
  <c r="HH23" i="11"/>
  <c r="HG23" i="11"/>
  <c r="HF23" i="11"/>
  <c r="HE23" i="11"/>
  <c r="HD23" i="11"/>
  <c r="DX23" i="11"/>
  <c r="ER23" i="11" s="1"/>
  <c r="DW23" i="11"/>
  <c r="EQ23" i="11" s="1"/>
  <c r="DV23" i="11"/>
  <c r="EP23" i="11" s="1"/>
  <c r="DU23" i="11"/>
  <c r="EO23" i="11" s="1"/>
  <c r="DT23" i="11"/>
  <c r="EN23" i="11" s="1"/>
  <c r="DS23" i="11"/>
  <c r="EM23" i="11" s="1"/>
  <c r="DR23" i="11"/>
  <c r="EL23" i="11" s="1"/>
  <c r="DQ23" i="11"/>
  <c r="EK23" i="11" s="1"/>
  <c r="DP23" i="11"/>
  <c r="EJ23" i="11" s="1"/>
  <c r="DO23" i="11"/>
  <c r="EI23" i="11" s="1"/>
  <c r="DN23" i="11"/>
  <c r="EH23" i="11" s="1"/>
  <c r="DM23" i="11"/>
  <c r="EG23" i="11" s="1"/>
  <c r="DL23" i="11"/>
  <c r="EF23" i="11" s="1"/>
  <c r="DK23" i="11"/>
  <c r="EE23" i="11" s="1"/>
  <c r="DJ23" i="11"/>
  <c r="ED23" i="11" s="1"/>
  <c r="DI23" i="11"/>
  <c r="EC23" i="11" s="1"/>
  <c r="DH23" i="11"/>
  <c r="EB23" i="11" s="1"/>
  <c r="DG23" i="11"/>
  <c r="EA23" i="11" s="1"/>
  <c r="DF23" i="11"/>
  <c r="DZ23" i="11" s="1"/>
  <c r="DE23" i="11"/>
  <c r="DY23" i="11" s="1"/>
  <c r="IL22" i="11"/>
  <c r="IK22" i="11"/>
  <c r="IJ22" i="11"/>
  <c r="II22" i="11"/>
  <c r="IH22" i="11"/>
  <c r="IF22" i="11"/>
  <c r="IE22" i="11"/>
  <c r="ID22" i="11"/>
  <c r="IC22" i="11"/>
  <c r="IB22" i="11"/>
  <c r="IA22" i="11"/>
  <c r="HZ22" i="11"/>
  <c r="HY22" i="11"/>
  <c r="HW22" i="11"/>
  <c r="HV22" i="11"/>
  <c r="HU22" i="11"/>
  <c r="HT22" i="11"/>
  <c r="HS22" i="11"/>
  <c r="HR22" i="11"/>
  <c r="HQ22" i="11"/>
  <c r="HP22" i="11"/>
  <c r="HO22" i="11"/>
  <c r="HN22" i="11"/>
  <c r="HM22" i="11"/>
  <c r="HL22" i="11"/>
  <c r="HK22" i="11"/>
  <c r="HJ22" i="11"/>
  <c r="HI22" i="11"/>
  <c r="HH22" i="11"/>
  <c r="HG22" i="11"/>
  <c r="HF22" i="11"/>
  <c r="HE22" i="11"/>
  <c r="HD22" i="11"/>
  <c r="DX22" i="11"/>
  <c r="ER22" i="11" s="1"/>
  <c r="DW22" i="11"/>
  <c r="EQ22" i="11" s="1"/>
  <c r="DV22" i="11"/>
  <c r="EP22" i="11" s="1"/>
  <c r="DU22" i="11"/>
  <c r="EO22" i="11" s="1"/>
  <c r="DT22" i="11"/>
  <c r="EN22" i="11" s="1"/>
  <c r="DS22" i="11"/>
  <c r="EM22" i="11" s="1"/>
  <c r="DR22" i="11"/>
  <c r="EL22" i="11" s="1"/>
  <c r="DQ22" i="11"/>
  <c r="EK22" i="11" s="1"/>
  <c r="DP22" i="11"/>
  <c r="EJ22" i="11" s="1"/>
  <c r="DO22" i="11"/>
  <c r="EI22" i="11" s="1"/>
  <c r="DN22" i="11"/>
  <c r="EH22" i="11" s="1"/>
  <c r="DM22" i="11"/>
  <c r="EG22" i="11" s="1"/>
  <c r="DL22" i="11"/>
  <c r="EF22" i="11" s="1"/>
  <c r="DK22" i="11"/>
  <c r="EE22" i="11" s="1"/>
  <c r="DJ22" i="11"/>
  <c r="ED22" i="11" s="1"/>
  <c r="DI22" i="11"/>
  <c r="EC22" i="11" s="1"/>
  <c r="DH22" i="11"/>
  <c r="EB22" i="11" s="1"/>
  <c r="DG22" i="11"/>
  <c r="EA22" i="11" s="1"/>
  <c r="DF22" i="11"/>
  <c r="DZ22" i="11" s="1"/>
  <c r="DE22" i="11"/>
  <c r="DX21" i="11"/>
  <c r="GG31" i="11" s="1"/>
  <c r="DW21" i="11"/>
  <c r="GF31" i="11" s="1"/>
  <c r="DV21" i="11"/>
  <c r="GE31" i="11" s="1"/>
  <c r="DU21" i="11"/>
  <c r="GD31" i="11" s="1"/>
  <c r="DT21" i="11"/>
  <c r="GC31" i="11" s="1"/>
  <c r="DS21" i="11"/>
  <c r="GB31" i="11" s="1"/>
  <c r="DR21" i="11"/>
  <c r="GA31" i="11" s="1"/>
  <c r="DQ21" i="11"/>
  <c r="FZ31" i="11" s="1"/>
  <c r="DP21" i="11"/>
  <c r="FY31" i="11" s="1"/>
  <c r="DO21" i="11"/>
  <c r="FX31" i="11" s="1"/>
  <c r="DN21" i="11"/>
  <c r="FW31" i="11" s="1"/>
  <c r="DM21" i="11"/>
  <c r="FV31" i="11" s="1"/>
  <c r="DL21" i="11"/>
  <c r="FU31" i="11" s="1"/>
  <c r="DK21" i="11"/>
  <c r="FT31" i="11" s="1"/>
  <c r="DJ21" i="11"/>
  <c r="FS31" i="11" s="1"/>
  <c r="DI21" i="11"/>
  <c r="FR31" i="11" s="1"/>
  <c r="DH21" i="11"/>
  <c r="FQ31" i="11" s="1"/>
  <c r="DG21" i="11"/>
  <c r="FP31" i="11" s="1"/>
  <c r="DF21" i="11"/>
  <c r="FO31" i="11" s="1"/>
  <c r="DE21" i="11"/>
  <c r="FN31" i="11" s="1"/>
  <c r="BP21" i="11"/>
  <c r="BP24" i="11" s="1"/>
  <c r="BO21" i="11"/>
  <c r="BO24" i="11" s="1"/>
  <c r="BN21" i="11"/>
  <c r="BN24" i="11" s="1"/>
  <c r="BM21" i="11"/>
  <c r="BM24" i="11" s="1"/>
  <c r="BL21" i="11"/>
  <c r="BL24" i="11" s="1"/>
  <c r="BK21" i="11"/>
  <c r="BK24" i="11" s="1"/>
  <c r="BJ21" i="11"/>
  <c r="BJ24" i="11" s="1"/>
  <c r="BI21" i="11"/>
  <c r="BI24" i="11" s="1"/>
  <c r="BH21" i="11"/>
  <c r="BH24" i="11" s="1"/>
  <c r="BG21" i="11"/>
  <c r="BG24" i="11" s="1"/>
  <c r="BF21" i="11"/>
  <c r="BF24" i="11" s="1"/>
  <c r="BE21" i="11"/>
  <c r="BE24" i="11" s="1"/>
  <c r="BD21" i="11"/>
  <c r="BD24" i="11" s="1"/>
  <c r="BC21" i="11"/>
  <c r="BC24" i="11" s="1"/>
  <c r="BB21" i="11"/>
  <c r="BB24" i="11" s="1"/>
  <c r="BA21" i="11"/>
  <c r="BA24" i="11" s="1"/>
  <c r="AZ21" i="11"/>
  <c r="AZ24" i="11" s="1"/>
  <c r="AY21" i="11"/>
  <c r="AY24" i="11" s="1"/>
  <c r="AX21" i="11"/>
  <c r="AX24" i="11" s="1"/>
  <c r="AW21" i="11"/>
  <c r="AW24" i="11" s="1"/>
  <c r="DX20" i="11"/>
  <c r="GG30" i="11" s="1"/>
  <c r="DW20" i="11"/>
  <c r="GF30" i="11" s="1"/>
  <c r="DV20" i="11"/>
  <c r="GE30" i="11" s="1"/>
  <c r="DU20" i="11"/>
  <c r="GD30" i="11" s="1"/>
  <c r="DT20" i="11"/>
  <c r="GC30" i="11" s="1"/>
  <c r="DS20" i="11"/>
  <c r="GB30" i="11" s="1"/>
  <c r="DR20" i="11"/>
  <c r="GA30" i="11" s="1"/>
  <c r="DQ20" i="11"/>
  <c r="FZ30" i="11" s="1"/>
  <c r="DP20" i="11"/>
  <c r="FY30" i="11" s="1"/>
  <c r="DO20" i="11"/>
  <c r="FX30" i="11" s="1"/>
  <c r="DN20" i="11"/>
  <c r="FW30" i="11" s="1"/>
  <c r="DM20" i="11"/>
  <c r="FV30" i="11" s="1"/>
  <c r="DL20" i="11"/>
  <c r="FU30" i="11" s="1"/>
  <c r="DK20" i="11"/>
  <c r="FT30" i="11" s="1"/>
  <c r="DJ20" i="11"/>
  <c r="FS30" i="11" s="1"/>
  <c r="DI20" i="11"/>
  <c r="FR30" i="11" s="1"/>
  <c r="DH20" i="11"/>
  <c r="FQ30" i="11" s="1"/>
  <c r="DG20" i="11"/>
  <c r="FP30" i="11" s="1"/>
  <c r="DF20" i="11"/>
  <c r="FO30" i="11" s="1"/>
  <c r="DE20" i="11"/>
  <c r="FN30" i="11" s="1"/>
  <c r="BP20" i="11"/>
  <c r="BP23" i="11" s="1"/>
  <c r="BO20" i="11"/>
  <c r="BO23" i="11" s="1"/>
  <c r="BN20" i="11"/>
  <c r="BN23" i="11" s="1"/>
  <c r="BM20" i="11"/>
  <c r="BM23" i="11" s="1"/>
  <c r="BL20" i="11"/>
  <c r="BL23" i="11" s="1"/>
  <c r="BK20" i="11"/>
  <c r="BK23" i="11" s="1"/>
  <c r="BJ20" i="11"/>
  <c r="BJ23" i="11" s="1"/>
  <c r="BI20" i="11"/>
  <c r="BI23" i="11" s="1"/>
  <c r="BH20" i="11"/>
  <c r="BH23" i="11" s="1"/>
  <c r="BG20" i="11"/>
  <c r="BG23" i="11" s="1"/>
  <c r="BF20" i="11"/>
  <c r="BF23" i="11" s="1"/>
  <c r="BE20" i="11"/>
  <c r="BE23" i="11" s="1"/>
  <c r="BD20" i="11"/>
  <c r="BD23" i="11" s="1"/>
  <c r="BC20" i="11"/>
  <c r="BC23" i="11" s="1"/>
  <c r="BB20" i="11"/>
  <c r="BB23" i="11" s="1"/>
  <c r="BA20" i="11"/>
  <c r="BA23" i="11" s="1"/>
  <c r="AZ20" i="11"/>
  <c r="AZ23" i="11" s="1"/>
  <c r="AY20" i="11"/>
  <c r="AY23" i="11" s="1"/>
  <c r="AX20" i="11"/>
  <c r="AW20" i="11"/>
  <c r="DX19" i="11"/>
  <c r="GG29" i="11" s="1"/>
  <c r="DW19" i="11"/>
  <c r="GF29" i="11" s="1"/>
  <c r="DV19" i="11"/>
  <c r="DU19" i="11"/>
  <c r="DT19" i="11"/>
  <c r="GC29" i="11" s="1"/>
  <c r="DS19" i="11"/>
  <c r="GB29" i="11" s="1"/>
  <c r="DR19" i="11"/>
  <c r="DQ19" i="11"/>
  <c r="DP19" i="11"/>
  <c r="FY29" i="11" s="1"/>
  <c r="DO19" i="11"/>
  <c r="FX29" i="11" s="1"/>
  <c r="DN19" i="11"/>
  <c r="DM19" i="11"/>
  <c r="DL19" i="11"/>
  <c r="FU29" i="11" s="1"/>
  <c r="DK19" i="11"/>
  <c r="FT29" i="11" s="1"/>
  <c r="DJ19" i="11"/>
  <c r="DI19" i="11"/>
  <c r="DH19" i="11"/>
  <c r="FQ29" i="11" s="1"/>
  <c r="DG19" i="11"/>
  <c r="FP29" i="11" s="1"/>
  <c r="DF19" i="11"/>
  <c r="DE19" i="11"/>
  <c r="BP19" i="11"/>
  <c r="BO19" i="11"/>
  <c r="BO22" i="11" s="1"/>
  <c r="BN19" i="11"/>
  <c r="BN22" i="11" s="1"/>
  <c r="BM19" i="11"/>
  <c r="BL19" i="11"/>
  <c r="BK19" i="11"/>
  <c r="BK22" i="11" s="1"/>
  <c r="BJ19" i="11"/>
  <c r="BJ22" i="11" s="1"/>
  <c r="BI19" i="11"/>
  <c r="BH19" i="11"/>
  <c r="BG19" i="11"/>
  <c r="BG22" i="11" s="1"/>
  <c r="BF19" i="11"/>
  <c r="BF22" i="11" s="1"/>
  <c r="BE19" i="11"/>
  <c r="BD19" i="11"/>
  <c r="BC19" i="11"/>
  <c r="BC22" i="11" s="1"/>
  <c r="BB19" i="11"/>
  <c r="BB22" i="11" s="1"/>
  <c r="BA19" i="11"/>
  <c r="AZ19" i="11"/>
  <c r="AY19" i="11"/>
  <c r="AY22" i="11" s="1"/>
  <c r="AX19" i="11"/>
  <c r="AX22" i="11" s="1"/>
  <c r="AW19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DD6" i="11"/>
  <c r="DC6" i="11"/>
  <c r="DB6" i="11"/>
  <c r="DA6" i="11"/>
  <c r="CX6" i="11"/>
  <c r="CN6" i="11"/>
  <c r="CM6" i="11"/>
  <c r="CY5" i="11"/>
  <c r="CX5" i="11"/>
  <c r="CW5" i="11"/>
  <c r="CV5" i="11"/>
  <c r="CU5" i="11"/>
  <c r="CT5" i="11"/>
  <c r="CM5" i="11"/>
  <c r="CX4" i="11"/>
  <c r="CU4" i="11"/>
  <c r="CT4" i="11"/>
  <c r="CR4" i="11"/>
  <c r="CQ4" i="11"/>
  <c r="CP4" i="11"/>
  <c r="CO4" i="11"/>
  <c r="CN4" i="11"/>
  <c r="CM4" i="11"/>
  <c r="CL4" i="11"/>
  <c r="CK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AB2" i="11"/>
  <c r="AA2" i="11"/>
  <c r="Z2" i="11"/>
  <c r="Y2" i="11"/>
  <c r="X2" i="11"/>
  <c r="W2" i="11"/>
  <c r="V2" i="11"/>
  <c r="U2" i="11"/>
  <c r="T2" i="11"/>
  <c r="S2" i="11"/>
  <c r="R2" i="11"/>
  <c r="Q2" i="11"/>
  <c r="P2" i="11"/>
  <c r="O2" i="11"/>
  <c r="N2" i="11"/>
  <c r="M2" i="11"/>
  <c r="L2" i="11"/>
  <c r="K2" i="11"/>
  <c r="J2" i="11"/>
  <c r="I2" i="11"/>
  <c r="I172" i="11" l="1"/>
  <c r="K165" i="11"/>
  <c r="M165" i="11" s="1"/>
  <c r="I164" i="11"/>
  <c r="Q140" i="11"/>
  <c r="Q141" i="11"/>
  <c r="Q139" i="11"/>
  <c r="Q142" i="11"/>
  <c r="L176" i="11"/>
  <c r="I166" i="11"/>
  <c r="Q147" i="11"/>
  <c r="R173" i="11"/>
  <c r="BV67" i="9" s="1"/>
  <c r="R172" i="11"/>
  <c r="BV43" i="9" s="1"/>
  <c r="R171" i="11"/>
  <c r="BV16" i="9" s="1"/>
  <c r="F31" i="11"/>
  <c r="F29" i="11"/>
  <c r="DG28" i="11"/>
  <c r="EE19" i="11"/>
  <c r="EY19" i="11" s="1"/>
  <c r="EM19" i="11"/>
  <c r="FG19" i="11" s="1"/>
  <c r="AW23" i="11"/>
  <c r="ES23" i="11" s="1"/>
  <c r="AZ22" i="11"/>
  <c r="EV22" i="11" s="1"/>
  <c r="BD22" i="11"/>
  <c r="EZ22" i="11" s="1"/>
  <c r="BH22" i="11"/>
  <c r="BL22" i="11"/>
  <c r="BP22" i="11"/>
  <c r="FL22" i="11" s="1"/>
  <c r="EF19" i="11"/>
  <c r="EZ19" i="11" s="1"/>
  <c r="EN19" i="11"/>
  <c r="FH19" i="11" s="1"/>
  <c r="AX23" i="11"/>
  <c r="ET23" i="11" s="1"/>
  <c r="ET22" i="11"/>
  <c r="EX22" i="11"/>
  <c r="FB22" i="11"/>
  <c r="FF22" i="11"/>
  <c r="FJ22" i="11"/>
  <c r="AW22" i="11"/>
  <c r="BA22" i="11"/>
  <c r="EW22" i="11" s="1"/>
  <c r="BE22" i="11"/>
  <c r="FA22" i="11" s="1"/>
  <c r="BI22" i="11"/>
  <c r="FE22" i="11" s="1"/>
  <c r="BM22" i="11"/>
  <c r="FI22" i="11" s="1"/>
  <c r="FN29" i="11"/>
  <c r="DG27" i="11"/>
  <c r="DY19" i="11"/>
  <c r="ES19" i="11" s="1"/>
  <c r="FR29" i="11"/>
  <c r="EC19" i="11"/>
  <c r="EW19" i="11" s="1"/>
  <c r="FV29" i="11"/>
  <c r="EG19" i="11"/>
  <c r="FA19" i="11" s="1"/>
  <c r="FZ29" i="11"/>
  <c r="EK19" i="11"/>
  <c r="FE19" i="11" s="1"/>
  <c r="GD29" i="11"/>
  <c r="EO19" i="11"/>
  <c r="FI19" i="11" s="1"/>
  <c r="EA19" i="11"/>
  <c r="EU19" i="11" s="1"/>
  <c r="EI19" i="11"/>
  <c r="FC19" i="11" s="1"/>
  <c r="EQ19" i="11"/>
  <c r="FK19" i="11" s="1"/>
  <c r="EU22" i="11"/>
  <c r="EY22" i="11"/>
  <c r="FC22" i="11"/>
  <c r="FG22" i="11"/>
  <c r="FK22" i="11"/>
  <c r="FO29" i="11"/>
  <c r="DZ19" i="11"/>
  <c r="ET19" i="11" s="1"/>
  <c r="FS29" i="11"/>
  <c r="ED19" i="11"/>
  <c r="EX19" i="11" s="1"/>
  <c r="FW29" i="11"/>
  <c r="EH19" i="11"/>
  <c r="FB19" i="11" s="1"/>
  <c r="GA29" i="11"/>
  <c r="EL19" i="11"/>
  <c r="FF19" i="11" s="1"/>
  <c r="GE29" i="11"/>
  <c r="EP19" i="11"/>
  <c r="FJ19" i="11" s="1"/>
  <c r="EB19" i="11"/>
  <c r="EV19" i="11" s="1"/>
  <c r="EJ19" i="11"/>
  <c r="FD19" i="11" s="1"/>
  <c r="ER19" i="11"/>
  <c r="FL19" i="11" s="1"/>
  <c r="FD22" i="11"/>
  <c r="FH22" i="11"/>
  <c r="DY20" i="11"/>
  <c r="ES20" i="11" s="1"/>
  <c r="EC20" i="11"/>
  <c r="EW20" i="11" s="1"/>
  <c r="EG20" i="11"/>
  <c r="FA20" i="11" s="1"/>
  <c r="EK20" i="11"/>
  <c r="FE20" i="11" s="1"/>
  <c r="EO20" i="11"/>
  <c r="FI20" i="11" s="1"/>
  <c r="EA21" i="11"/>
  <c r="EU21" i="11" s="1"/>
  <c r="EE21" i="11"/>
  <c r="EY21" i="11" s="1"/>
  <c r="EI21" i="11"/>
  <c r="FC21" i="11" s="1"/>
  <c r="EM21" i="11"/>
  <c r="FG21" i="11" s="1"/>
  <c r="EQ21" i="11"/>
  <c r="FK21" i="11" s="1"/>
  <c r="DY22" i="11"/>
  <c r="ES22" i="11" s="1"/>
  <c r="EV23" i="11"/>
  <c r="EZ23" i="11"/>
  <c r="FD23" i="11"/>
  <c r="FH23" i="11"/>
  <c r="FL23" i="11"/>
  <c r="ES24" i="11"/>
  <c r="EW24" i="11"/>
  <c r="FA24" i="11"/>
  <c r="FE24" i="11"/>
  <c r="FI24" i="11"/>
  <c r="DZ20" i="11"/>
  <c r="ET20" i="11" s="1"/>
  <c r="ED20" i="11"/>
  <c r="EX20" i="11" s="1"/>
  <c r="EH20" i="11"/>
  <c r="FB20" i="11" s="1"/>
  <c r="EL20" i="11"/>
  <c r="FF20" i="11" s="1"/>
  <c r="EP20" i="11"/>
  <c r="FJ20" i="11" s="1"/>
  <c r="EB21" i="11"/>
  <c r="EV21" i="11" s="1"/>
  <c r="EF21" i="11"/>
  <c r="EZ21" i="11" s="1"/>
  <c r="EJ21" i="11"/>
  <c r="FD21" i="11" s="1"/>
  <c r="EN21" i="11"/>
  <c r="FH21" i="11" s="1"/>
  <c r="ER21" i="11"/>
  <c r="FL21" i="11" s="1"/>
  <c r="EW23" i="11"/>
  <c r="FA23" i="11"/>
  <c r="FE23" i="11"/>
  <c r="FI23" i="11"/>
  <c r="ET24" i="11"/>
  <c r="EX24" i="11"/>
  <c r="FB24" i="11"/>
  <c r="FF24" i="11"/>
  <c r="FJ24" i="11"/>
  <c r="EA20" i="11"/>
  <c r="EU20" i="11" s="1"/>
  <c r="EE20" i="11"/>
  <c r="EY20" i="11" s="1"/>
  <c r="EI20" i="11"/>
  <c r="FC20" i="11" s="1"/>
  <c r="EM20" i="11"/>
  <c r="FG20" i="11" s="1"/>
  <c r="EQ20" i="11"/>
  <c r="FK20" i="11" s="1"/>
  <c r="DY21" i="11"/>
  <c r="ES21" i="11" s="1"/>
  <c r="EC21" i="11"/>
  <c r="EW21" i="11" s="1"/>
  <c r="EG21" i="11"/>
  <c r="FA21" i="11" s="1"/>
  <c r="EK21" i="11"/>
  <c r="FE21" i="11" s="1"/>
  <c r="EO21" i="11"/>
  <c r="FI21" i="11" s="1"/>
  <c r="EX23" i="11"/>
  <c r="FB23" i="11"/>
  <c r="FF23" i="11"/>
  <c r="FJ23" i="11"/>
  <c r="EU24" i="11"/>
  <c r="EY24" i="11"/>
  <c r="FC24" i="11"/>
  <c r="FG24" i="11"/>
  <c r="FK24" i="11"/>
  <c r="EB20" i="11"/>
  <c r="EV20" i="11" s="1"/>
  <c r="EF20" i="11"/>
  <c r="EZ20" i="11" s="1"/>
  <c r="EJ20" i="11"/>
  <c r="FD20" i="11" s="1"/>
  <c r="EN20" i="11"/>
  <c r="FH20" i="11" s="1"/>
  <c r="ER20" i="11"/>
  <c r="FL20" i="11" s="1"/>
  <c r="DZ21" i="11"/>
  <c r="ET21" i="11" s="1"/>
  <c r="ED21" i="11"/>
  <c r="EX21" i="11" s="1"/>
  <c r="EH21" i="11"/>
  <c r="FB21" i="11" s="1"/>
  <c r="EL21" i="11"/>
  <c r="FF21" i="11" s="1"/>
  <c r="EP21" i="11"/>
  <c r="FJ21" i="11" s="1"/>
  <c r="EU23" i="11"/>
  <c r="EY23" i="11"/>
  <c r="FC23" i="11"/>
  <c r="FG23" i="11"/>
  <c r="FK23" i="11"/>
  <c r="EV24" i="11"/>
  <c r="EZ24" i="11"/>
  <c r="FD24" i="11"/>
  <c r="FH24" i="11"/>
  <c r="FL24" i="11"/>
  <c r="AK30" i="11"/>
  <c r="AK29" i="11"/>
  <c r="I37" i="11"/>
  <c r="AK31" i="11"/>
  <c r="K164" i="11" l="1"/>
  <c r="M164" i="11" s="1"/>
  <c r="I171" i="11"/>
  <c r="I175" i="11" s="1"/>
  <c r="BV82" i="9"/>
  <c r="T173" i="11"/>
  <c r="AI126" i="13" s="1"/>
  <c r="O147" i="11"/>
  <c r="BV30" i="9"/>
  <c r="O139" i="11"/>
  <c r="Q143" i="11"/>
  <c r="T171" i="11" s="1"/>
  <c r="T175" i="11" s="1"/>
  <c r="BV31" i="9"/>
  <c r="O140" i="11"/>
  <c r="O142" i="11"/>
  <c r="BV33" i="9"/>
  <c r="K166" i="11"/>
  <c r="M166" i="11" s="1"/>
  <c r="I173" i="11"/>
  <c r="O141" i="11"/>
  <c r="BV32" i="9"/>
  <c r="R175" i="11"/>
  <c r="R176" i="11" s="1"/>
  <c r="I38" i="11"/>
  <c r="FM19" i="11"/>
  <c r="FM21" i="11"/>
  <c r="FM22" i="11"/>
  <c r="FM23" i="11"/>
  <c r="FM20" i="11"/>
  <c r="FM24" i="11"/>
  <c r="J247" i="11" l="1"/>
  <c r="P247" i="11" s="1"/>
  <c r="T247" i="11" s="1"/>
  <c r="X247" i="11" s="1"/>
  <c r="G83" i="13"/>
  <c r="T142" i="11"/>
  <c r="J244" i="11"/>
  <c r="P244" i="11" s="1"/>
  <c r="T244" i="11" s="1"/>
  <c r="O143" i="11"/>
  <c r="T143" i="11" s="1"/>
  <c r="T139" i="11"/>
  <c r="J245" i="11"/>
  <c r="P245" i="11" s="1"/>
  <c r="T245" i="11" s="1"/>
  <c r="X245" i="11" s="1"/>
  <c r="G81" i="13"/>
  <c r="T140" i="11"/>
  <c r="J246" i="11"/>
  <c r="P246" i="11" s="1"/>
  <c r="T246" i="11" s="1"/>
  <c r="X246" i="11" s="1"/>
  <c r="G82" i="13"/>
  <c r="T141" i="11"/>
  <c r="J252" i="11"/>
  <c r="P252" i="11" s="1"/>
  <c r="T147" i="11"/>
  <c r="P173" i="11"/>
  <c r="BV64" i="9"/>
  <c r="N166" i="11"/>
  <c r="BV65" i="9"/>
  <c r="P172" i="11"/>
  <c r="BV40" i="9"/>
  <c r="N165" i="11"/>
  <c r="BV41" i="9"/>
  <c r="P171" i="11"/>
  <c r="BV13" i="9"/>
  <c r="N164" i="11"/>
  <c r="BV14" i="9"/>
  <c r="P175" i="11"/>
  <c r="K37" i="11"/>
  <c r="X30" i="11" s="1"/>
  <c r="J172" i="11" s="1"/>
  <c r="N37" i="11"/>
  <c r="V30" i="11" s="1"/>
  <c r="W30" i="11" s="1"/>
  <c r="N38" i="11"/>
  <c r="V31" i="11" s="1"/>
  <c r="W31" i="11" s="1"/>
  <c r="FI29" i="11"/>
  <c r="FI30" i="11"/>
  <c r="FI31" i="11"/>
  <c r="T248" i="11" l="1"/>
  <c r="X248" i="11" s="1"/>
  <c r="X244" i="11"/>
  <c r="AC30" i="11"/>
  <c r="AJ30" i="11" s="1"/>
  <c r="O12" i="3" s="1"/>
  <c r="K172" i="11"/>
  <c r="K38" i="11"/>
  <c r="X31" i="11" s="1"/>
  <c r="J173" i="11" s="1"/>
  <c r="N169" i="11" s="1"/>
  <c r="AC31" i="11" l="1"/>
  <c r="AJ31" i="11" s="1"/>
  <c r="O13" i="3" s="1"/>
  <c r="M172" i="11"/>
  <c r="K173" i="11"/>
  <c r="M173" i="11" s="1"/>
  <c r="E9" i="9" l="1"/>
  <c r="C12" i="13" s="1"/>
  <c r="D11" i="9"/>
  <c r="K12" i="3" s="1"/>
  <c r="N12" i="3" s="1"/>
  <c r="D12" i="9"/>
  <c r="K13" i="3" s="1"/>
  <c r="N13" i="3" s="1"/>
  <c r="Q13" i="3" s="1"/>
  <c r="J115" i="3"/>
  <c r="K115" i="3"/>
  <c r="U115" i="3"/>
  <c r="X115" i="3"/>
  <c r="Y115" i="3"/>
  <c r="Z115" i="3"/>
  <c r="AA115" i="3"/>
  <c r="AD115" i="3"/>
  <c r="AE115" i="3"/>
  <c r="AO115" i="3"/>
  <c r="AR115" i="3"/>
  <c r="AS115" i="3"/>
  <c r="AT115" i="3"/>
  <c r="AU115" i="3"/>
  <c r="J116" i="3"/>
  <c r="K116" i="3"/>
  <c r="U116" i="3"/>
  <c r="X116" i="3"/>
  <c r="Y116" i="3"/>
  <c r="Z116" i="3"/>
  <c r="AA116" i="3"/>
  <c r="AD116" i="3"/>
  <c r="AE116" i="3"/>
  <c r="AO116" i="3"/>
  <c r="AR116" i="3"/>
  <c r="AS116" i="3"/>
  <c r="AT116" i="3"/>
  <c r="AU116" i="3"/>
  <c r="H118" i="3"/>
  <c r="AB118" i="3"/>
  <c r="H119" i="3"/>
  <c r="H120" i="3"/>
  <c r="H121" i="3"/>
  <c r="H122" i="3"/>
  <c r="H123" i="3"/>
  <c r="H124" i="3"/>
  <c r="H125" i="3"/>
  <c r="H126" i="3"/>
  <c r="AB126" i="3"/>
  <c r="BP126" i="3"/>
  <c r="H127" i="3"/>
  <c r="H128" i="3"/>
  <c r="H129" i="3"/>
  <c r="H130" i="3"/>
  <c r="H131" i="3"/>
  <c r="H132" i="3"/>
  <c r="H133" i="3"/>
  <c r="J91" i="3"/>
  <c r="Q91" i="3"/>
  <c r="R91" i="3"/>
  <c r="S91" i="3"/>
  <c r="T91" i="3"/>
  <c r="U91" i="3"/>
  <c r="V91" i="3"/>
  <c r="AD91" i="3"/>
  <c r="AK91" i="3"/>
  <c r="AL91" i="3"/>
  <c r="AM91" i="3"/>
  <c r="AN91" i="3"/>
  <c r="AO91" i="3"/>
  <c r="AP91" i="3"/>
  <c r="J92" i="3"/>
  <c r="Q92" i="3"/>
  <c r="R92" i="3"/>
  <c r="S92" i="3"/>
  <c r="T92" i="3"/>
  <c r="U92" i="3"/>
  <c r="V92" i="3"/>
  <c r="AD92" i="3"/>
  <c r="AK92" i="3"/>
  <c r="AL92" i="3"/>
  <c r="AM92" i="3"/>
  <c r="AN92" i="3"/>
  <c r="AO92" i="3"/>
  <c r="AP92" i="3"/>
  <c r="H94" i="3"/>
  <c r="AB94" i="3"/>
  <c r="H97" i="3"/>
  <c r="H98" i="3"/>
  <c r="H99" i="3"/>
  <c r="H100" i="3"/>
  <c r="H101" i="3"/>
  <c r="H102" i="3"/>
  <c r="AB102" i="3"/>
  <c r="BP102" i="3"/>
  <c r="H103" i="3"/>
  <c r="H104" i="3"/>
  <c r="H105" i="3"/>
  <c r="H106" i="3"/>
  <c r="H107" i="3"/>
  <c r="H108" i="3"/>
  <c r="H64" i="3"/>
  <c r="I64" i="3"/>
  <c r="J64" i="3"/>
  <c r="K64" i="3"/>
  <c r="L64" i="3"/>
  <c r="M64" i="3"/>
  <c r="N64" i="3"/>
  <c r="O64" i="3"/>
  <c r="Q64" i="3"/>
  <c r="R64" i="3"/>
  <c r="U64" i="3"/>
  <c r="AB64" i="3"/>
  <c r="AC64" i="3"/>
  <c r="AD64" i="3"/>
  <c r="AE64" i="3"/>
  <c r="AF64" i="3"/>
  <c r="AG64" i="3"/>
  <c r="AH64" i="3"/>
  <c r="AI64" i="3"/>
  <c r="AK64" i="3"/>
  <c r="AL64" i="3"/>
  <c r="AO64" i="3"/>
  <c r="H65" i="3"/>
  <c r="I65" i="3"/>
  <c r="J65" i="3"/>
  <c r="K65" i="3"/>
  <c r="L65" i="3"/>
  <c r="M65" i="3"/>
  <c r="N65" i="3"/>
  <c r="O65" i="3"/>
  <c r="Q65" i="3"/>
  <c r="R65" i="3"/>
  <c r="U65" i="3"/>
  <c r="AB65" i="3"/>
  <c r="AC65" i="3"/>
  <c r="AD65" i="3"/>
  <c r="AE65" i="3"/>
  <c r="AF65" i="3"/>
  <c r="AG65" i="3"/>
  <c r="AH65" i="3"/>
  <c r="AI65" i="3"/>
  <c r="AK65" i="3"/>
  <c r="AL65" i="3"/>
  <c r="AO65" i="3"/>
  <c r="H67" i="3"/>
  <c r="AB67" i="3"/>
  <c r="H70" i="3"/>
  <c r="H71" i="3"/>
  <c r="H72" i="3"/>
  <c r="H73" i="3"/>
  <c r="H74" i="3"/>
  <c r="H75" i="3"/>
  <c r="AB75" i="3"/>
  <c r="H76" i="3"/>
  <c r="H77" i="3"/>
  <c r="H78" i="3"/>
  <c r="H79" i="3"/>
  <c r="H80" i="3"/>
  <c r="H81" i="3"/>
  <c r="H82" i="3"/>
  <c r="H83" i="3"/>
  <c r="H84" i="3"/>
  <c r="H85" i="3"/>
  <c r="Q12" i="3" l="1"/>
  <c r="N10" i="3"/>
  <c r="J91" i="4"/>
  <c r="I92" i="4"/>
  <c r="I93" i="4"/>
  <c r="I94" i="4"/>
  <c r="I95" i="4"/>
  <c r="I96" i="4"/>
  <c r="I91" i="4"/>
  <c r="E12" i="9" l="1"/>
  <c r="C15" i="13" s="1"/>
  <c r="E11" i="9"/>
  <c r="C14" i="13" s="1"/>
  <c r="E10" i="9"/>
  <c r="C13" i="13" s="1"/>
  <c r="AH48" i="13" l="1"/>
  <c r="AC127" i="13"/>
  <c r="AH49" i="13"/>
  <c r="AI132" i="13"/>
  <c r="AH50" i="13"/>
  <c r="AJ133" i="13"/>
  <c r="AI133" i="13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AW19" i="8"/>
  <c r="L5" i="3"/>
  <c r="L6" i="3"/>
  <c r="L4" i="3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N19" i="4"/>
  <c r="BO19" i="4"/>
  <c r="BP19" i="4"/>
  <c r="AW19" i="4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A51" i="3"/>
  <c r="F29" i="3"/>
  <c r="AH58" i="13" l="1"/>
  <c r="AI58" i="13"/>
  <c r="AH56" i="13"/>
  <c r="H21" i="13" s="1"/>
  <c r="AI56" i="13"/>
  <c r="O157" i="4"/>
  <c r="O151" i="4"/>
  <c r="T73" i="4"/>
  <c r="P157" i="4"/>
  <c r="P151" i="4"/>
  <c r="AB82" i="3"/>
  <c r="AB83" i="3"/>
  <c r="AB84" i="3"/>
  <c r="AB81" i="3"/>
  <c r="AA64" i="13" l="1"/>
  <c r="AA63" i="13"/>
  <c r="AA71" i="13"/>
  <c r="AB108" i="3"/>
  <c r="L259" i="4"/>
  <c r="L84" i="13"/>
  <c r="M84" i="13" s="1"/>
  <c r="AB85" i="3"/>
  <c r="L256" i="4"/>
  <c r="V256" i="4" s="1"/>
  <c r="D84" i="13"/>
  <c r="N147" i="4"/>
  <c r="AB133" i="3"/>
  <c r="R151" i="4"/>
  <c r="V151" i="4" s="1"/>
  <c r="I84" i="13" s="1"/>
  <c r="N141" i="4"/>
  <c r="N140" i="4"/>
  <c r="N142" i="4"/>
  <c r="N139" i="4"/>
  <c r="R157" i="4"/>
  <c r="P141" i="4"/>
  <c r="G40" i="13" s="1"/>
  <c r="P140" i="4"/>
  <c r="G39" i="13" s="1"/>
  <c r="P139" i="4"/>
  <c r="P147" i="4"/>
  <c r="P142" i="4"/>
  <c r="G41" i="13" s="1"/>
  <c r="D42" i="13" l="1"/>
  <c r="E42" i="13" s="1"/>
  <c r="S157" i="4"/>
  <c r="J259" i="4"/>
  <c r="P259" i="4" s="1"/>
  <c r="O84" i="13"/>
  <c r="V157" i="4"/>
  <c r="Q84" i="13" s="1"/>
  <c r="S151" i="4"/>
  <c r="J256" i="4"/>
  <c r="P256" i="4" s="1"/>
  <c r="G84" i="13"/>
  <c r="E84" i="13"/>
  <c r="BP108" i="3"/>
  <c r="V172" i="4"/>
  <c r="AJ125" i="13" s="1"/>
  <c r="AJ132" i="13" s="1"/>
  <c r="BP85" i="3"/>
  <c r="V171" i="4"/>
  <c r="P143" i="4"/>
  <c r="T256" i="4" l="1"/>
  <c r="X256" i="4" s="1"/>
  <c r="I42" i="13" s="1"/>
  <c r="G42" i="13"/>
  <c r="AJ124" i="13"/>
  <c r="V175" i="4"/>
  <c r="Q157" i="4"/>
  <c r="Q151" i="4"/>
  <c r="B157" i="4"/>
  <c r="B151" i="4"/>
  <c r="N157" i="4"/>
  <c r="N151" i="4"/>
  <c r="L157" i="4"/>
  <c r="AJ131" i="13" l="1"/>
  <c r="AJ127" i="13"/>
  <c r="AJ134" i="13" s="1"/>
  <c r="L151" i="4"/>
  <c r="F83" i="4" l="1"/>
  <c r="F68" i="4"/>
  <c r="F87" i="8"/>
  <c r="F86" i="8"/>
  <c r="F85" i="8"/>
  <c r="F84" i="8"/>
  <c r="F83" i="8"/>
  <c r="F72" i="8"/>
  <c r="F71" i="8"/>
  <c r="F70" i="8"/>
  <c r="F69" i="8"/>
  <c r="F68" i="8"/>
  <c r="K89" i="4"/>
  <c r="J89" i="4"/>
  <c r="T59" i="4" l="1"/>
  <c r="BP75" i="3" s="1"/>
  <c r="Q103" i="4"/>
  <c r="N55" i="8"/>
  <c r="N56" i="8"/>
  <c r="N57" i="8"/>
  <c r="N58" i="8"/>
  <c r="N54" i="8"/>
  <c r="F54" i="4" l="1"/>
  <c r="J160" i="8" l="1"/>
  <c r="J161" i="8"/>
  <c r="J159" i="8"/>
  <c r="S60" i="8"/>
  <c r="S74" i="8"/>
  <c r="AM103" i="8"/>
  <c r="F55" i="8"/>
  <c r="F56" i="8"/>
  <c r="F57" i="8"/>
  <c r="F58" i="8"/>
  <c r="F54" i="8"/>
  <c r="HK22" i="8"/>
  <c r="HO22" i="8"/>
  <c r="AL52" i="8"/>
  <c r="AL51" i="8"/>
  <c r="AL50" i="8"/>
  <c r="AL42" i="8"/>
  <c r="AL41" i="8" a="1"/>
  <c r="AL40" i="8" a="1"/>
  <c r="AL40" i="8" s="1"/>
  <c r="AL39" i="8" a="1"/>
  <c r="AL38" i="8" a="1"/>
  <c r="AL38" i="8" s="1"/>
  <c r="AM119" i="8"/>
  <c r="AM118" i="8"/>
  <c r="AM117" i="8"/>
  <c r="AM109" i="8"/>
  <c r="AM108" i="8" a="1"/>
  <c r="AM107" i="8" a="1"/>
  <c r="AM107" i="8" s="1"/>
  <c r="AM106" i="8" a="1"/>
  <c r="AM105" i="8" a="1"/>
  <c r="AM105" i="8" s="1"/>
  <c r="M135" i="8"/>
  <c r="L135" i="8"/>
  <c r="K135" i="8"/>
  <c r="Q133" i="8"/>
  <c r="N133" i="8"/>
  <c r="B133" i="8"/>
  <c r="O133" i="8" s="1"/>
  <c r="P133" i="8" s="1"/>
  <c r="Q132" i="8"/>
  <c r="N132" i="8"/>
  <c r="B132" i="8"/>
  <c r="O132" i="8" s="1"/>
  <c r="P132" i="8" s="1"/>
  <c r="Q131" i="8"/>
  <c r="N131" i="8"/>
  <c r="B131" i="8"/>
  <c r="O131" i="8" s="1"/>
  <c r="P131" i="8" s="1"/>
  <c r="Q130" i="8"/>
  <c r="N130" i="8"/>
  <c r="B130" i="8"/>
  <c r="O130" i="8" s="1"/>
  <c r="P130" i="8" s="1"/>
  <c r="Q129" i="8"/>
  <c r="Q134" i="8" s="1"/>
  <c r="N129" i="8"/>
  <c r="B129" i="8"/>
  <c r="O129" i="8" s="1"/>
  <c r="Q126" i="8"/>
  <c r="Q127" i="8" s="1"/>
  <c r="M123" i="8"/>
  <c r="L123" i="8"/>
  <c r="K123" i="8"/>
  <c r="Q121" i="8"/>
  <c r="N121" i="8"/>
  <c r="B121" i="8"/>
  <c r="O121" i="8" s="1"/>
  <c r="P121" i="8" s="1"/>
  <c r="Q120" i="8"/>
  <c r="N120" i="8"/>
  <c r="B120" i="8"/>
  <c r="O120" i="8" s="1"/>
  <c r="P120" i="8" s="1"/>
  <c r="Q119" i="8"/>
  <c r="N119" i="8"/>
  <c r="B119" i="8"/>
  <c r="O119" i="8" s="1"/>
  <c r="Q118" i="8"/>
  <c r="N118" i="8"/>
  <c r="B118" i="8"/>
  <c r="O118" i="8" s="1"/>
  <c r="P118" i="8" s="1"/>
  <c r="Q115" i="8"/>
  <c r="M111" i="8"/>
  <c r="L111" i="8"/>
  <c r="K111" i="8"/>
  <c r="Q109" i="8"/>
  <c r="N109" i="8"/>
  <c r="B109" i="8"/>
  <c r="O109" i="8" s="1"/>
  <c r="P109" i="8" s="1"/>
  <c r="Q108" i="8"/>
  <c r="N108" i="8"/>
  <c r="B108" i="8"/>
  <c r="O108" i="8" s="1"/>
  <c r="P108" i="8" s="1"/>
  <c r="Q107" i="8"/>
  <c r="N107" i="8"/>
  <c r="B107" i="8"/>
  <c r="O107" i="8" s="1"/>
  <c r="P107" i="8" s="1"/>
  <c r="Q106" i="8"/>
  <c r="N106" i="8"/>
  <c r="B106" i="8"/>
  <c r="O106" i="8" s="1"/>
  <c r="P106" i="8" s="1"/>
  <c r="Q103" i="8"/>
  <c r="O92" i="8"/>
  <c r="O89" i="8"/>
  <c r="Q88" i="8"/>
  <c r="P88" i="8"/>
  <c r="R88" i="8" s="1"/>
  <c r="L88" i="8"/>
  <c r="S87" i="8"/>
  <c r="N87" i="8"/>
  <c r="P87" i="8" s="1"/>
  <c r="M87" i="8"/>
  <c r="L87" i="8"/>
  <c r="S86" i="8"/>
  <c r="N86" i="8"/>
  <c r="P86" i="8" s="1"/>
  <c r="M86" i="8"/>
  <c r="L86" i="8"/>
  <c r="Y85" i="8"/>
  <c r="S85" i="8"/>
  <c r="N85" i="8"/>
  <c r="P85" i="8" s="1"/>
  <c r="M85" i="8"/>
  <c r="L85" i="8"/>
  <c r="Y84" i="8"/>
  <c r="S84" i="8"/>
  <c r="N84" i="8"/>
  <c r="P84" i="8" s="1"/>
  <c r="M84" i="8"/>
  <c r="L84" i="8"/>
  <c r="S83" i="8"/>
  <c r="N83" i="8"/>
  <c r="M83" i="8"/>
  <c r="L83" i="8"/>
  <c r="O77" i="8"/>
  <c r="O74" i="8"/>
  <c r="Q73" i="8"/>
  <c r="P73" i="8"/>
  <c r="L73" i="8"/>
  <c r="S72" i="8"/>
  <c r="N72" i="8"/>
  <c r="P72" i="8" s="1"/>
  <c r="M72" i="8"/>
  <c r="L72" i="8"/>
  <c r="S71" i="8"/>
  <c r="N71" i="8"/>
  <c r="P71" i="8" s="1"/>
  <c r="M71" i="8"/>
  <c r="L71" i="8"/>
  <c r="Y70" i="8"/>
  <c r="S70" i="8"/>
  <c r="N70" i="8"/>
  <c r="P70" i="8" s="1"/>
  <c r="M70" i="8"/>
  <c r="L70" i="8"/>
  <c r="Y69" i="8"/>
  <c r="S69" i="8"/>
  <c r="N69" i="8"/>
  <c r="P69" i="8" s="1"/>
  <c r="M69" i="8"/>
  <c r="L69" i="8"/>
  <c r="S68" i="8"/>
  <c r="N68" i="8"/>
  <c r="M68" i="8"/>
  <c r="L68" i="8"/>
  <c r="V67" i="8"/>
  <c r="O60" i="8"/>
  <c r="P59" i="8"/>
  <c r="Q59" i="8" s="1"/>
  <c r="L59" i="8"/>
  <c r="S58" i="8"/>
  <c r="P58" i="8"/>
  <c r="M58" i="8"/>
  <c r="L58" i="8"/>
  <c r="Y57" i="8"/>
  <c r="S57" i="8"/>
  <c r="M57" i="8"/>
  <c r="L57" i="8"/>
  <c r="Y56" i="8"/>
  <c r="S56" i="8"/>
  <c r="P56" i="8"/>
  <c r="M56" i="8"/>
  <c r="L56" i="8"/>
  <c r="Y55" i="8"/>
  <c r="S55" i="8"/>
  <c r="P55" i="8"/>
  <c r="M55" i="8"/>
  <c r="L55" i="8"/>
  <c r="S54" i="8"/>
  <c r="V53" i="8" s="1"/>
  <c r="M54" i="8"/>
  <c r="L54" i="8"/>
  <c r="J38" i="8"/>
  <c r="J37" i="8"/>
  <c r="J36" i="8"/>
  <c r="AA31" i="8"/>
  <c r="O31" i="8"/>
  <c r="L31" i="8"/>
  <c r="D31" i="8"/>
  <c r="C31" i="8"/>
  <c r="E31" i="8" s="1"/>
  <c r="AA30" i="8"/>
  <c r="O30" i="8"/>
  <c r="L30" i="8"/>
  <c r="D30" i="8"/>
  <c r="C30" i="8"/>
  <c r="E30" i="8" s="1"/>
  <c r="AA29" i="8"/>
  <c r="O29" i="8"/>
  <c r="L29" i="8"/>
  <c r="AM116" i="8" s="1"/>
  <c r="D29" i="8"/>
  <c r="C29" i="8"/>
  <c r="E29" i="8" s="1"/>
  <c r="IR24" i="8"/>
  <c r="IQ24" i="8"/>
  <c r="IP24" i="8"/>
  <c r="IO24" i="8"/>
  <c r="IL24" i="8"/>
  <c r="IA24" i="8"/>
  <c r="HW24" i="8"/>
  <c r="HV24" i="8"/>
  <c r="HU24" i="8"/>
  <c r="HT24" i="8"/>
  <c r="HS24" i="8"/>
  <c r="HR24" i="8"/>
  <c r="HQ24" i="8"/>
  <c r="HP24" i="8"/>
  <c r="HO24" i="8"/>
  <c r="HN24" i="8"/>
  <c r="HM24" i="8"/>
  <c r="HL24" i="8"/>
  <c r="HK24" i="8"/>
  <c r="HJ24" i="8"/>
  <c r="HI24" i="8"/>
  <c r="HH24" i="8"/>
  <c r="HG24" i="8"/>
  <c r="HF24" i="8"/>
  <c r="HE24" i="8"/>
  <c r="HD24" i="8"/>
  <c r="DX24" i="8"/>
  <c r="ER24" i="8" s="1"/>
  <c r="DW24" i="8"/>
  <c r="EQ24" i="8" s="1"/>
  <c r="DV24" i="8"/>
  <c r="EP24" i="8" s="1"/>
  <c r="DU24" i="8"/>
  <c r="EO24" i="8" s="1"/>
  <c r="DT24" i="8"/>
  <c r="EN24" i="8" s="1"/>
  <c r="DS24" i="8"/>
  <c r="EM24" i="8" s="1"/>
  <c r="DR24" i="8"/>
  <c r="EL24" i="8" s="1"/>
  <c r="DQ24" i="8"/>
  <c r="EK24" i="8" s="1"/>
  <c r="DP24" i="8"/>
  <c r="EJ24" i="8" s="1"/>
  <c r="DO24" i="8"/>
  <c r="EI24" i="8" s="1"/>
  <c r="DN24" i="8"/>
  <c r="EH24" i="8" s="1"/>
  <c r="DM24" i="8"/>
  <c r="EG24" i="8" s="1"/>
  <c r="DL24" i="8"/>
  <c r="EF24" i="8" s="1"/>
  <c r="DK24" i="8"/>
  <c r="EE24" i="8" s="1"/>
  <c r="DJ24" i="8"/>
  <c r="ED24" i="8" s="1"/>
  <c r="DI24" i="8"/>
  <c r="EC24" i="8" s="1"/>
  <c r="DH24" i="8"/>
  <c r="EB24" i="8" s="1"/>
  <c r="DG24" i="8"/>
  <c r="EA24" i="8" s="1"/>
  <c r="DF24" i="8"/>
  <c r="DZ24" i="8" s="1"/>
  <c r="DE24" i="8"/>
  <c r="DY24" i="8" s="1"/>
  <c r="IM23" i="8"/>
  <c r="IL23" i="8"/>
  <c r="IK23" i="8"/>
  <c r="IJ23" i="8"/>
  <c r="II23" i="8"/>
  <c r="IH23" i="8"/>
  <c r="IA23" i="8"/>
  <c r="HW23" i="8"/>
  <c r="HV23" i="8"/>
  <c r="HU23" i="8"/>
  <c r="HT23" i="8"/>
  <c r="HS23" i="8"/>
  <c r="HR23" i="8"/>
  <c r="HQ23" i="8"/>
  <c r="HP23" i="8"/>
  <c r="HO23" i="8"/>
  <c r="HN23" i="8"/>
  <c r="HM23" i="8"/>
  <c r="HL23" i="8"/>
  <c r="HK23" i="8"/>
  <c r="HJ23" i="8"/>
  <c r="HI23" i="8"/>
  <c r="HH23" i="8"/>
  <c r="HG23" i="8"/>
  <c r="HF23" i="8"/>
  <c r="HE23" i="8"/>
  <c r="HD23" i="8"/>
  <c r="DX23" i="8"/>
  <c r="ER23" i="8" s="1"/>
  <c r="DW23" i="8"/>
  <c r="EQ23" i="8" s="1"/>
  <c r="DV23" i="8"/>
  <c r="EP23" i="8" s="1"/>
  <c r="DU23" i="8"/>
  <c r="EO23" i="8" s="1"/>
  <c r="DT23" i="8"/>
  <c r="EN23" i="8" s="1"/>
  <c r="DS23" i="8"/>
  <c r="EM23" i="8" s="1"/>
  <c r="DR23" i="8"/>
  <c r="EL23" i="8" s="1"/>
  <c r="DQ23" i="8"/>
  <c r="EK23" i="8" s="1"/>
  <c r="DP23" i="8"/>
  <c r="EJ23" i="8" s="1"/>
  <c r="DO23" i="8"/>
  <c r="EI23" i="8" s="1"/>
  <c r="DN23" i="8"/>
  <c r="EH23" i="8" s="1"/>
  <c r="DM23" i="8"/>
  <c r="EG23" i="8" s="1"/>
  <c r="DL23" i="8"/>
  <c r="EF23" i="8" s="1"/>
  <c r="DK23" i="8"/>
  <c r="EE23" i="8" s="1"/>
  <c r="DJ23" i="8"/>
  <c r="ED23" i="8" s="1"/>
  <c r="DI23" i="8"/>
  <c r="EC23" i="8" s="1"/>
  <c r="DH23" i="8"/>
  <c r="EB23" i="8" s="1"/>
  <c r="DG23" i="8"/>
  <c r="EA23" i="8" s="1"/>
  <c r="DF23" i="8"/>
  <c r="DZ23" i="8" s="1"/>
  <c r="DE23" i="8"/>
  <c r="DY23" i="8" s="1"/>
  <c r="IL22" i="8"/>
  <c r="IK22" i="8"/>
  <c r="IJ22" i="8"/>
  <c r="II22" i="8"/>
  <c r="IH22" i="8"/>
  <c r="IF22" i="8"/>
  <c r="IE22" i="8"/>
  <c r="ID22" i="8"/>
  <c r="IC22" i="8"/>
  <c r="IB22" i="8"/>
  <c r="IA22" i="8"/>
  <c r="HZ22" i="8"/>
  <c r="HY22" i="8"/>
  <c r="HW22" i="8"/>
  <c r="HV22" i="8"/>
  <c r="HU22" i="8"/>
  <c r="HT22" i="8"/>
  <c r="HS22" i="8"/>
  <c r="HR22" i="8"/>
  <c r="HQ22" i="8"/>
  <c r="HP22" i="8"/>
  <c r="HN22" i="8"/>
  <c r="HM22" i="8"/>
  <c r="HL22" i="8"/>
  <c r="HJ22" i="8"/>
  <c r="HI22" i="8"/>
  <c r="HH22" i="8"/>
  <c r="HF22" i="8"/>
  <c r="HE22" i="8"/>
  <c r="HD22" i="8"/>
  <c r="DX22" i="8"/>
  <c r="ER22" i="8" s="1"/>
  <c r="DW22" i="8"/>
  <c r="EQ22" i="8" s="1"/>
  <c r="DV22" i="8"/>
  <c r="EP22" i="8" s="1"/>
  <c r="DU22" i="8"/>
  <c r="EO22" i="8" s="1"/>
  <c r="DT22" i="8"/>
  <c r="EN22" i="8" s="1"/>
  <c r="DS22" i="8"/>
  <c r="EM22" i="8" s="1"/>
  <c r="DR22" i="8"/>
  <c r="EL22" i="8" s="1"/>
  <c r="DQ22" i="8"/>
  <c r="EK22" i="8" s="1"/>
  <c r="DO22" i="8"/>
  <c r="EI22" i="8" s="1"/>
  <c r="DN22" i="8"/>
  <c r="EH22" i="8" s="1"/>
  <c r="DM22" i="8"/>
  <c r="EG22" i="8" s="1"/>
  <c r="EE22" i="8"/>
  <c r="ED22" i="8"/>
  <c r="EC22" i="8"/>
  <c r="EA22" i="8"/>
  <c r="DZ22" i="8"/>
  <c r="DX21" i="8"/>
  <c r="GG31" i="8" s="1"/>
  <c r="DW21" i="8"/>
  <c r="GF31" i="8" s="1"/>
  <c r="DV21" i="8"/>
  <c r="GE31" i="8" s="1"/>
  <c r="DU21" i="8"/>
  <c r="GD31" i="8" s="1"/>
  <c r="DT21" i="8"/>
  <c r="GC31" i="8" s="1"/>
  <c r="DS21" i="8"/>
  <c r="GB31" i="8" s="1"/>
  <c r="DR21" i="8"/>
  <c r="GA31" i="8" s="1"/>
  <c r="DQ21" i="8"/>
  <c r="FZ31" i="8" s="1"/>
  <c r="DP21" i="8"/>
  <c r="FY31" i="8" s="1"/>
  <c r="DO21" i="8"/>
  <c r="FX31" i="8" s="1"/>
  <c r="DN21" i="8"/>
  <c r="FW31" i="8" s="1"/>
  <c r="DM21" i="8"/>
  <c r="FV31" i="8" s="1"/>
  <c r="DL21" i="8"/>
  <c r="FU31" i="8" s="1"/>
  <c r="DK21" i="8"/>
  <c r="FT31" i="8" s="1"/>
  <c r="DJ21" i="8"/>
  <c r="FS31" i="8" s="1"/>
  <c r="DI21" i="8"/>
  <c r="FR31" i="8" s="1"/>
  <c r="DH21" i="8"/>
  <c r="FQ31" i="8" s="1"/>
  <c r="DG21" i="8"/>
  <c r="FP31" i="8" s="1"/>
  <c r="DF21" i="8"/>
  <c r="FO31" i="8" s="1"/>
  <c r="DE21" i="8"/>
  <c r="FN31" i="8" s="1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DX20" i="8"/>
  <c r="GG30" i="8" s="1"/>
  <c r="DW20" i="8"/>
  <c r="GF30" i="8" s="1"/>
  <c r="DV20" i="8"/>
  <c r="GE30" i="8" s="1"/>
  <c r="DU20" i="8"/>
  <c r="GD30" i="8" s="1"/>
  <c r="DT20" i="8"/>
  <c r="GC30" i="8" s="1"/>
  <c r="DS20" i="8"/>
  <c r="GB30" i="8" s="1"/>
  <c r="DR20" i="8"/>
  <c r="GA30" i="8" s="1"/>
  <c r="DQ20" i="8"/>
  <c r="FZ30" i="8" s="1"/>
  <c r="DP20" i="8"/>
  <c r="FY30" i="8" s="1"/>
  <c r="DO20" i="8"/>
  <c r="FX30" i="8" s="1"/>
  <c r="DN20" i="8"/>
  <c r="FW30" i="8" s="1"/>
  <c r="DM20" i="8"/>
  <c r="FV30" i="8" s="1"/>
  <c r="DL20" i="8"/>
  <c r="FU30" i="8" s="1"/>
  <c r="DK20" i="8"/>
  <c r="FT30" i="8" s="1"/>
  <c r="DJ20" i="8"/>
  <c r="FS30" i="8" s="1"/>
  <c r="DI20" i="8"/>
  <c r="FR30" i="8" s="1"/>
  <c r="DH20" i="8"/>
  <c r="FQ30" i="8" s="1"/>
  <c r="DG20" i="8"/>
  <c r="FP30" i="8" s="1"/>
  <c r="DF20" i="8"/>
  <c r="FO30" i="8" s="1"/>
  <c r="DE20" i="8"/>
  <c r="FN30" i="8" s="1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DX19" i="8"/>
  <c r="GG29" i="8" s="1"/>
  <c r="DW19" i="8"/>
  <c r="GF29" i="8" s="1"/>
  <c r="DV19" i="8"/>
  <c r="GE29" i="8" s="1"/>
  <c r="DU19" i="8"/>
  <c r="GD29" i="8" s="1"/>
  <c r="DT19" i="8"/>
  <c r="GC29" i="8" s="1"/>
  <c r="DS19" i="8"/>
  <c r="GB29" i="8" s="1"/>
  <c r="DR19" i="8"/>
  <c r="GA29" i="8" s="1"/>
  <c r="DQ19" i="8"/>
  <c r="FZ29" i="8" s="1"/>
  <c r="DP19" i="8"/>
  <c r="FY29" i="8" s="1"/>
  <c r="DO19" i="8"/>
  <c r="FX29" i="8" s="1"/>
  <c r="DN19" i="8"/>
  <c r="FW29" i="8" s="1"/>
  <c r="DM19" i="8"/>
  <c r="FV29" i="8" s="1"/>
  <c r="DL19" i="8"/>
  <c r="FU29" i="8" s="1"/>
  <c r="DK19" i="8"/>
  <c r="FT29" i="8" s="1"/>
  <c r="DJ19" i="8"/>
  <c r="FS29" i="8" s="1"/>
  <c r="DI19" i="8"/>
  <c r="FR29" i="8" s="1"/>
  <c r="DH19" i="8"/>
  <c r="FQ29" i="8" s="1"/>
  <c r="DG19" i="8"/>
  <c r="FP29" i="8" s="1"/>
  <c r="DF19" i="8"/>
  <c r="FO29" i="8" s="1"/>
  <c r="DE19" i="8"/>
  <c r="BP22" i="8"/>
  <c r="BO22" i="8"/>
  <c r="BL22" i="8"/>
  <c r="BK22" i="8"/>
  <c r="BH22" i="8"/>
  <c r="BG22" i="8"/>
  <c r="BD22" i="8"/>
  <c r="BC22" i="8"/>
  <c r="AZ22" i="8"/>
  <c r="AY22" i="8"/>
  <c r="DD11" i="8"/>
  <c r="DC11" i="8"/>
  <c r="DB11" i="8"/>
  <c r="DA11" i="8"/>
  <c r="CZ11" i="8"/>
  <c r="CY11" i="8"/>
  <c r="CX11" i="8"/>
  <c r="CW11" i="8"/>
  <c r="CV11" i="8"/>
  <c r="CU11" i="8"/>
  <c r="CT11" i="8"/>
  <c r="CS11" i="8"/>
  <c r="CR11" i="8"/>
  <c r="CQ11" i="8"/>
  <c r="CP11" i="8"/>
  <c r="CO11" i="8"/>
  <c r="CN11" i="8"/>
  <c r="CM11" i="8"/>
  <c r="CL11" i="8"/>
  <c r="CK11" i="8"/>
  <c r="DD6" i="8"/>
  <c r="DC6" i="8"/>
  <c r="DB6" i="8"/>
  <c r="DA6" i="8"/>
  <c r="CX6" i="8"/>
  <c r="CN6" i="8"/>
  <c r="CM6" i="8"/>
  <c r="CY5" i="8"/>
  <c r="CX5" i="8"/>
  <c r="CW5" i="8"/>
  <c r="CV5" i="8"/>
  <c r="CU5" i="8"/>
  <c r="CT5" i="8"/>
  <c r="CM5" i="8"/>
  <c r="CX4" i="8"/>
  <c r="CU4" i="8"/>
  <c r="CT4" i="8"/>
  <c r="CR4" i="8"/>
  <c r="CQ4" i="8"/>
  <c r="CP4" i="8"/>
  <c r="CO4" i="8"/>
  <c r="CN4" i="8"/>
  <c r="CM4" i="8"/>
  <c r="CL4" i="8"/>
  <c r="CK4" i="8"/>
  <c r="AL43" i="8"/>
  <c r="Q122" i="8" l="1"/>
  <c r="F30" i="8"/>
  <c r="O122" i="8"/>
  <c r="AM108" i="8"/>
  <c r="AL41" i="8"/>
  <c r="AM110" i="8"/>
  <c r="AL39" i="8"/>
  <c r="Q116" i="8"/>
  <c r="Q104" i="8"/>
  <c r="F31" i="8"/>
  <c r="P119" i="8"/>
  <c r="P122" i="8" s="1"/>
  <c r="AL49" i="8"/>
  <c r="F29" i="8"/>
  <c r="O63" i="8"/>
  <c r="P57" i="8"/>
  <c r="R57" i="8" s="1"/>
  <c r="AL36" i="8"/>
  <c r="EB22" i="8"/>
  <c r="EV22" i="8" s="1"/>
  <c r="AY65" i="3" s="1"/>
  <c r="EF22" i="8"/>
  <c r="EZ22" i="8" s="1"/>
  <c r="BC65" i="3" s="1"/>
  <c r="DP22" i="8"/>
  <c r="EJ22" i="8" s="1"/>
  <c r="FD22" i="8" s="1"/>
  <c r="HG22" i="8"/>
  <c r="AM106" i="8"/>
  <c r="Q110" i="8"/>
  <c r="P110" i="8"/>
  <c r="AW22" i="8"/>
  <c r="BA22" i="8"/>
  <c r="EW22" i="8" s="1"/>
  <c r="AZ65" i="3" s="1"/>
  <c r="BE22" i="8"/>
  <c r="BI22" i="8"/>
  <c r="BM22" i="8"/>
  <c r="AX22" i="8"/>
  <c r="ET22" i="8" s="1"/>
  <c r="AW65" i="3" s="1"/>
  <c r="BB22" i="8"/>
  <c r="BF22" i="8"/>
  <c r="FB22" i="8" s="1"/>
  <c r="BE65" i="3" s="1"/>
  <c r="BJ22" i="8"/>
  <c r="FF22" i="8" s="1"/>
  <c r="BI65" i="3" s="1"/>
  <c r="BN22" i="8"/>
  <c r="FJ22" i="8" s="1"/>
  <c r="EA19" i="8"/>
  <c r="EU19" i="8" s="1"/>
  <c r="EE19" i="8"/>
  <c r="EY19" i="8" s="1"/>
  <c r="EI19" i="8"/>
  <c r="FC19" i="8" s="1"/>
  <c r="EM19" i="8"/>
  <c r="FG19" i="8" s="1"/>
  <c r="EQ19" i="8"/>
  <c r="FK19" i="8" s="1"/>
  <c r="DY20" i="8"/>
  <c r="ES20" i="8" s="1"/>
  <c r="EC20" i="8"/>
  <c r="EW20" i="8" s="1"/>
  <c r="EG20" i="8"/>
  <c r="FA20" i="8" s="1"/>
  <c r="EK20" i="8"/>
  <c r="FE20" i="8" s="1"/>
  <c r="EO20" i="8"/>
  <c r="FI20" i="8" s="1"/>
  <c r="EA21" i="8"/>
  <c r="EU21" i="8" s="1"/>
  <c r="EE21" i="8"/>
  <c r="EY21" i="8" s="1"/>
  <c r="EI21" i="8"/>
  <c r="FC21" i="8" s="1"/>
  <c r="EM21" i="8"/>
  <c r="FG21" i="8" s="1"/>
  <c r="EQ21" i="8"/>
  <c r="FK21" i="8" s="1"/>
  <c r="DY22" i="8"/>
  <c r="FA22" i="8"/>
  <c r="FE22" i="8"/>
  <c r="FI22" i="8"/>
  <c r="EV23" i="8"/>
  <c r="AY92" i="3" s="1"/>
  <c r="EZ23" i="8"/>
  <c r="BC92" i="3" s="1"/>
  <c r="FD23" i="8"/>
  <c r="BG92" i="3" s="1"/>
  <c r="FH23" i="8"/>
  <c r="BK92" i="3" s="1"/>
  <c r="FL23" i="8"/>
  <c r="BO92" i="3" s="1"/>
  <c r="ES24" i="8"/>
  <c r="AV116" i="3" s="1"/>
  <c r="EW24" i="8"/>
  <c r="AZ116" i="3" s="1"/>
  <c r="FA24" i="8"/>
  <c r="BD116" i="3" s="1"/>
  <c r="FE24" i="8"/>
  <c r="BH116" i="3" s="1"/>
  <c r="FI24" i="8"/>
  <c r="BL116" i="3" s="1"/>
  <c r="EB19" i="8"/>
  <c r="EV19" i="8" s="1"/>
  <c r="EF19" i="8"/>
  <c r="EZ19" i="8" s="1"/>
  <c r="EJ19" i="8"/>
  <c r="FD19" i="8" s="1"/>
  <c r="EN19" i="8"/>
  <c r="FH19" i="8" s="1"/>
  <c r="ER19" i="8"/>
  <c r="FL19" i="8" s="1"/>
  <c r="DZ20" i="8"/>
  <c r="ET20" i="8" s="1"/>
  <c r="ED20" i="8"/>
  <c r="EX20" i="8" s="1"/>
  <c r="EH20" i="8"/>
  <c r="FB20" i="8" s="1"/>
  <c r="EL20" i="8"/>
  <c r="FF20" i="8" s="1"/>
  <c r="EP20" i="8"/>
  <c r="FJ20" i="8" s="1"/>
  <c r="EB21" i="8"/>
  <c r="EV21" i="8" s="1"/>
  <c r="EF21" i="8"/>
  <c r="EZ21" i="8" s="1"/>
  <c r="EJ21" i="8"/>
  <c r="FD21" i="8" s="1"/>
  <c r="EN21" i="8"/>
  <c r="FH21" i="8" s="1"/>
  <c r="ER21" i="8"/>
  <c r="FL21" i="8" s="1"/>
  <c r="EX22" i="8"/>
  <c r="BA65" i="3" s="1"/>
  <c r="ES23" i="8"/>
  <c r="AV92" i="3" s="1"/>
  <c r="EW23" i="8"/>
  <c r="AZ92" i="3" s="1"/>
  <c r="FA23" i="8"/>
  <c r="BD92" i="3" s="1"/>
  <c r="FE23" i="8"/>
  <c r="BH92" i="3" s="1"/>
  <c r="FI23" i="8"/>
  <c r="BL92" i="3" s="1"/>
  <c r="ET24" i="8"/>
  <c r="AW116" i="3" s="1"/>
  <c r="EX24" i="8"/>
  <c r="BA116" i="3" s="1"/>
  <c r="FB24" i="8"/>
  <c r="BE116" i="3" s="1"/>
  <c r="FF24" i="8"/>
  <c r="BI116" i="3" s="1"/>
  <c r="FJ24" i="8"/>
  <c r="BM116" i="3" s="1"/>
  <c r="FN29" i="8"/>
  <c r="DG27" i="8"/>
  <c r="DY19" i="8"/>
  <c r="ES19" i="8" s="1"/>
  <c r="EC19" i="8"/>
  <c r="EW19" i="8" s="1"/>
  <c r="EG19" i="8"/>
  <c r="FA19" i="8" s="1"/>
  <c r="EK19" i="8"/>
  <c r="FE19" i="8" s="1"/>
  <c r="EO19" i="8"/>
  <c r="FI19" i="8" s="1"/>
  <c r="EA20" i="8"/>
  <c r="EU20" i="8" s="1"/>
  <c r="EE20" i="8"/>
  <c r="EY20" i="8" s="1"/>
  <c r="EI20" i="8"/>
  <c r="FC20" i="8" s="1"/>
  <c r="EM20" i="8"/>
  <c r="FG20" i="8" s="1"/>
  <c r="EQ20" i="8"/>
  <c r="FK20" i="8" s="1"/>
  <c r="DY21" i="8"/>
  <c r="ES21" i="8" s="1"/>
  <c r="EC21" i="8"/>
  <c r="EW21" i="8" s="1"/>
  <c r="EG21" i="8"/>
  <c r="FA21" i="8" s="1"/>
  <c r="EK21" i="8"/>
  <c r="FE21" i="8" s="1"/>
  <c r="EO21" i="8"/>
  <c r="FI21" i="8" s="1"/>
  <c r="EU22" i="8"/>
  <c r="AX65" i="3" s="1"/>
  <c r="EY22" i="8"/>
  <c r="BB65" i="3" s="1"/>
  <c r="FC22" i="8"/>
  <c r="BF65" i="3" s="1"/>
  <c r="FG22" i="8"/>
  <c r="FK22" i="8"/>
  <c r="ET23" i="8"/>
  <c r="AW92" i="3" s="1"/>
  <c r="EX23" i="8"/>
  <c r="BA92" i="3" s="1"/>
  <c r="FB23" i="8"/>
  <c r="BE92" i="3" s="1"/>
  <c r="FF23" i="8"/>
  <c r="BI92" i="3" s="1"/>
  <c r="FJ23" i="8"/>
  <c r="BM92" i="3" s="1"/>
  <c r="EU24" i="8"/>
  <c r="AX116" i="3" s="1"/>
  <c r="EY24" i="8"/>
  <c r="BB116" i="3" s="1"/>
  <c r="FC24" i="8"/>
  <c r="BF116" i="3" s="1"/>
  <c r="FG24" i="8"/>
  <c r="BJ116" i="3" s="1"/>
  <c r="FK24" i="8"/>
  <c r="BN116" i="3" s="1"/>
  <c r="DZ19" i="8"/>
  <c r="ET19" i="8" s="1"/>
  <c r="ED19" i="8"/>
  <c r="EX19" i="8" s="1"/>
  <c r="EH19" i="8"/>
  <c r="FB19" i="8" s="1"/>
  <c r="EL19" i="8"/>
  <c r="FF19" i="8" s="1"/>
  <c r="EP19" i="8"/>
  <c r="FJ19" i="8" s="1"/>
  <c r="EB20" i="8"/>
  <c r="EV20" i="8" s="1"/>
  <c r="EF20" i="8"/>
  <c r="EZ20" i="8" s="1"/>
  <c r="EJ20" i="8"/>
  <c r="FD20" i="8" s="1"/>
  <c r="EN20" i="8"/>
  <c r="FH20" i="8" s="1"/>
  <c r="ER20" i="8"/>
  <c r="FL20" i="8" s="1"/>
  <c r="DZ21" i="8"/>
  <c r="ET21" i="8" s="1"/>
  <c r="ED21" i="8"/>
  <c r="EX21" i="8" s="1"/>
  <c r="EH21" i="8"/>
  <c r="FB21" i="8" s="1"/>
  <c r="EL21" i="8"/>
  <c r="FF21" i="8" s="1"/>
  <c r="EP21" i="8"/>
  <c r="FJ21" i="8" s="1"/>
  <c r="FH22" i="8"/>
  <c r="FL22" i="8"/>
  <c r="EU23" i="8"/>
  <c r="AX92" i="3" s="1"/>
  <c r="EY23" i="8"/>
  <c r="BB92" i="3" s="1"/>
  <c r="FC23" i="8"/>
  <c r="BF92" i="3" s="1"/>
  <c r="FG23" i="8"/>
  <c r="BJ92" i="3" s="1"/>
  <c r="FK23" i="8"/>
  <c r="BN92" i="3" s="1"/>
  <c r="EV24" i="8"/>
  <c r="AY116" i="3" s="1"/>
  <c r="EZ24" i="8"/>
  <c r="BC116" i="3" s="1"/>
  <c r="FD24" i="8"/>
  <c r="BG116" i="3" s="1"/>
  <c r="FH24" i="8"/>
  <c r="BK116" i="3" s="1"/>
  <c r="FL24" i="8"/>
  <c r="BO116" i="3" s="1"/>
  <c r="V56" i="8"/>
  <c r="V70" i="8"/>
  <c r="R71" i="8"/>
  <c r="Q71" i="8"/>
  <c r="V85" i="8"/>
  <c r="R86" i="8"/>
  <c r="Q86" i="8"/>
  <c r="Z86" i="8" s="1"/>
  <c r="O110" i="8"/>
  <c r="V54" i="8"/>
  <c r="V57" i="8"/>
  <c r="R58" i="8"/>
  <c r="Q58" i="8"/>
  <c r="N74" i="8"/>
  <c r="N77" i="8" s="1"/>
  <c r="P68" i="8"/>
  <c r="V71" i="8"/>
  <c r="R72" i="8"/>
  <c r="Q72" i="8"/>
  <c r="N89" i="8"/>
  <c r="N92" i="8" s="1"/>
  <c r="P83" i="8"/>
  <c r="V86" i="8"/>
  <c r="R87" i="8"/>
  <c r="Q87" i="8"/>
  <c r="R55" i="8"/>
  <c r="Q55" i="8"/>
  <c r="V58" i="8"/>
  <c r="V68" i="8"/>
  <c r="R69" i="8"/>
  <c r="Q69" i="8"/>
  <c r="Y71" i="8"/>
  <c r="V72" i="8"/>
  <c r="V82" i="8"/>
  <c r="V83" i="8"/>
  <c r="R84" i="8"/>
  <c r="Q84" i="8"/>
  <c r="Y86" i="8"/>
  <c r="V87" i="8"/>
  <c r="P129" i="8"/>
  <c r="P134" i="8" s="1"/>
  <c r="O134" i="8"/>
  <c r="N60" i="8"/>
  <c r="N63" i="8" s="1"/>
  <c r="AL48" i="8" s="1"/>
  <c r="P54" i="8"/>
  <c r="Y54" i="8"/>
  <c r="V55" i="8"/>
  <c r="R56" i="8"/>
  <c r="Q56" i="8"/>
  <c r="Y58" i="8"/>
  <c r="Y68" i="8"/>
  <c r="V69" i="8"/>
  <c r="R70" i="8"/>
  <c r="Q70" i="8"/>
  <c r="Y72" i="8"/>
  <c r="Y83" i="8"/>
  <c r="V84" i="8"/>
  <c r="R85" i="8"/>
  <c r="Q85" i="8"/>
  <c r="Z85" i="8" s="1"/>
  <c r="Y87" i="8"/>
  <c r="Z69" i="8" l="1"/>
  <c r="BP116" i="3"/>
  <c r="BP92" i="3"/>
  <c r="BM65" i="3"/>
  <c r="BO65" i="3"/>
  <c r="BJ65" i="3"/>
  <c r="BH65" i="3"/>
  <c r="BG65" i="3"/>
  <c r="BN65" i="3"/>
  <c r="BL65" i="3"/>
  <c r="BK65" i="3"/>
  <c r="BD65" i="3"/>
  <c r="ES22" i="8"/>
  <c r="AV65" i="3" s="1"/>
  <c r="Q57" i="8"/>
  <c r="AM115" i="8"/>
  <c r="DG28" i="8"/>
  <c r="AM112" i="8" s="1"/>
  <c r="AM111" i="8"/>
  <c r="AL44" i="8"/>
  <c r="AL47" i="8"/>
  <c r="AL46" i="8"/>
  <c r="AM113" i="8"/>
  <c r="AM114" i="8"/>
  <c r="Z55" i="8"/>
  <c r="T58" i="8"/>
  <c r="T56" i="8"/>
  <c r="R83" i="8"/>
  <c r="Q83" i="8"/>
  <c r="P89" i="8"/>
  <c r="J100" i="8" s="1"/>
  <c r="I38" i="8" s="1"/>
  <c r="T85" i="8"/>
  <c r="Z70" i="8"/>
  <c r="T69" i="8"/>
  <c r="T55" i="8"/>
  <c r="Z87" i="8"/>
  <c r="P74" i="8"/>
  <c r="J99" i="8" s="1"/>
  <c r="I37" i="8" s="1"/>
  <c r="R68" i="8"/>
  <c r="Q68" i="8"/>
  <c r="T86" i="8"/>
  <c r="T71" i="8"/>
  <c r="T70" i="8"/>
  <c r="Z56" i="8"/>
  <c r="P60" i="8"/>
  <c r="J98" i="8" s="1"/>
  <c r="I36" i="8" s="1"/>
  <c r="Q54" i="8"/>
  <c r="R54" i="8"/>
  <c r="Z84" i="8"/>
  <c r="T87" i="8"/>
  <c r="Z72" i="8"/>
  <c r="Z57" i="8"/>
  <c r="FM24" i="8"/>
  <c r="FM20" i="8"/>
  <c r="T84" i="8"/>
  <c r="T72" i="8"/>
  <c r="Z58" i="8"/>
  <c r="Z71" i="8"/>
  <c r="T57" i="8"/>
  <c r="FM21" i="8"/>
  <c r="FM19" i="8"/>
  <c r="FM23" i="8"/>
  <c r="FM22" i="8" l="1"/>
  <c r="AC29" i="8" s="1"/>
  <c r="BP65" i="3"/>
  <c r="FI31" i="8"/>
  <c r="N156" i="8" s="1"/>
  <c r="AC31" i="8"/>
  <c r="AL31" i="11" s="1"/>
  <c r="FI30" i="8"/>
  <c r="N155" i="8" s="1"/>
  <c r="AC30" i="8"/>
  <c r="AL30" i="11" s="1"/>
  <c r="AL45" i="8"/>
  <c r="Z54" i="8"/>
  <c r="Q60" i="8"/>
  <c r="K98" i="8" s="1"/>
  <c r="M36" i="8" s="1"/>
  <c r="N36" i="8" s="1"/>
  <c r="V29" i="8" s="1"/>
  <c r="Z68" i="8"/>
  <c r="Q74" i="8"/>
  <c r="K99" i="8" s="1"/>
  <c r="M37" i="8" s="1"/>
  <c r="N37" i="8" s="1"/>
  <c r="V30" i="8" s="1"/>
  <c r="R74" i="8"/>
  <c r="L99" i="8" s="1"/>
  <c r="T68" i="8"/>
  <c r="W67" i="8"/>
  <c r="W68" i="8" s="1"/>
  <c r="Q89" i="8"/>
  <c r="K100" i="8" s="1"/>
  <c r="M38" i="8" s="1"/>
  <c r="N38" i="8" s="1"/>
  <c r="V31" i="8" s="1"/>
  <c r="Z83" i="8"/>
  <c r="T54" i="8"/>
  <c r="T60" i="8" s="1"/>
  <c r="W53" i="8"/>
  <c r="W54" i="8" s="1"/>
  <c r="W83" i="8"/>
  <c r="R89" i="8"/>
  <c r="L100" i="8" s="1"/>
  <c r="T83" i="8"/>
  <c r="W82" i="8"/>
  <c r="Q161" i="8" l="1"/>
  <c r="Q160" i="8"/>
  <c r="FI29" i="8"/>
  <c r="N154" i="8" s="1"/>
  <c r="G12" i="9"/>
  <c r="G11" i="9"/>
  <c r="N165" i="4"/>
  <c r="Q156" i="8"/>
  <c r="N161" i="8"/>
  <c r="N166" i="4"/>
  <c r="N160" i="8"/>
  <c r="Q155" i="8"/>
  <c r="W30" i="8"/>
  <c r="W85" i="8"/>
  <c r="W87" i="8"/>
  <c r="W86" i="8"/>
  <c r="W84" i="8"/>
  <c r="K37" i="8"/>
  <c r="X30" i="8" s="1"/>
  <c r="W58" i="8"/>
  <c r="W55" i="8"/>
  <c r="W56" i="8"/>
  <c r="W57" i="8"/>
  <c r="W31" i="8"/>
  <c r="W29" i="8"/>
  <c r="K38" i="8"/>
  <c r="X31" i="8" s="1"/>
  <c r="W72" i="8"/>
  <c r="W69" i="8"/>
  <c r="W71" i="8"/>
  <c r="W70" i="8"/>
  <c r="L135" i="4"/>
  <c r="N173" i="11" l="1"/>
  <c r="O166" i="11"/>
  <c r="N172" i="11"/>
  <c r="O165" i="11"/>
  <c r="N171" i="11"/>
  <c r="O164" i="11"/>
  <c r="N164" i="4"/>
  <c r="N171" i="4" s="1"/>
  <c r="AE124" i="13" s="1"/>
  <c r="N159" i="8"/>
  <c r="Q159" i="8"/>
  <c r="Q162" i="8" s="1"/>
  <c r="GN27" i="8" s="1"/>
  <c r="N173" i="4"/>
  <c r="AE126" i="13" s="1"/>
  <c r="N172" i="4"/>
  <c r="AE125" i="13" s="1"/>
  <c r="AD83" i="4"/>
  <c r="AD68" i="4"/>
  <c r="AD54" i="4"/>
  <c r="X172" i="11" l="1"/>
  <c r="Y172" i="11" s="1"/>
  <c r="S172" i="11"/>
  <c r="Q165" i="11"/>
  <c r="AD30" i="11" s="1"/>
  <c r="AE30" i="11" s="1"/>
  <c r="U172" i="11"/>
  <c r="W172" i="11"/>
  <c r="O172" i="11"/>
  <c r="Q172" i="11" s="1"/>
  <c r="O162" i="11"/>
  <c r="X173" i="11"/>
  <c r="Y173" i="11" s="1"/>
  <c r="Q166" i="11"/>
  <c r="AD31" i="11" s="1"/>
  <c r="AE31" i="11" s="1"/>
  <c r="O173" i="11"/>
  <c r="Q173" i="11" s="1"/>
  <c r="S173" i="11" s="1"/>
  <c r="U173" i="11" s="1"/>
  <c r="W173" i="11" s="1"/>
  <c r="N175" i="11"/>
  <c r="N176" i="11" s="1"/>
  <c r="N175" i="4"/>
  <c r="AE132" i="13"/>
  <c r="AE133" i="13"/>
  <c r="AE127" i="13"/>
  <c r="AE134" i="13" s="1"/>
  <c r="AE131" i="13"/>
  <c r="GJ27" i="8"/>
  <c r="GL27" i="8"/>
  <c r="Q126" i="4"/>
  <c r="Q127" i="4" s="1"/>
  <c r="Q116" i="4"/>
  <c r="L123" i="4"/>
  <c r="L111" i="4"/>
  <c r="B133" i="4"/>
  <c r="O133" i="4" s="1"/>
  <c r="B132" i="4"/>
  <c r="O132" i="4" s="1"/>
  <c r="B131" i="4"/>
  <c r="O131" i="4" s="1"/>
  <c r="B129" i="4"/>
  <c r="O129" i="4" s="1"/>
  <c r="B130" i="4"/>
  <c r="O130" i="4" s="1"/>
  <c r="B121" i="4"/>
  <c r="O121" i="4" s="1"/>
  <c r="B120" i="4"/>
  <c r="O120" i="4" s="1"/>
  <c r="B119" i="4"/>
  <c r="O119" i="4" s="1"/>
  <c r="B118" i="4"/>
  <c r="O118" i="4" s="1"/>
  <c r="B109" i="4"/>
  <c r="O109" i="4" s="1"/>
  <c r="B108" i="4"/>
  <c r="O108" i="4" s="1"/>
  <c r="B107" i="4"/>
  <c r="O107" i="4" s="1"/>
  <c r="B106" i="4"/>
  <c r="O106" i="4" s="1"/>
  <c r="M123" i="4"/>
  <c r="M111" i="4"/>
  <c r="M135" i="4"/>
  <c r="K135" i="4"/>
  <c r="K123" i="4"/>
  <c r="K111" i="4"/>
  <c r="O89" i="4"/>
  <c r="D30" i="4"/>
  <c r="D31" i="4"/>
  <c r="D29" i="4"/>
  <c r="C30" i="4"/>
  <c r="E30" i="4" s="1"/>
  <c r="C31" i="4"/>
  <c r="E31" i="4" s="1"/>
  <c r="C29" i="4"/>
  <c r="E29" i="4" s="1"/>
  <c r="O103" i="4" l="1"/>
  <c r="V129" i="4"/>
  <c r="Y76" i="13" s="1"/>
  <c r="L237" i="4"/>
  <c r="V215" i="4" s="1"/>
  <c r="X215" i="4" s="1"/>
  <c r="I34" i="13" s="1"/>
  <c r="V132" i="4"/>
  <c r="Y75" i="13" s="1"/>
  <c r="L234" i="4"/>
  <c r="V131" i="4"/>
  <c r="Y74" i="13" s="1"/>
  <c r="L235" i="4"/>
  <c r="V130" i="4"/>
  <c r="Y72" i="13" s="1"/>
  <c r="L233" i="4"/>
  <c r="V133" i="4"/>
  <c r="Y73" i="13" s="1"/>
  <c r="L236" i="4"/>
  <c r="V119" i="4"/>
  <c r="Q72" i="13" s="1"/>
  <c r="L222" i="4"/>
  <c r="V120" i="4"/>
  <c r="Q74" i="13" s="1"/>
  <c r="L224" i="4"/>
  <c r="V121" i="4"/>
  <c r="Q73" i="13" s="1"/>
  <c r="L223" i="4"/>
  <c r="V118" i="4"/>
  <c r="Q77" i="13" s="1"/>
  <c r="L227" i="4"/>
  <c r="V216" i="4" s="1"/>
  <c r="X216" i="4" s="1"/>
  <c r="I35" i="13" s="1"/>
  <c r="V107" i="4"/>
  <c r="L213" i="4"/>
  <c r="V109" i="4"/>
  <c r="I74" i="13" s="1"/>
  <c r="L212" i="4"/>
  <c r="V108" i="4"/>
  <c r="I75" i="13" s="1"/>
  <c r="L214" i="4"/>
  <c r="V106" i="4"/>
  <c r="I72" i="13" s="1"/>
  <c r="L211" i="4"/>
  <c r="AB128" i="3"/>
  <c r="T76" i="13"/>
  <c r="AB130" i="3"/>
  <c r="T74" i="13"/>
  <c r="U74" i="13" s="1"/>
  <c r="AB131" i="3"/>
  <c r="T73" i="13"/>
  <c r="U73" i="13" s="1"/>
  <c r="AB129" i="3"/>
  <c r="T72" i="13"/>
  <c r="AB132" i="3"/>
  <c r="T75" i="13"/>
  <c r="U75" i="13" s="1"/>
  <c r="AB105" i="3"/>
  <c r="L72" i="13"/>
  <c r="AB106" i="3"/>
  <c r="L74" i="13"/>
  <c r="M74" i="13" s="1"/>
  <c r="AB107" i="3"/>
  <c r="L73" i="13"/>
  <c r="M73" i="13" s="1"/>
  <c r="AB104" i="3"/>
  <c r="L77" i="13"/>
  <c r="AB78" i="3"/>
  <c r="D74" i="13"/>
  <c r="AB79" i="3"/>
  <c r="D75" i="13"/>
  <c r="AB80" i="3"/>
  <c r="D73" i="13"/>
  <c r="AB77" i="3"/>
  <c r="D72" i="13"/>
  <c r="O134" i="4"/>
  <c r="V134" i="4" s="1"/>
  <c r="Y71" i="13" s="1"/>
  <c r="Q104" i="4"/>
  <c r="F29" i="4"/>
  <c r="F30" i="4"/>
  <c r="F31" i="4"/>
  <c r="V214" i="4" l="1"/>
  <c r="X214" i="4" s="1"/>
  <c r="I33" i="13" s="1"/>
  <c r="L239" i="4"/>
  <c r="V212" i="4"/>
  <c r="X212" i="4" s="1"/>
  <c r="I31" i="13" s="1"/>
  <c r="V213" i="4"/>
  <c r="X213" i="4" s="1"/>
  <c r="I32" i="13" s="1"/>
  <c r="L228" i="4"/>
  <c r="I73" i="13"/>
  <c r="V211" i="4"/>
  <c r="L217" i="4"/>
  <c r="U72" i="13"/>
  <c r="T71" i="13"/>
  <c r="U76" i="13"/>
  <c r="D34" i="13"/>
  <c r="E34" i="13" s="1"/>
  <c r="M77" i="13"/>
  <c r="D35" i="13"/>
  <c r="E35" i="13" s="1"/>
  <c r="M72" i="13"/>
  <c r="L71" i="13"/>
  <c r="E75" i="13"/>
  <c r="D33" i="13"/>
  <c r="E33" i="13" s="1"/>
  <c r="D30" i="13"/>
  <c r="E72" i="13"/>
  <c r="D71" i="13"/>
  <c r="E74" i="13"/>
  <c r="D32" i="13"/>
  <c r="E32" i="13" s="1"/>
  <c r="D31" i="13"/>
  <c r="E31" i="13" s="1"/>
  <c r="E73" i="13"/>
  <c r="AB127" i="3"/>
  <c r="Q131" i="4"/>
  <c r="Q133" i="4"/>
  <c r="N133" i="4"/>
  <c r="Q121" i="4"/>
  <c r="Q132" i="4"/>
  <c r="N132" i="4"/>
  <c r="P132" i="4" s="1"/>
  <c r="N131" i="4"/>
  <c r="P131" i="4" s="1"/>
  <c r="Q130" i="4"/>
  <c r="N130" i="4"/>
  <c r="P130" i="4" s="1"/>
  <c r="Q129" i="4"/>
  <c r="N129" i="4"/>
  <c r="N121" i="4"/>
  <c r="Q120" i="4"/>
  <c r="N120" i="4"/>
  <c r="P120" i="4" s="1"/>
  <c r="Q119" i="4"/>
  <c r="N119" i="4"/>
  <c r="P119" i="4" s="1"/>
  <c r="Q118" i="4"/>
  <c r="N118" i="4"/>
  <c r="P118" i="4" s="1"/>
  <c r="Q107" i="4"/>
  <c r="Q108" i="4"/>
  <c r="Q109" i="4"/>
  <c r="Q106" i="4"/>
  <c r="N107" i="4"/>
  <c r="P107" i="4" s="1"/>
  <c r="N108" i="4"/>
  <c r="P108" i="4" s="1"/>
  <c r="N109" i="4"/>
  <c r="P109" i="4" s="1"/>
  <c r="N106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I3" i="4"/>
  <c r="I4" i="4"/>
  <c r="I2" i="4"/>
  <c r="M84" i="4"/>
  <c r="M85" i="4"/>
  <c r="M86" i="4"/>
  <c r="M87" i="4"/>
  <c r="M83" i="4"/>
  <c r="M69" i="4"/>
  <c r="M70" i="4"/>
  <c r="M71" i="4"/>
  <c r="M72" i="4"/>
  <c r="M68" i="4"/>
  <c r="I71" i="13" l="1"/>
  <c r="AB71" i="13"/>
  <c r="Q122" i="4"/>
  <c r="L172" i="4" s="1"/>
  <c r="V217" i="4"/>
  <c r="X217" i="4" s="1"/>
  <c r="I29" i="13" s="1"/>
  <c r="X211" i="4"/>
  <c r="I30" i="13" s="1"/>
  <c r="U71" i="13"/>
  <c r="M71" i="13"/>
  <c r="E71" i="13"/>
  <c r="D29" i="13"/>
  <c r="E29" i="13" s="1"/>
  <c r="E30" i="13"/>
  <c r="BP128" i="3"/>
  <c r="BP132" i="3"/>
  <c r="BP131" i="3"/>
  <c r="BP130" i="3"/>
  <c r="BP129" i="3"/>
  <c r="BP106" i="3"/>
  <c r="BP107" i="3"/>
  <c r="BP104" i="3"/>
  <c r="BP105" i="3"/>
  <c r="BP77" i="3"/>
  <c r="BP80" i="3"/>
  <c r="BP79" i="3"/>
  <c r="BP78" i="3"/>
  <c r="Q134" i="4"/>
  <c r="L173" i="4" s="1"/>
  <c r="AH126" i="13" s="1"/>
  <c r="AH133" i="13" s="1"/>
  <c r="O110" i="4"/>
  <c r="Q110" i="4"/>
  <c r="L171" i="4" s="1"/>
  <c r="AH124" i="13" s="1"/>
  <c r="P106" i="4"/>
  <c r="P110" i="4" s="1"/>
  <c r="P133" i="4"/>
  <c r="P129" i="4"/>
  <c r="P121" i="4"/>
  <c r="P122" i="4" s="1"/>
  <c r="AA30" i="4"/>
  <c r="AA31" i="4"/>
  <c r="AA29" i="4"/>
  <c r="J38" i="4"/>
  <c r="O92" i="4"/>
  <c r="L88" i="4"/>
  <c r="S87" i="4"/>
  <c r="AD87" i="4" s="1"/>
  <c r="P87" i="4"/>
  <c r="L87" i="4"/>
  <c r="F87" i="4" s="1"/>
  <c r="S86" i="4"/>
  <c r="AD86" i="4" s="1"/>
  <c r="P86" i="4"/>
  <c r="L86" i="4"/>
  <c r="F86" i="4" s="1"/>
  <c r="S85" i="4"/>
  <c r="AD85" i="4" s="1"/>
  <c r="P85" i="4"/>
  <c r="L85" i="4"/>
  <c r="F85" i="4" s="1"/>
  <c r="S84" i="4"/>
  <c r="AD84" i="4" s="1"/>
  <c r="L84" i="4"/>
  <c r="F84" i="4" s="1"/>
  <c r="S83" i="4"/>
  <c r="P83" i="4"/>
  <c r="L83" i="4"/>
  <c r="L73" i="4"/>
  <c r="S72" i="4"/>
  <c r="AD72" i="4" s="1"/>
  <c r="P72" i="4"/>
  <c r="L72" i="4"/>
  <c r="F72" i="4" s="1"/>
  <c r="S71" i="4"/>
  <c r="AD71" i="4" s="1"/>
  <c r="P71" i="4"/>
  <c r="L71" i="4"/>
  <c r="F71" i="4" s="1"/>
  <c r="S70" i="4"/>
  <c r="AD70" i="4" s="1"/>
  <c r="P70" i="4"/>
  <c r="L70" i="4"/>
  <c r="F70" i="4" s="1"/>
  <c r="S69" i="4"/>
  <c r="AD69" i="4" s="1"/>
  <c r="L69" i="4"/>
  <c r="F69" i="4" s="1"/>
  <c r="S68" i="4"/>
  <c r="L68" i="4"/>
  <c r="S55" i="4"/>
  <c r="AD55" i="4" s="1"/>
  <c r="S56" i="4"/>
  <c r="AD56" i="4" s="1"/>
  <c r="S57" i="4"/>
  <c r="AD57" i="4" s="1"/>
  <c r="S58" i="4"/>
  <c r="AD58" i="4" s="1"/>
  <c r="S54" i="4"/>
  <c r="P55" i="4"/>
  <c r="Q55" i="4" s="1"/>
  <c r="P56" i="4"/>
  <c r="P57" i="4"/>
  <c r="P58" i="4"/>
  <c r="P54" i="4"/>
  <c r="M55" i="4"/>
  <c r="M56" i="4"/>
  <c r="M57" i="4"/>
  <c r="M58" i="4"/>
  <c r="M54" i="4"/>
  <c r="L55" i="4"/>
  <c r="F55" i="4" s="1"/>
  <c r="L56" i="4"/>
  <c r="F56" i="4" s="1"/>
  <c r="L57" i="4"/>
  <c r="F57" i="4" s="1"/>
  <c r="L58" i="4"/>
  <c r="F58" i="4" s="1"/>
  <c r="L59" i="4"/>
  <c r="L54" i="4"/>
  <c r="P64" i="4" l="1"/>
  <c r="AB69" i="3" s="1"/>
  <c r="V110" i="4"/>
  <c r="AH125" i="13"/>
  <c r="AH132" i="13" s="1"/>
  <c r="AH131" i="13"/>
  <c r="L175" i="4"/>
  <c r="AB124" i="3"/>
  <c r="Q85" i="4"/>
  <c r="AB125" i="3"/>
  <c r="Q87" i="4"/>
  <c r="AB121" i="3"/>
  <c r="Q83" i="4"/>
  <c r="AB123" i="3"/>
  <c r="Q86" i="4"/>
  <c r="AB100" i="3"/>
  <c r="Q70" i="4"/>
  <c r="AB101" i="3"/>
  <c r="Q72" i="4"/>
  <c r="AB99" i="3"/>
  <c r="Q71" i="4"/>
  <c r="AB70" i="3"/>
  <c r="Q54" i="4"/>
  <c r="AB74" i="3"/>
  <c r="Q58" i="4"/>
  <c r="AB72" i="3"/>
  <c r="Q57" i="4"/>
  <c r="AB73" i="3"/>
  <c r="Q56" i="4"/>
  <c r="AB76" i="3"/>
  <c r="O112" i="4"/>
  <c r="AB71" i="3"/>
  <c r="R55" i="4"/>
  <c r="J181" i="4" s="1"/>
  <c r="P181" i="4" s="1"/>
  <c r="P134" i="4"/>
  <c r="Q59" i="4"/>
  <c r="AA53" i="4"/>
  <c r="AA57" i="4" s="1"/>
  <c r="R58" i="4"/>
  <c r="J184" i="4" s="1"/>
  <c r="P184" i="4" s="1"/>
  <c r="O122" i="4"/>
  <c r="R57" i="4"/>
  <c r="J183" i="4" s="1"/>
  <c r="P183" i="4" s="1"/>
  <c r="R56" i="4"/>
  <c r="J182" i="4" s="1"/>
  <c r="P182" i="4" s="1"/>
  <c r="R54" i="4"/>
  <c r="Q88" i="4"/>
  <c r="N89" i="4"/>
  <c r="R85" i="4"/>
  <c r="J200" i="4" s="1"/>
  <c r="P200" i="4" s="1"/>
  <c r="R86" i="4"/>
  <c r="J201" i="4" s="1"/>
  <c r="P201" i="4" s="1"/>
  <c r="R87" i="4"/>
  <c r="R83" i="4"/>
  <c r="J198" i="4" s="1"/>
  <c r="P84" i="4"/>
  <c r="Q84" i="4" s="1"/>
  <c r="AA82" i="4"/>
  <c r="AA85" i="4" s="1"/>
  <c r="Q73" i="4"/>
  <c r="R70" i="4"/>
  <c r="J191" i="4" s="1"/>
  <c r="P191" i="4" s="1"/>
  <c r="R71" i="4"/>
  <c r="J192" i="4" s="1"/>
  <c r="P192" i="4" s="1"/>
  <c r="R72" i="4"/>
  <c r="J193" i="4" s="1"/>
  <c r="P193" i="4" s="1"/>
  <c r="P69" i="4"/>
  <c r="Q69" i="4" s="1"/>
  <c r="AA67" i="4"/>
  <c r="Q64" i="4" l="1"/>
  <c r="Q75" i="4" s="1"/>
  <c r="Q79" i="4" s="1"/>
  <c r="AD95" i="3" s="1"/>
  <c r="D61" i="4"/>
  <c r="J202" i="4"/>
  <c r="P202" i="4" s="1"/>
  <c r="T87" i="4"/>
  <c r="AH127" i="13"/>
  <c r="AH134" i="13" s="1"/>
  <c r="J180" i="4"/>
  <c r="J186" i="4" s="1"/>
  <c r="T67" i="13"/>
  <c r="U67" i="13" s="1"/>
  <c r="L200" i="4"/>
  <c r="T65" i="13"/>
  <c r="U65" i="13" s="1"/>
  <c r="L198" i="4"/>
  <c r="T68" i="13"/>
  <c r="U68" i="13" s="1"/>
  <c r="L201" i="4"/>
  <c r="T69" i="13"/>
  <c r="U69" i="13" s="1"/>
  <c r="L202" i="4"/>
  <c r="P198" i="4"/>
  <c r="L67" i="13"/>
  <c r="M67" i="13" s="1"/>
  <c r="L191" i="4"/>
  <c r="L69" i="13"/>
  <c r="M69" i="13" s="1"/>
  <c r="L193" i="4"/>
  <c r="T183" i="4"/>
  <c r="L68" i="13"/>
  <c r="M68" i="13" s="1"/>
  <c r="L192" i="4"/>
  <c r="T182" i="4"/>
  <c r="T184" i="4"/>
  <c r="AB103" i="3"/>
  <c r="V122" i="4"/>
  <c r="Q71" i="13" s="1"/>
  <c r="D68" i="13"/>
  <c r="E68" i="13" s="1"/>
  <c r="L183" i="4"/>
  <c r="D66" i="13"/>
  <c r="E66" i="13" s="1"/>
  <c r="L181" i="4"/>
  <c r="D69" i="13"/>
  <c r="L184" i="4"/>
  <c r="D67" i="13"/>
  <c r="E67" i="13" s="1"/>
  <c r="L182" i="4"/>
  <c r="D65" i="13"/>
  <c r="E65" i="13" s="1"/>
  <c r="L180" i="4"/>
  <c r="W69" i="13"/>
  <c r="D87" i="4"/>
  <c r="Y69" i="13" s="1"/>
  <c r="W67" i="13"/>
  <c r="D85" i="4"/>
  <c r="Y67" i="13" s="1"/>
  <c r="W65" i="13"/>
  <c r="D83" i="4"/>
  <c r="Y65" i="13" s="1"/>
  <c r="W68" i="13"/>
  <c r="D86" i="4"/>
  <c r="Y68" i="13" s="1"/>
  <c r="O69" i="13"/>
  <c r="D72" i="4"/>
  <c r="Q69" i="13" s="1"/>
  <c r="O67" i="13"/>
  <c r="D70" i="4"/>
  <c r="Q67" i="13" s="1"/>
  <c r="O68" i="13"/>
  <c r="D71" i="4"/>
  <c r="D58" i="4"/>
  <c r="I69" i="13" s="1"/>
  <c r="G67" i="13"/>
  <c r="D56" i="4"/>
  <c r="I67" i="13" s="1"/>
  <c r="G65" i="13"/>
  <c r="D54" i="4"/>
  <c r="I65" i="13" s="1"/>
  <c r="D55" i="4"/>
  <c r="I66" i="13" s="1"/>
  <c r="G68" i="13"/>
  <c r="D57" i="4"/>
  <c r="I68" i="13" s="1"/>
  <c r="T55" i="4"/>
  <c r="BP71" i="3" s="1"/>
  <c r="G66" i="13"/>
  <c r="T58" i="4"/>
  <c r="BP74" i="3" s="1"/>
  <c r="G69" i="13"/>
  <c r="AB122" i="3"/>
  <c r="AB98" i="3"/>
  <c r="P89" i="4"/>
  <c r="AE55" i="4"/>
  <c r="AE72" i="4"/>
  <c r="AE70" i="4"/>
  <c r="AE57" i="4"/>
  <c r="AE83" i="4"/>
  <c r="AE86" i="4"/>
  <c r="AE87" i="4"/>
  <c r="AE85" i="4"/>
  <c r="AE58" i="4"/>
  <c r="AE71" i="4"/>
  <c r="AE54" i="4"/>
  <c r="AE56" i="4"/>
  <c r="AA54" i="4"/>
  <c r="AA58" i="4"/>
  <c r="AA55" i="4"/>
  <c r="AA84" i="4"/>
  <c r="AA56" i="4"/>
  <c r="AA86" i="4"/>
  <c r="AB53" i="4"/>
  <c r="AB54" i="4" s="1"/>
  <c r="T54" i="4"/>
  <c r="T56" i="4"/>
  <c r="BP73" i="3" s="1"/>
  <c r="AA87" i="4"/>
  <c r="AA69" i="4"/>
  <c r="AA71" i="4"/>
  <c r="AA72" i="4"/>
  <c r="AA68" i="4"/>
  <c r="AA70" i="4"/>
  <c r="AA83" i="4"/>
  <c r="T57" i="4"/>
  <c r="BP72" i="3" s="1"/>
  <c r="T83" i="4"/>
  <c r="T86" i="4"/>
  <c r="BP123" i="3" s="1"/>
  <c r="R84" i="4"/>
  <c r="J199" i="4" s="1"/>
  <c r="P199" i="4" s="1"/>
  <c r="T85" i="4"/>
  <c r="BP124" i="3" s="1"/>
  <c r="T71" i="4"/>
  <c r="BP99" i="3" s="1"/>
  <c r="R69" i="4"/>
  <c r="J190" i="4" s="1"/>
  <c r="P190" i="4" s="1"/>
  <c r="T181" i="4" s="1"/>
  <c r="T72" i="4"/>
  <c r="T70" i="4"/>
  <c r="BP100" i="3" s="1"/>
  <c r="K98" i="4" l="1"/>
  <c r="AB68" i="3"/>
  <c r="Q68" i="13"/>
  <c r="P180" i="4"/>
  <c r="P186" i="4" s="1"/>
  <c r="V183" i="4"/>
  <c r="X183" i="4" s="1"/>
  <c r="I26" i="13" s="1"/>
  <c r="V182" i="4"/>
  <c r="X182" i="4" s="1"/>
  <c r="I25" i="13" s="1"/>
  <c r="V184" i="4"/>
  <c r="X184" i="4" s="1"/>
  <c r="I27" i="13" s="1"/>
  <c r="T66" i="13"/>
  <c r="U66" i="13" s="1"/>
  <c r="L199" i="4"/>
  <c r="L204" i="4" s="1"/>
  <c r="P204" i="4"/>
  <c r="J204" i="4"/>
  <c r="D27" i="13"/>
  <c r="E27" i="13" s="1"/>
  <c r="L66" i="13"/>
  <c r="M66" i="13" s="1"/>
  <c r="L190" i="4"/>
  <c r="D25" i="13"/>
  <c r="E25" i="13" s="1"/>
  <c r="E69" i="13"/>
  <c r="D26" i="13"/>
  <c r="E26" i="13" s="1"/>
  <c r="D64" i="13"/>
  <c r="E64" i="13" s="1"/>
  <c r="L186" i="4"/>
  <c r="G27" i="13"/>
  <c r="D69" i="4"/>
  <c r="Q66" i="13" s="1"/>
  <c r="G25" i="13"/>
  <c r="W66" i="13"/>
  <c r="W64" i="13" s="1"/>
  <c r="D84" i="4"/>
  <c r="Y66" i="13" s="1"/>
  <c r="G26" i="13"/>
  <c r="O66" i="13"/>
  <c r="G64" i="13"/>
  <c r="BP125" i="3"/>
  <c r="BP121" i="3"/>
  <c r="AB120" i="3"/>
  <c r="BP101" i="3"/>
  <c r="BP70" i="3"/>
  <c r="J100" i="4"/>
  <c r="I38" i="4" s="1"/>
  <c r="AE69" i="4"/>
  <c r="Q89" i="4"/>
  <c r="AE84" i="4"/>
  <c r="AB57" i="4"/>
  <c r="AB56" i="4"/>
  <c r="AB55" i="4"/>
  <c r="AB58" i="4"/>
  <c r="AB82" i="4"/>
  <c r="R89" i="4"/>
  <c r="T84" i="4"/>
  <c r="T89" i="4" s="1"/>
  <c r="T69" i="4"/>
  <c r="I64" i="13" l="1"/>
  <c r="T64" i="13"/>
  <c r="U64" i="13" s="1"/>
  <c r="V181" i="4"/>
  <c r="X181" i="4" s="1"/>
  <c r="I24" i="13" s="1"/>
  <c r="L100" i="4"/>
  <c r="K38" i="4" s="1"/>
  <c r="X31" i="4" s="1"/>
  <c r="J173" i="4" s="1"/>
  <c r="AG126" i="13" s="1"/>
  <c r="AG133" i="13" s="1"/>
  <c r="D89" i="4"/>
  <c r="Y64" i="13" s="1"/>
  <c r="D24" i="13"/>
  <c r="E24" i="13" s="1"/>
  <c r="D63" i="13"/>
  <c r="E63" i="13" s="1"/>
  <c r="G24" i="13"/>
  <c r="BP122" i="3"/>
  <c r="AB119" i="3"/>
  <c r="BP98" i="3"/>
  <c r="K100" i="4"/>
  <c r="M38" i="4" s="1"/>
  <c r="N38" i="4" s="1"/>
  <c r="V31" i="4" s="1"/>
  <c r="W31" i="4" s="1"/>
  <c r="AB85" i="4"/>
  <c r="AB87" i="4"/>
  <c r="AB86" i="4"/>
  <c r="AB83" i="4"/>
  <c r="AB84" i="4"/>
  <c r="T63" i="13" l="1"/>
  <c r="U63" i="13" s="1"/>
  <c r="O30" i="4"/>
  <c r="O31" i="4"/>
  <c r="O29" i="4"/>
  <c r="F45" i="3"/>
  <c r="M30" i="11" s="1"/>
  <c r="F46" i="3"/>
  <c r="F44" i="3"/>
  <c r="F42" i="3"/>
  <c r="F43" i="3"/>
  <c r="N31" i="11" s="1"/>
  <c r="F41" i="3"/>
  <c r="L30" i="4"/>
  <c r="L31" i="4"/>
  <c r="L29" i="4"/>
  <c r="M29" i="11" l="1"/>
  <c r="N30" i="11"/>
  <c r="N29" i="11"/>
  <c r="M31" i="11"/>
  <c r="N92" i="11" s="1"/>
  <c r="N31" i="8"/>
  <c r="M30" i="8"/>
  <c r="N30" i="4"/>
  <c r="N30" i="8"/>
  <c r="M31" i="4"/>
  <c r="N92" i="4" s="1"/>
  <c r="M30" i="4"/>
  <c r="N77" i="4" s="1"/>
  <c r="M29" i="4"/>
  <c r="M29" i="8"/>
  <c r="N29" i="8"/>
  <c r="N31" i="4"/>
  <c r="M31" i="8"/>
  <c r="N29" i="4"/>
  <c r="N274" i="11" l="1"/>
  <c r="N63" i="11"/>
  <c r="N63" i="4"/>
  <c r="N274" i="4"/>
  <c r="N77" i="11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CY11" i="4"/>
  <c r="CZ11" i="4"/>
  <c r="DA11" i="4"/>
  <c r="DB11" i="4"/>
  <c r="DC11" i="4"/>
  <c r="DD11" i="4"/>
  <c r="CK11" i="4"/>
  <c r="IA23" i="4"/>
  <c r="IH23" i="4"/>
  <c r="II23" i="4"/>
  <c r="IJ23" i="4"/>
  <c r="IK23" i="4"/>
  <c r="IL23" i="4"/>
  <c r="IM23" i="4"/>
  <c r="IA24" i="4"/>
  <c r="IL24" i="4"/>
  <c r="IO24" i="4"/>
  <c r="IP24" i="4"/>
  <c r="IQ24" i="4"/>
  <c r="IR24" i="4"/>
  <c r="HZ22" i="4"/>
  <c r="IA22" i="4"/>
  <c r="IB22" i="4"/>
  <c r="IC22" i="4"/>
  <c r="ID22" i="4"/>
  <c r="IE22" i="4"/>
  <c r="IF22" i="4"/>
  <c r="IH22" i="4"/>
  <c r="II22" i="4"/>
  <c r="IJ22" i="4"/>
  <c r="IK22" i="4"/>
  <c r="IL22" i="4"/>
  <c r="HY22" i="4"/>
  <c r="HD23" i="4"/>
  <c r="HE23" i="4"/>
  <c r="HF23" i="4"/>
  <c r="HG23" i="4"/>
  <c r="HH23" i="4"/>
  <c r="HI23" i="4"/>
  <c r="HJ23" i="4"/>
  <c r="HK23" i="4"/>
  <c r="HL23" i="4"/>
  <c r="HM23" i="4"/>
  <c r="HN23" i="4"/>
  <c r="HO23" i="4"/>
  <c r="HP23" i="4"/>
  <c r="HQ23" i="4"/>
  <c r="HR23" i="4"/>
  <c r="HS23" i="4"/>
  <c r="HT23" i="4"/>
  <c r="HU23" i="4"/>
  <c r="HV23" i="4"/>
  <c r="HW23" i="4"/>
  <c r="HD24" i="4"/>
  <c r="HE24" i="4"/>
  <c r="HF24" i="4"/>
  <c r="HG24" i="4"/>
  <c r="HH24" i="4"/>
  <c r="HI24" i="4"/>
  <c r="HJ24" i="4"/>
  <c r="HK24" i="4"/>
  <c r="HL24" i="4"/>
  <c r="HM24" i="4"/>
  <c r="HN24" i="4"/>
  <c r="HO24" i="4"/>
  <c r="HP24" i="4"/>
  <c r="HQ24" i="4"/>
  <c r="HR24" i="4"/>
  <c r="HS24" i="4"/>
  <c r="HT24" i="4"/>
  <c r="HU24" i="4"/>
  <c r="HV24" i="4"/>
  <c r="HW24" i="4"/>
  <c r="HE22" i="4"/>
  <c r="HF22" i="4"/>
  <c r="HG22" i="4"/>
  <c r="HH22" i="4"/>
  <c r="HI22" i="4"/>
  <c r="HJ22" i="4"/>
  <c r="HK22" i="4"/>
  <c r="HL22" i="4"/>
  <c r="HM22" i="4"/>
  <c r="HN22" i="4"/>
  <c r="HO22" i="4"/>
  <c r="HP22" i="4"/>
  <c r="HQ22" i="4"/>
  <c r="HR22" i="4"/>
  <c r="HS22" i="4"/>
  <c r="HT22" i="4"/>
  <c r="HU22" i="4"/>
  <c r="HV22" i="4"/>
  <c r="HW22" i="4"/>
  <c r="HD22" i="4"/>
  <c r="DF19" i="4" l="1"/>
  <c r="DG19" i="4"/>
  <c r="DH19" i="4"/>
  <c r="DI19" i="4"/>
  <c r="DJ19" i="4"/>
  <c r="DK19" i="4"/>
  <c r="DL19" i="4"/>
  <c r="DM19" i="4"/>
  <c r="FV29" i="4" s="1"/>
  <c r="DN19" i="4"/>
  <c r="DO19" i="4"/>
  <c r="DP19" i="4"/>
  <c r="FY29" i="4" s="1"/>
  <c r="DQ19" i="4"/>
  <c r="FZ29" i="4" s="1"/>
  <c r="DR19" i="4"/>
  <c r="DS19" i="4"/>
  <c r="GB29" i="4" s="1"/>
  <c r="DT19" i="4"/>
  <c r="GC29" i="4" s="1"/>
  <c r="DU19" i="4"/>
  <c r="GD29" i="4" s="1"/>
  <c r="DV19" i="4"/>
  <c r="GE29" i="4" s="1"/>
  <c r="DW19" i="4"/>
  <c r="GF29" i="4" s="1"/>
  <c r="DX19" i="4"/>
  <c r="GG29" i="4" s="1"/>
  <c r="DF20" i="4"/>
  <c r="FO30" i="4" s="1"/>
  <c r="DG20" i="4"/>
  <c r="DH20" i="4"/>
  <c r="DI20" i="4"/>
  <c r="DJ20" i="4"/>
  <c r="FS30" i="4" s="1"/>
  <c r="DK20" i="4"/>
  <c r="FT30" i="4" s="1"/>
  <c r="DL20" i="4"/>
  <c r="DM20" i="4"/>
  <c r="DN20" i="4"/>
  <c r="DO20" i="4"/>
  <c r="DP20" i="4"/>
  <c r="DQ20" i="4"/>
  <c r="DR20" i="4"/>
  <c r="DS20" i="4"/>
  <c r="DT20" i="4"/>
  <c r="DU20" i="4"/>
  <c r="DV20" i="4"/>
  <c r="GE30" i="4" s="1"/>
  <c r="DW20" i="4"/>
  <c r="GF30" i="4" s="1"/>
  <c r="DX20" i="4"/>
  <c r="DF21" i="4"/>
  <c r="FO31" i="4" s="1"/>
  <c r="DG21" i="4"/>
  <c r="DH21" i="4"/>
  <c r="DI21" i="4"/>
  <c r="DJ21" i="4"/>
  <c r="FS31" i="4" s="1"/>
  <c r="DK21" i="4"/>
  <c r="FT31" i="4" s="1"/>
  <c r="DL21" i="4"/>
  <c r="FU31" i="4" s="1"/>
  <c r="DM21" i="4"/>
  <c r="DN21" i="4"/>
  <c r="FW31" i="4" s="1"/>
  <c r="DO21" i="4"/>
  <c r="FX31" i="4" s="1"/>
  <c r="DP21" i="4"/>
  <c r="FY31" i="4" s="1"/>
  <c r="DQ21" i="4"/>
  <c r="DR21" i="4"/>
  <c r="DS21" i="4"/>
  <c r="GB31" i="4" s="1"/>
  <c r="DT21" i="4"/>
  <c r="GC31" i="4" s="1"/>
  <c r="DU21" i="4"/>
  <c r="DV21" i="4"/>
  <c r="DW21" i="4"/>
  <c r="DX21" i="4"/>
  <c r="DF22" i="4"/>
  <c r="DZ22" i="4" s="1"/>
  <c r="DG22" i="4"/>
  <c r="EA22" i="4" s="1"/>
  <c r="DH22" i="4"/>
  <c r="EB22" i="4" s="1"/>
  <c r="DI22" i="4"/>
  <c r="EC22" i="4" s="1"/>
  <c r="DJ22" i="4"/>
  <c r="ED22" i="4" s="1"/>
  <c r="DK22" i="4"/>
  <c r="EE22" i="4" s="1"/>
  <c r="DL22" i="4"/>
  <c r="EF22" i="4" s="1"/>
  <c r="DM22" i="4"/>
  <c r="EG22" i="4" s="1"/>
  <c r="DN22" i="4"/>
  <c r="EH22" i="4" s="1"/>
  <c r="DO22" i="4"/>
  <c r="EI22" i="4" s="1"/>
  <c r="DP22" i="4"/>
  <c r="EJ22" i="4" s="1"/>
  <c r="DQ22" i="4"/>
  <c r="EK22" i="4" s="1"/>
  <c r="DR22" i="4"/>
  <c r="EL22" i="4" s="1"/>
  <c r="DS22" i="4"/>
  <c r="EM22" i="4" s="1"/>
  <c r="DT22" i="4"/>
  <c r="EN22" i="4" s="1"/>
  <c r="DU22" i="4"/>
  <c r="EO22" i="4" s="1"/>
  <c r="DV22" i="4"/>
  <c r="EP22" i="4" s="1"/>
  <c r="DW22" i="4"/>
  <c r="EQ22" i="4" s="1"/>
  <c r="DX22" i="4"/>
  <c r="ER22" i="4" s="1"/>
  <c r="DF23" i="4"/>
  <c r="DZ23" i="4" s="1"/>
  <c r="DG23" i="4"/>
  <c r="EA23" i="4" s="1"/>
  <c r="DH23" i="4"/>
  <c r="EB23" i="4" s="1"/>
  <c r="DI23" i="4"/>
  <c r="EC23" i="4" s="1"/>
  <c r="DJ23" i="4"/>
  <c r="ED23" i="4" s="1"/>
  <c r="DK23" i="4"/>
  <c r="EE23" i="4" s="1"/>
  <c r="DL23" i="4"/>
  <c r="EF23" i="4" s="1"/>
  <c r="DM23" i="4"/>
  <c r="EG23" i="4" s="1"/>
  <c r="DN23" i="4"/>
  <c r="EH23" i="4" s="1"/>
  <c r="DO23" i="4"/>
  <c r="EI23" i="4" s="1"/>
  <c r="DP23" i="4"/>
  <c r="EJ23" i="4" s="1"/>
  <c r="DQ23" i="4"/>
  <c r="EK23" i="4" s="1"/>
  <c r="DR23" i="4"/>
  <c r="EL23" i="4" s="1"/>
  <c r="DS23" i="4"/>
  <c r="EM23" i="4" s="1"/>
  <c r="DT23" i="4"/>
  <c r="EN23" i="4" s="1"/>
  <c r="DU23" i="4"/>
  <c r="EO23" i="4" s="1"/>
  <c r="DV23" i="4"/>
  <c r="EP23" i="4" s="1"/>
  <c r="DW23" i="4"/>
  <c r="EQ23" i="4" s="1"/>
  <c r="DX23" i="4"/>
  <c r="ER23" i="4" s="1"/>
  <c r="DF24" i="4"/>
  <c r="DZ24" i="4" s="1"/>
  <c r="DG24" i="4"/>
  <c r="EA24" i="4" s="1"/>
  <c r="DH24" i="4"/>
  <c r="EB24" i="4" s="1"/>
  <c r="DI24" i="4"/>
  <c r="EC24" i="4" s="1"/>
  <c r="DJ24" i="4"/>
  <c r="ED24" i="4" s="1"/>
  <c r="DK24" i="4"/>
  <c r="EE24" i="4" s="1"/>
  <c r="DL24" i="4"/>
  <c r="EF24" i="4" s="1"/>
  <c r="DM24" i="4"/>
  <c r="EG24" i="4" s="1"/>
  <c r="DN24" i="4"/>
  <c r="EH24" i="4" s="1"/>
  <c r="DO24" i="4"/>
  <c r="EI24" i="4" s="1"/>
  <c r="DP24" i="4"/>
  <c r="EJ24" i="4" s="1"/>
  <c r="DQ24" i="4"/>
  <c r="EK24" i="4" s="1"/>
  <c r="DR24" i="4"/>
  <c r="EL24" i="4" s="1"/>
  <c r="DS24" i="4"/>
  <c r="EM24" i="4" s="1"/>
  <c r="DT24" i="4"/>
  <c r="EN24" i="4" s="1"/>
  <c r="DU24" i="4"/>
  <c r="EO24" i="4" s="1"/>
  <c r="DV24" i="4"/>
  <c r="EP24" i="4" s="1"/>
  <c r="DW24" i="4"/>
  <c r="EQ24" i="4" s="1"/>
  <c r="DX24" i="4"/>
  <c r="ER24" i="4" s="1"/>
  <c r="DE22" i="4"/>
  <c r="DE23" i="4"/>
  <c r="DY23" i="4" s="1"/>
  <c r="DE24" i="4"/>
  <c r="DY24" i="4" s="1"/>
  <c r="DE20" i="4"/>
  <c r="FN30" i="4" s="1"/>
  <c r="DE21" i="4"/>
  <c r="FN31" i="4" s="1"/>
  <c r="DE19" i="4"/>
  <c r="K4" i="3"/>
  <c r="K5" i="3"/>
  <c r="K6" i="3"/>
  <c r="K3" i="3"/>
  <c r="D9" i="9" s="1"/>
  <c r="N12" i="13" l="1"/>
  <c r="K10" i="3"/>
  <c r="CA21" i="11"/>
  <c r="BT21" i="11"/>
  <c r="CJ21" i="11"/>
  <c r="BY21" i="11"/>
  <c r="BR21" i="11"/>
  <c r="CH21" i="11"/>
  <c r="BS21" i="11"/>
  <c r="BQ21" i="11"/>
  <c r="BZ21" i="11"/>
  <c r="CF21" i="11"/>
  <c r="CD21" i="11"/>
  <c r="CE21" i="11"/>
  <c r="BX21" i="11"/>
  <c r="CC21" i="11"/>
  <c r="BV21" i="11"/>
  <c r="CI21" i="11"/>
  <c r="CB21" i="11"/>
  <c r="CG21" i="11"/>
  <c r="BW21" i="11"/>
  <c r="BU21" i="11"/>
  <c r="BR20" i="11"/>
  <c r="BU20" i="11"/>
  <c r="CD20" i="11"/>
  <c r="BS20" i="11"/>
  <c r="CI20" i="11"/>
  <c r="BX20" i="11"/>
  <c r="CC20" i="11"/>
  <c r="BV20" i="11"/>
  <c r="CJ20" i="11"/>
  <c r="BY20" i="11"/>
  <c r="CH20" i="11"/>
  <c r="BW20" i="11"/>
  <c r="CB20" i="11"/>
  <c r="BQ20" i="11"/>
  <c r="CA20" i="11"/>
  <c r="CF20" i="11"/>
  <c r="CG20" i="11"/>
  <c r="BZ20" i="11"/>
  <c r="CE20" i="11"/>
  <c r="BT20" i="11"/>
  <c r="BQ19" i="4"/>
  <c r="BW19" i="11"/>
  <c r="CB19" i="11"/>
  <c r="BY19" i="11"/>
  <c r="BZ19" i="11"/>
  <c r="BT19" i="11"/>
  <c r="CJ19" i="11"/>
  <c r="BQ19" i="11"/>
  <c r="BR19" i="11"/>
  <c r="BS19" i="11"/>
  <c r="BX19" i="11"/>
  <c r="BU19" i="11"/>
  <c r="BV19" i="11"/>
  <c r="CA19" i="11"/>
  <c r="CF19" i="11"/>
  <c r="CC19" i="11"/>
  <c r="CD19" i="11"/>
  <c r="CE19" i="11"/>
  <c r="CG19" i="11"/>
  <c r="CH19" i="11"/>
  <c r="CI19" i="11"/>
  <c r="GA31" i="4"/>
  <c r="GF31" i="4"/>
  <c r="GE31" i="4"/>
  <c r="GG31" i="4"/>
  <c r="FQ31" i="4"/>
  <c r="FP31" i="4"/>
  <c r="FP30" i="4"/>
  <c r="GA30" i="4"/>
  <c r="FW30" i="4"/>
  <c r="GB30" i="4"/>
  <c r="FX30" i="4"/>
  <c r="GA29" i="4"/>
  <c r="FX29" i="4"/>
  <c r="FW29" i="4"/>
  <c r="FR29" i="4"/>
  <c r="FU29" i="4"/>
  <c r="FQ29" i="4"/>
  <c r="FT29" i="4"/>
  <c r="FP29" i="4"/>
  <c r="FS29" i="4"/>
  <c r="FO29" i="4"/>
  <c r="I159" i="8"/>
  <c r="K159" i="8" s="1"/>
  <c r="M159" i="8" s="1"/>
  <c r="O159" i="8" s="1"/>
  <c r="CC19" i="8"/>
  <c r="CD19" i="8"/>
  <c r="BS19" i="8"/>
  <c r="CI19" i="8"/>
  <c r="BT19" i="8"/>
  <c r="CJ19" i="8"/>
  <c r="CH19" i="8"/>
  <c r="CF19" i="8"/>
  <c r="BQ19" i="8"/>
  <c r="BZ19" i="8"/>
  <c r="BR19" i="8"/>
  <c r="BW19" i="8"/>
  <c r="BX19" i="8"/>
  <c r="BU19" i="8"/>
  <c r="CA19" i="8"/>
  <c r="CB19" i="8"/>
  <c r="CG19" i="8"/>
  <c r="BV19" i="8"/>
  <c r="BY19" i="8"/>
  <c r="CE19" i="8"/>
  <c r="I160" i="8"/>
  <c r="K160" i="8" s="1"/>
  <c r="M160" i="8" s="1"/>
  <c r="O160" i="8" s="1"/>
  <c r="BY20" i="8"/>
  <c r="BZ20" i="8"/>
  <c r="CA20" i="8"/>
  <c r="CB20" i="8"/>
  <c r="CC20" i="8"/>
  <c r="CD20" i="8"/>
  <c r="CE20" i="8"/>
  <c r="CF20" i="8"/>
  <c r="BQ20" i="8"/>
  <c r="CG20" i="8"/>
  <c r="BR20" i="8"/>
  <c r="CH20" i="8"/>
  <c r="BS20" i="8"/>
  <c r="CI20" i="8"/>
  <c r="BT20" i="8"/>
  <c r="CJ20" i="8"/>
  <c r="BU20" i="8"/>
  <c r="BV20" i="8"/>
  <c r="BW20" i="8"/>
  <c r="BX20" i="8"/>
  <c r="I161" i="8"/>
  <c r="K161" i="8" s="1"/>
  <c r="M161" i="8" s="1"/>
  <c r="O161" i="8" s="1"/>
  <c r="BS21" i="8"/>
  <c r="CI21" i="8"/>
  <c r="BT21" i="8"/>
  <c r="CJ21" i="8"/>
  <c r="BQ21" i="8"/>
  <c r="CG21" i="8"/>
  <c r="BR21" i="8"/>
  <c r="CH21" i="8"/>
  <c r="CF21" i="8"/>
  <c r="CC21" i="8"/>
  <c r="CD21" i="8"/>
  <c r="BW21" i="8"/>
  <c r="BX21" i="8"/>
  <c r="BU21" i="8"/>
  <c r="BV21" i="8"/>
  <c r="CA21" i="8"/>
  <c r="CB21" i="8"/>
  <c r="BY21" i="8"/>
  <c r="BZ21" i="8"/>
  <c r="CE21" i="8"/>
  <c r="DG27" i="4"/>
  <c r="FN29" i="4"/>
  <c r="DY19" i="4"/>
  <c r="DY22" i="4"/>
  <c r="DG28" i="4"/>
  <c r="EM21" i="4"/>
  <c r="ED21" i="4"/>
  <c r="EP20" i="4"/>
  <c r="EH20" i="4"/>
  <c r="DZ20" i="4"/>
  <c r="EN19" i="4"/>
  <c r="EL21" i="4"/>
  <c r="EA21" i="4"/>
  <c r="EM20" i="4"/>
  <c r="EE20" i="4"/>
  <c r="DY20" i="4"/>
  <c r="EF19" i="4"/>
  <c r="EI21" i="4"/>
  <c r="DY21" i="4"/>
  <c r="EL20" i="4"/>
  <c r="ED20" i="4"/>
  <c r="EQ21" i="4"/>
  <c r="EE21" i="4"/>
  <c r="EQ20" i="4"/>
  <c r="EI20" i="4"/>
  <c r="EA20" i="4"/>
  <c r="GD31" i="4"/>
  <c r="EO21" i="4"/>
  <c r="FZ31" i="4"/>
  <c r="EK21" i="4"/>
  <c r="FR31" i="4"/>
  <c r="EC21" i="4"/>
  <c r="GC30" i="4"/>
  <c r="EN20" i="4"/>
  <c r="FU30" i="4"/>
  <c r="EF20" i="4"/>
  <c r="EQ19" i="4"/>
  <c r="EA19" i="4"/>
  <c r="EM19" i="4"/>
  <c r="EE19" i="4"/>
  <c r="FV31" i="4"/>
  <c r="EG21" i="4"/>
  <c r="GG30" i="4"/>
  <c r="ER20" i="4"/>
  <c r="FY30" i="4"/>
  <c r="EJ20" i="4"/>
  <c r="FQ30" i="4"/>
  <c r="EB20" i="4"/>
  <c r="EI19" i="4"/>
  <c r="GD30" i="4"/>
  <c r="EO20" i="4"/>
  <c r="FZ30" i="4"/>
  <c r="EK20" i="4"/>
  <c r="FV30" i="4"/>
  <c r="EG20" i="4"/>
  <c r="FR30" i="4"/>
  <c r="EC20" i="4"/>
  <c r="ER19" i="4"/>
  <c r="EJ19" i="4"/>
  <c r="EB19" i="4"/>
  <c r="EP21" i="4"/>
  <c r="EH21" i="4"/>
  <c r="DZ21" i="4"/>
  <c r="EP19" i="4"/>
  <c r="EL19" i="4"/>
  <c r="EH19" i="4"/>
  <c r="ED19" i="4"/>
  <c r="DZ19" i="4"/>
  <c r="EO19" i="4"/>
  <c r="EK19" i="4"/>
  <c r="EG19" i="4"/>
  <c r="EC19" i="4"/>
  <c r="ER21" i="4"/>
  <c r="EN21" i="4"/>
  <c r="EJ21" i="4"/>
  <c r="EF21" i="4"/>
  <c r="EB21" i="4"/>
  <c r="BU24" i="11" l="1"/>
  <c r="GL21" i="11"/>
  <c r="CE24" i="11"/>
  <c r="GV21" i="11"/>
  <c r="BY24" i="11"/>
  <c r="GP21" i="11"/>
  <c r="BW24" i="11"/>
  <c r="GN21" i="11"/>
  <c r="BV24" i="11"/>
  <c r="GM21" i="11"/>
  <c r="CD24" i="11"/>
  <c r="GU21" i="11"/>
  <c r="BS24" i="11"/>
  <c r="GJ21" i="11"/>
  <c r="CJ24" i="11"/>
  <c r="HA21" i="11"/>
  <c r="CI24" i="11"/>
  <c r="GZ21" i="11"/>
  <c r="BQ24" i="11"/>
  <c r="GH21" i="11"/>
  <c r="CG24" i="11"/>
  <c r="GX21" i="11"/>
  <c r="CC24" i="11"/>
  <c r="GT21" i="11"/>
  <c r="CF24" i="11"/>
  <c r="GW21" i="11"/>
  <c r="CH24" i="11"/>
  <c r="GY21" i="11"/>
  <c r="BT24" i="11"/>
  <c r="GK21" i="11"/>
  <c r="CB24" i="11"/>
  <c r="GS21" i="11"/>
  <c r="BX24" i="11"/>
  <c r="GO21" i="11"/>
  <c r="BZ24" i="11"/>
  <c r="GQ21" i="11"/>
  <c r="BR24" i="11"/>
  <c r="GI21" i="11"/>
  <c r="CA24" i="11"/>
  <c r="GR21" i="11"/>
  <c r="CF23" i="11"/>
  <c r="GW20" i="11"/>
  <c r="BW23" i="11"/>
  <c r="GN20" i="11"/>
  <c r="BS23" i="11"/>
  <c r="GJ20" i="11"/>
  <c r="CE23" i="11"/>
  <c r="GV20" i="11"/>
  <c r="CA23" i="11"/>
  <c r="GR20" i="11"/>
  <c r="CH23" i="11"/>
  <c r="GY20" i="11"/>
  <c r="CC23" i="11"/>
  <c r="GT20" i="11"/>
  <c r="CD23" i="11"/>
  <c r="GU20" i="11"/>
  <c r="BT23" i="11"/>
  <c r="GK20" i="11"/>
  <c r="BZ23" i="11"/>
  <c r="GQ20" i="11"/>
  <c r="BQ23" i="11"/>
  <c r="GH20" i="11"/>
  <c r="BY23" i="11"/>
  <c r="GP20" i="11"/>
  <c r="BX23" i="11"/>
  <c r="GO20" i="11"/>
  <c r="BU23" i="11"/>
  <c r="GL20" i="11"/>
  <c r="BV23" i="11"/>
  <c r="GM20" i="11"/>
  <c r="CG23" i="11"/>
  <c r="GX20" i="11"/>
  <c r="CB23" i="11"/>
  <c r="GS20" i="11"/>
  <c r="CJ23" i="11"/>
  <c r="HA20" i="11"/>
  <c r="CI23" i="11"/>
  <c r="GZ20" i="11"/>
  <c r="BR23" i="11"/>
  <c r="GI20" i="11"/>
  <c r="CC22" i="11"/>
  <c r="GT19" i="11"/>
  <c r="BY22" i="11"/>
  <c r="GP19" i="11"/>
  <c r="CG22" i="11"/>
  <c r="GX19" i="11"/>
  <c r="CF22" i="11"/>
  <c r="GW19" i="11"/>
  <c r="BX22" i="11"/>
  <c r="GO19" i="11"/>
  <c r="CJ22" i="11"/>
  <c r="HA19" i="11"/>
  <c r="CB22" i="11"/>
  <c r="GS19" i="11"/>
  <c r="CH22" i="11"/>
  <c r="GY19" i="11"/>
  <c r="BQ22" i="11"/>
  <c r="GH19" i="11"/>
  <c r="CE22" i="11"/>
  <c r="GV19" i="11"/>
  <c r="CA22" i="11"/>
  <c r="GR19" i="11"/>
  <c r="BS22" i="11"/>
  <c r="GJ19" i="11"/>
  <c r="BT22" i="11"/>
  <c r="GK19" i="11"/>
  <c r="BW22" i="11"/>
  <c r="GN19" i="11"/>
  <c r="BU22" i="11"/>
  <c r="GL19" i="11"/>
  <c r="CI22" i="11"/>
  <c r="GZ19" i="11"/>
  <c r="CD22" i="11"/>
  <c r="GU19" i="11"/>
  <c r="BV22" i="11"/>
  <c r="GM19" i="11"/>
  <c r="BR22" i="11"/>
  <c r="GI19" i="11"/>
  <c r="BZ22" i="11"/>
  <c r="GQ19" i="11"/>
  <c r="CB24" i="8"/>
  <c r="GS21" i="8"/>
  <c r="BX24" i="8"/>
  <c r="GO21" i="8"/>
  <c r="CF24" i="8"/>
  <c r="GW21" i="8"/>
  <c r="BQ24" i="8"/>
  <c r="GH21" i="8"/>
  <c r="BS24" i="8"/>
  <c r="GJ21" i="8"/>
  <c r="BV23" i="8"/>
  <c r="GM20" i="8"/>
  <c r="CI23" i="8"/>
  <c r="GZ20" i="8"/>
  <c r="CG23" i="8"/>
  <c r="GX20" i="8"/>
  <c r="CD23" i="8"/>
  <c r="GU20" i="8"/>
  <c r="BZ23" i="8"/>
  <c r="GQ20" i="8"/>
  <c r="BY22" i="8"/>
  <c r="GP19" i="8"/>
  <c r="CA22" i="8"/>
  <c r="GR19" i="8"/>
  <c r="BR22" i="8"/>
  <c r="GI19" i="8"/>
  <c r="CH22" i="8"/>
  <c r="GY19" i="8"/>
  <c r="BS22" i="8"/>
  <c r="GJ19" i="8"/>
  <c r="CE24" i="8"/>
  <c r="GV21" i="8"/>
  <c r="CA24" i="8"/>
  <c r="GR21" i="8"/>
  <c r="BW24" i="8"/>
  <c r="GN21" i="8"/>
  <c r="CH24" i="8"/>
  <c r="GY21" i="8"/>
  <c r="CJ24" i="8"/>
  <c r="HA21" i="8"/>
  <c r="BU23" i="8"/>
  <c r="GL20" i="8"/>
  <c r="BS23" i="8"/>
  <c r="GJ20" i="8"/>
  <c r="BQ23" i="8"/>
  <c r="GH20" i="8"/>
  <c r="CC23" i="8"/>
  <c r="GT20" i="8"/>
  <c r="BY23" i="8"/>
  <c r="GP20" i="8"/>
  <c r="BV22" i="8"/>
  <c r="GM19" i="8"/>
  <c r="BU22" i="8"/>
  <c r="GL19" i="8"/>
  <c r="BZ22" i="8"/>
  <c r="GQ19" i="8"/>
  <c r="CJ22" i="8"/>
  <c r="HA19" i="8"/>
  <c r="CD22" i="8"/>
  <c r="GU19" i="8"/>
  <c r="BZ24" i="8"/>
  <c r="GQ21" i="8"/>
  <c r="BV24" i="8"/>
  <c r="GM21" i="8"/>
  <c r="CD24" i="8"/>
  <c r="GU21" i="8"/>
  <c r="BR24" i="8"/>
  <c r="GI21" i="8"/>
  <c r="BT24" i="8"/>
  <c r="GK21" i="8"/>
  <c r="BX23" i="8"/>
  <c r="GO20" i="8"/>
  <c r="CJ23" i="8"/>
  <c r="HA20" i="8"/>
  <c r="GY20" i="8"/>
  <c r="CH23" i="8"/>
  <c r="CF23" i="8"/>
  <c r="GW20" i="8"/>
  <c r="CB23" i="8"/>
  <c r="GS20" i="8"/>
  <c r="CG22" i="8"/>
  <c r="GX19" i="8"/>
  <c r="BX22" i="8"/>
  <c r="GO19" i="8"/>
  <c r="BQ22" i="8"/>
  <c r="GH19" i="8"/>
  <c r="BT22" i="8"/>
  <c r="GK19" i="8"/>
  <c r="CC22" i="8"/>
  <c r="GT19" i="8"/>
  <c r="BY24" i="8"/>
  <c r="GP21" i="8"/>
  <c r="BU24" i="8"/>
  <c r="GL21" i="8"/>
  <c r="CC24" i="8"/>
  <c r="GT21" i="8"/>
  <c r="CG24" i="8"/>
  <c r="GX21" i="8"/>
  <c r="CI24" i="8"/>
  <c r="GZ21" i="8"/>
  <c r="BW23" i="8"/>
  <c r="GN20" i="8"/>
  <c r="BT23" i="8"/>
  <c r="GK20" i="8"/>
  <c r="BR23" i="8"/>
  <c r="GI20" i="8"/>
  <c r="CE23" i="8"/>
  <c r="GV20" i="8"/>
  <c r="CA23" i="8"/>
  <c r="GR20" i="8"/>
  <c r="CE22" i="8"/>
  <c r="GV19" i="8"/>
  <c r="GS19" i="8"/>
  <c r="CB22" i="8"/>
  <c r="BW22" i="8"/>
  <c r="GN19" i="8"/>
  <c r="GW19" i="8"/>
  <c r="CF22" i="8"/>
  <c r="CI22" i="8"/>
  <c r="GZ19" i="8"/>
  <c r="HB21" i="11" l="1"/>
  <c r="AF31" i="11" s="1"/>
  <c r="HB20" i="11"/>
  <c r="AF30" i="11" s="1"/>
  <c r="HB19" i="11"/>
  <c r="HB21" i="8"/>
  <c r="HB19" i="8"/>
  <c r="HB20" i="8"/>
  <c r="AB34" i="3" l="1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A35" i="3"/>
  <c r="AA36" i="3"/>
  <c r="AA34" i="3"/>
  <c r="AK66" i="3" l="1"/>
  <c r="Q66" i="3"/>
  <c r="AG66" i="3"/>
  <c r="M66" i="3"/>
  <c r="AB66" i="3"/>
  <c r="H66" i="3"/>
  <c r="AF66" i="3"/>
  <c r="L66" i="3"/>
  <c r="AI66" i="3"/>
  <c r="O66" i="3"/>
  <c r="AE66" i="3"/>
  <c r="K66" i="3"/>
  <c r="R66" i="3"/>
  <c r="AL66" i="3"/>
  <c r="N66" i="3"/>
  <c r="AH66" i="3"/>
  <c r="J66" i="3"/>
  <c r="AD66" i="3"/>
  <c r="U66" i="3"/>
  <c r="AO66" i="3"/>
  <c r="I66" i="3"/>
  <c r="AC66" i="3"/>
  <c r="G26" i="3"/>
  <c r="G27" i="3"/>
  <c r="G25" i="3"/>
  <c r="H27" i="3"/>
  <c r="H26" i="3"/>
  <c r="AZ35" i="3" s="1"/>
  <c r="H25" i="3"/>
  <c r="BI35" i="3" l="1"/>
  <c r="BL34" i="3"/>
  <c r="BN22" i="4" s="1"/>
  <c r="FJ22" i="4" s="1"/>
  <c r="BG35" i="3"/>
  <c r="FE20" i="4" s="1"/>
  <c r="BH91" i="3" s="1"/>
  <c r="BH34" i="3"/>
  <c r="CD19" i="4" s="1"/>
  <c r="GU19" i="4" s="1"/>
  <c r="BE34" i="3"/>
  <c r="CA19" i="4" s="1"/>
  <c r="GR19" i="4" s="1"/>
  <c r="BM34" i="3"/>
  <c r="FK19" i="4" s="1"/>
  <c r="AU35" i="3"/>
  <c r="ES20" i="4" s="1"/>
  <c r="AV91" i="3" s="1"/>
  <c r="AW35" i="3"/>
  <c r="BN34" i="3"/>
  <c r="FL19" i="4" s="1"/>
  <c r="AV34" i="3"/>
  <c r="AX22" i="4" s="1"/>
  <c r="ET22" i="4" s="1"/>
  <c r="BE35" i="3"/>
  <c r="AY35" i="3"/>
  <c r="AV35" i="3"/>
  <c r="BV20" i="4"/>
  <c r="EX20" i="4"/>
  <c r="BA91" i="3" s="1"/>
  <c r="BB23" i="4"/>
  <c r="EX23" i="4" s="1"/>
  <c r="N6" i="3"/>
  <c r="Q6" i="3" s="1"/>
  <c r="BG23" i="4"/>
  <c r="FC23" i="4" s="1"/>
  <c r="BB36" i="3"/>
  <c r="BL36" i="3"/>
  <c r="AU36" i="3"/>
  <c r="BE36" i="3"/>
  <c r="FG20" i="4"/>
  <c r="BJ91" i="3" s="1"/>
  <c r="BK23" i="4"/>
  <c r="FG23" i="4" s="1"/>
  <c r="CE20" i="4"/>
  <c r="AY34" i="3"/>
  <c r="BM36" i="3"/>
  <c r="BI34" i="3"/>
  <c r="BF34" i="3"/>
  <c r="BC34" i="3"/>
  <c r="AU34" i="3"/>
  <c r="AV36" i="3"/>
  <c r="BH35" i="3"/>
  <c r="BO22" i="4"/>
  <c r="FK22" i="4" s="1"/>
  <c r="CI19" i="4"/>
  <c r="GZ19" i="4" s="1"/>
  <c r="AW36" i="3"/>
  <c r="ET19" i="4"/>
  <c r="AW64" i="3" s="1"/>
  <c r="BF36" i="3"/>
  <c r="BM35" i="3"/>
  <c r="BJ36" i="3"/>
  <c r="BK36" i="3"/>
  <c r="BK35" i="3"/>
  <c r="BK34" i="3"/>
  <c r="AW34" i="3"/>
  <c r="AY36" i="3"/>
  <c r="BC35" i="3"/>
  <c r="AX34" i="3"/>
  <c r="BH36" i="3"/>
  <c r="BA36" i="3"/>
  <c r="CH19" i="4"/>
  <c r="GY19" i="4" s="1"/>
  <c r="BC36" i="3"/>
  <c r="N4" i="3"/>
  <c r="AZ34" i="3"/>
  <c r="L3" i="3"/>
  <c r="BF35" i="3"/>
  <c r="BN35" i="3"/>
  <c r="AX35" i="3"/>
  <c r="BB35" i="3"/>
  <c r="BJ35" i="3"/>
  <c r="BD34" i="3"/>
  <c r="BA35" i="3"/>
  <c r="AX36" i="3"/>
  <c r="BN36" i="3"/>
  <c r="BB34" i="3"/>
  <c r="BD36" i="3"/>
  <c r="BD35" i="3"/>
  <c r="BA34" i="3"/>
  <c r="BG36" i="3"/>
  <c r="AZ36" i="3"/>
  <c r="BL35" i="3"/>
  <c r="BJ34" i="3"/>
  <c r="BG34" i="3"/>
  <c r="BI36" i="3"/>
  <c r="Q4" i="3" l="1"/>
  <c r="N3" i="3"/>
  <c r="N7" i="3"/>
  <c r="BO64" i="3"/>
  <c r="BN64" i="3"/>
  <c r="CE23" i="4"/>
  <c r="GV20" i="4"/>
  <c r="BV23" i="4"/>
  <c r="GM20" i="4"/>
  <c r="FC20" i="4"/>
  <c r="BF91" i="3" s="1"/>
  <c r="BI23" i="4"/>
  <c r="FE23" i="4" s="1"/>
  <c r="CC20" i="4"/>
  <c r="ET20" i="4"/>
  <c r="AW91" i="3" s="1"/>
  <c r="BQ20" i="4"/>
  <c r="FJ19" i="4"/>
  <c r="BR19" i="4"/>
  <c r="GI19" i="4" s="1"/>
  <c r="AW23" i="4"/>
  <c r="ES23" i="4" s="1"/>
  <c r="CA20" i="4"/>
  <c r="BU20" i="4"/>
  <c r="AY23" i="4"/>
  <c r="EU23" i="4" s="1"/>
  <c r="CD22" i="4"/>
  <c r="CI22" i="4"/>
  <c r="CA22" i="4"/>
  <c r="CH22" i="4"/>
  <c r="K29" i="4"/>
  <c r="K29" i="8"/>
  <c r="K31" i="4"/>
  <c r="I166" i="4" s="1"/>
  <c r="K31" i="8"/>
  <c r="BA23" i="4"/>
  <c r="EW23" i="4" s="1"/>
  <c r="BJ22" i="4"/>
  <c r="FF22" i="4" s="1"/>
  <c r="EU20" i="4"/>
  <c r="AX91" i="3" s="1"/>
  <c r="FC19" i="4"/>
  <c r="BF64" i="3" s="1"/>
  <c r="BS20" i="4"/>
  <c r="BP22" i="4"/>
  <c r="FL22" i="4" s="1"/>
  <c r="FF19" i="4"/>
  <c r="BI64" i="3" s="1"/>
  <c r="EW20" i="4"/>
  <c r="AZ91" i="3" s="1"/>
  <c r="AX23" i="4"/>
  <c r="ET23" i="4" s="1"/>
  <c r="BG22" i="4"/>
  <c r="FC22" i="4" s="1"/>
  <c r="CJ19" i="4"/>
  <c r="HA19" i="4" s="1"/>
  <c r="BR20" i="4"/>
  <c r="GI20" i="4" s="1"/>
  <c r="BV21" i="4"/>
  <c r="BB24" i="4"/>
  <c r="EX24" i="4" s="1"/>
  <c r="EX21" i="4"/>
  <c r="BA115" i="3" s="1"/>
  <c r="AZ23" i="4"/>
  <c r="EV23" i="4" s="1"/>
  <c r="BT20" i="4"/>
  <c r="EV20" i="4"/>
  <c r="AY91" i="3" s="1"/>
  <c r="BM23" i="4"/>
  <c r="FI23" i="4" s="1"/>
  <c r="CG20" i="4"/>
  <c r="FI20" i="4"/>
  <c r="BL91" i="3" s="1"/>
  <c r="CI21" i="4"/>
  <c r="BO24" i="4"/>
  <c r="FK24" i="4" s="1"/>
  <c r="FK21" i="4"/>
  <c r="BN115" i="3" s="1"/>
  <c r="BN24" i="4"/>
  <c r="FJ24" i="4" s="1"/>
  <c r="CH21" i="4"/>
  <c r="FJ21" i="4"/>
  <c r="BM115" i="3" s="1"/>
  <c r="EY21" i="4"/>
  <c r="BB115" i="3" s="1"/>
  <c r="BW21" i="4"/>
  <c r="BC24" i="4"/>
  <c r="EY24" i="4" s="1"/>
  <c r="BU21" i="4"/>
  <c r="BA24" i="4"/>
  <c r="EW24" i="4" s="1"/>
  <c r="EW21" i="4"/>
  <c r="AZ115" i="3" s="1"/>
  <c r="BM24" i="4"/>
  <c r="FI24" i="4" s="1"/>
  <c r="CG21" i="4"/>
  <c r="FI21" i="4"/>
  <c r="BL115" i="3" s="1"/>
  <c r="AY24" i="4"/>
  <c r="EU24" i="4" s="1"/>
  <c r="BS21" i="4"/>
  <c r="EU21" i="4"/>
  <c r="AX115" i="3" s="1"/>
  <c r="BY19" i="4"/>
  <c r="GP19" i="4" s="1"/>
  <c r="BE22" i="4"/>
  <c r="FA22" i="4" s="1"/>
  <c r="FA19" i="4"/>
  <c r="BA22" i="4"/>
  <c r="EW22" i="4" s="1"/>
  <c r="BU19" i="4"/>
  <c r="GL19" i="4" s="1"/>
  <c r="EW19" i="4"/>
  <c r="AZ64" i="3" s="1"/>
  <c r="BD24" i="4"/>
  <c r="EZ24" i="4" s="1"/>
  <c r="BX21" i="4"/>
  <c r="EZ21" i="4"/>
  <c r="BC115" i="3" s="1"/>
  <c r="BZ21" i="4"/>
  <c r="BF24" i="4"/>
  <c r="FB24" i="4" s="1"/>
  <c r="FB21" i="4"/>
  <c r="BE115" i="3" s="1"/>
  <c r="BV19" i="4"/>
  <c r="GM19" i="4" s="1"/>
  <c r="BB22" i="4"/>
  <c r="EX22" i="4" s="1"/>
  <c r="EX19" i="4"/>
  <c r="BA64" i="3" s="1"/>
  <c r="BI22" i="4"/>
  <c r="FE22" i="4" s="1"/>
  <c r="CC19" i="4"/>
  <c r="GT19" i="4" s="1"/>
  <c r="FE19" i="4"/>
  <c r="EZ19" i="4"/>
  <c r="BC64" i="3" s="1"/>
  <c r="BX19" i="4"/>
  <c r="GO19" i="4" s="1"/>
  <c r="BD22" i="4"/>
  <c r="EZ22" i="4" s="1"/>
  <c r="CJ20" i="4"/>
  <c r="BP23" i="4"/>
  <c r="FL23" i="4" s="1"/>
  <c r="FL20" i="4"/>
  <c r="BO91" i="3" s="1"/>
  <c r="FH19" i="4"/>
  <c r="BL22" i="4"/>
  <c r="FH22" i="4" s="1"/>
  <c r="CF19" i="4"/>
  <c r="GW19" i="4" s="1"/>
  <c r="BC22" i="4"/>
  <c r="EY22" i="4" s="1"/>
  <c r="BW19" i="4"/>
  <c r="GN19" i="4" s="1"/>
  <c r="EY19" i="4"/>
  <c r="BB64" i="3" s="1"/>
  <c r="CJ21" i="4"/>
  <c r="BP24" i="4"/>
  <c r="FL24" i="4" s="1"/>
  <c r="FL21" i="4"/>
  <c r="BO115" i="3" s="1"/>
  <c r="CF20" i="4"/>
  <c r="BL23" i="4"/>
  <c r="FH23" i="4" s="1"/>
  <c r="FH20" i="4"/>
  <c r="BK91" i="3" s="1"/>
  <c r="CB20" i="4"/>
  <c r="BH23" i="4"/>
  <c r="FD23" i="4" s="1"/>
  <c r="FD20" i="4"/>
  <c r="BG91" i="3" s="1"/>
  <c r="BJ24" i="4"/>
  <c r="FF24" i="4" s="1"/>
  <c r="FF21" i="4"/>
  <c r="BI115" i="3" s="1"/>
  <c r="CD21" i="4"/>
  <c r="BS19" i="4"/>
  <c r="GJ19" i="4" s="1"/>
  <c r="AY22" i="4"/>
  <c r="EU22" i="4" s="1"/>
  <c r="EU19" i="4"/>
  <c r="AX64" i="3" s="1"/>
  <c r="BL24" i="4"/>
  <c r="FH24" i="4" s="1"/>
  <c r="CF21" i="4"/>
  <c r="FH21" i="4"/>
  <c r="BK115" i="3" s="1"/>
  <c r="BJ23" i="4"/>
  <c r="FF23" i="4" s="1"/>
  <c r="FF20" i="4"/>
  <c r="BI91" i="3" s="1"/>
  <c r="CD20" i="4"/>
  <c r="CB19" i="4"/>
  <c r="GS19" i="4" s="1"/>
  <c r="BH22" i="4"/>
  <c r="FD22" i="4" s="1"/>
  <c r="FD19" i="4"/>
  <c r="FC21" i="4"/>
  <c r="BF115" i="3" s="1"/>
  <c r="CA21" i="4"/>
  <c r="BG24" i="4"/>
  <c r="FC24" i="4" s="1"/>
  <c r="FG21" i="4"/>
  <c r="BJ115" i="3" s="1"/>
  <c r="BK24" i="4"/>
  <c r="FG24" i="4" s="1"/>
  <c r="CE21" i="4"/>
  <c r="BW20" i="4"/>
  <c r="BC23" i="4"/>
  <c r="EY23" i="4" s="1"/>
  <c r="EY20" i="4"/>
  <c r="BB91" i="3" s="1"/>
  <c r="BY21" i="4"/>
  <c r="BE24" i="4"/>
  <c r="FA24" i="4" s="1"/>
  <c r="FA21" i="4"/>
  <c r="BD115" i="3" s="1"/>
  <c r="BY20" i="4"/>
  <c r="BE23" i="4"/>
  <c r="FA23" i="4" s="1"/>
  <c r="FA20" i="4"/>
  <c r="BD91" i="3" s="1"/>
  <c r="CB21" i="4"/>
  <c r="BH24" i="4"/>
  <c r="FD24" i="4" s="1"/>
  <c r="FD21" i="4"/>
  <c r="BG115" i="3" s="1"/>
  <c r="AW22" i="4"/>
  <c r="ES22" i="4" s="1"/>
  <c r="ES19" i="4"/>
  <c r="AV64" i="3" s="1"/>
  <c r="GH19" i="4"/>
  <c r="CC21" i="4"/>
  <c r="BI24" i="4"/>
  <c r="FE24" i="4" s="1"/>
  <c r="FE21" i="4"/>
  <c r="BH115" i="3" s="1"/>
  <c r="BZ19" i="4"/>
  <c r="GQ19" i="4" s="1"/>
  <c r="BF22" i="4"/>
  <c r="FB22" i="4" s="1"/>
  <c r="FB19" i="4"/>
  <c r="BE64" i="3" s="1"/>
  <c r="CH20" i="4"/>
  <c r="FJ20" i="4"/>
  <c r="BM91" i="3" s="1"/>
  <c r="BN23" i="4"/>
  <c r="FJ23" i="4" s="1"/>
  <c r="BF23" i="4"/>
  <c r="FB23" i="4" s="1"/>
  <c r="FB20" i="4"/>
  <c r="BE91" i="3" s="1"/>
  <c r="BZ20" i="4"/>
  <c r="BT21" i="4"/>
  <c r="AZ24" i="4"/>
  <c r="EV24" i="4" s="1"/>
  <c r="EV21" i="4"/>
  <c r="AY115" i="3" s="1"/>
  <c r="BD23" i="4"/>
  <c r="EZ23" i="4" s="1"/>
  <c r="BX20" i="4"/>
  <c r="EZ20" i="4"/>
  <c r="BC91" i="3" s="1"/>
  <c r="N5" i="3"/>
  <c r="BT19" i="4"/>
  <c r="GK19" i="4" s="1"/>
  <c r="AZ22" i="4"/>
  <c r="EV22" i="4" s="1"/>
  <c r="EV19" i="4"/>
  <c r="AY64" i="3" s="1"/>
  <c r="CG19" i="4"/>
  <c r="GX19" i="4" s="1"/>
  <c r="BM22" i="4"/>
  <c r="FI22" i="4" s="1"/>
  <c r="FI19" i="4"/>
  <c r="BO23" i="4"/>
  <c r="FK23" i="4" s="1"/>
  <c r="FK20" i="4"/>
  <c r="BN91" i="3" s="1"/>
  <c r="CI20" i="4"/>
  <c r="AX24" i="4"/>
  <c r="ET24" i="4" s="1"/>
  <c r="BR21" i="4"/>
  <c r="ET21" i="4"/>
  <c r="AW115" i="3" s="1"/>
  <c r="BK22" i="4"/>
  <c r="FG22" i="4" s="1"/>
  <c r="CE19" i="4"/>
  <c r="GV19" i="4" s="1"/>
  <c r="FG19" i="4"/>
  <c r="ES21" i="4"/>
  <c r="AV115" i="3" s="1"/>
  <c r="BQ21" i="4"/>
  <c r="AW24" i="4"/>
  <c r="ES24" i="4" s="1"/>
  <c r="I164" i="4" l="1"/>
  <c r="W54" i="4"/>
  <c r="BP115" i="3"/>
  <c r="BP91" i="3"/>
  <c r="BL64" i="3"/>
  <c r="BM64" i="3"/>
  <c r="BD64" i="3"/>
  <c r="BG64" i="3"/>
  <c r="BH64" i="3"/>
  <c r="BJ64" i="3"/>
  <c r="BK64" i="3"/>
  <c r="K164" i="4"/>
  <c r="M164" i="4" s="1"/>
  <c r="O164" i="4"/>
  <c r="K166" i="4"/>
  <c r="M166" i="4" s="1"/>
  <c r="O166" i="4"/>
  <c r="Q140" i="4"/>
  <c r="Q141" i="4"/>
  <c r="Q139" i="4"/>
  <c r="Q142" i="4"/>
  <c r="Q147" i="4"/>
  <c r="BP133" i="3" s="1"/>
  <c r="BR24" i="4"/>
  <c r="GI21" i="4"/>
  <c r="CH23" i="4"/>
  <c r="GY20" i="4"/>
  <c r="CD24" i="4"/>
  <c r="GU21" i="4"/>
  <c r="BZ24" i="4"/>
  <c r="GQ21" i="4"/>
  <c r="BW24" i="4"/>
  <c r="GN21" i="4"/>
  <c r="BV24" i="4"/>
  <c r="GM21" i="4"/>
  <c r="CB23" i="4"/>
  <c r="GS20" i="4"/>
  <c r="CC23" i="4"/>
  <c r="GT20" i="4"/>
  <c r="BQ24" i="4"/>
  <c r="GH21" i="4"/>
  <c r="CI23" i="4"/>
  <c r="GZ20" i="4"/>
  <c r="BX23" i="4"/>
  <c r="GO20" i="4"/>
  <c r="BY24" i="4"/>
  <c r="GP21" i="4"/>
  <c r="CA24" i="4"/>
  <c r="GR21" i="4"/>
  <c r="BX24" i="4"/>
  <c r="GO21" i="4"/>
  <c r="CG24" i="4"/>
  <c r="GX21" i="4"/>
  <c r="BU24" i="4"/>
  <c r="GL21" i="4"/>
  <c r="BU23" i="4"/>
  <c r="GL20" i="4"/>
  <c r="CB24" i="4"/>
  <c r="GS21" i="4"/>
  <c r="CF23" i="4"/>
  <c r="GW20" i="4"/>
  <c r="CJ23" i="4"/>
  <c r="HA20" i="4"/>
  <c r="BT23" i="4"/>
  <c r="GK20" i="4"/>
  <c r="BS23" i="4"/>
  <c r="GJ20" i="4"/>
  <c r="BW23" i="4"/>
  <c r="GN20" i="4"/>
  <c r="CG23" i="4"/>
  <c r="GX20" i="4"/>
  <c r="BT24" i="4"/>
  <c r="GK21" i="4"/>
  <c r="CC24" i="4"/>
  <c r="GT21" i="4"/>
  <c r="CE24" i="4"/>
  <c r="GV21" i="4"/>
  <c r="BZ23" i="4"/>
  <c r="GQ20" i="4"/>
  <c r="BY23" i="4"/>
  <c r="GP20" i="4"/>
  <c r="CD23" i="4"/>
  <c r="GU20" i="4"/>
  <c r="CF24" i="4"/>
  <c r="GW21" i="4"/>
  <c r="CJ24" i="4"/>
  <c r="HA21" i="4"/>
  <c r="BS24" i="4"/>
  <c r="GJ21" i="4"/>
  <c r="CH24" i="4"/>
  <c r="GY21" i="4"/>
  <c r="CI24" i="4"/>
  <c r="GZ21" i="4"/>
  <c r="CA23" i="4"/>
  <c r="GR20" i="4"/>
  <c r="BQ23" i="4"/>
  <c r="GH20" i="4"/>
  <c r="Q5" i="3"/>
  <c r="AB29" i="4"/>
  <c r="AK29" i="4"/>
  <c r="BR22" i="4"/>
  <c r="AB31" i="4"/>
  <c r="BP118" i="3" s="1"/>
  <c r="AK31" i="4"/>
  <c r="CC22" i="4"/>
  <c r="BY22" i="4"/>
  <c r="BT22" i="4"/>
  <c r="CB22" i="4"/>
  <c r="BX22" i="4"/>
  <c r="CJ22" i="4"/>
  <c r="BV22" i="4"/>
  <c r="CG22" i="4"/>
  <c r="BZ22" i="4"/>
  <c r="BS22" i="4"/>
  <c r="CE22" i="4"/>
  <c r="BW22" i="4"/>
  <c r="BU22" i="4"/>
  <c r="BQ22" i="4"/>
  <c r="CF22" i="4"/>
  <c r="I156" i="8"/>
  <c r="AB31" i="8"/>
  <c r="AD31" i="8"/>
  <c r="AE31" i="8" s="1"/>
  <c r="AF31" i="8" s="1"/>
  <c r="K30" i="4"/>
  <c r="W68" i="4" s="1"/>
  <c r="K30" i="8"/>
  <c r="I154" i="8"/>
  <c r="I171" i="4" s="1"/>
  <c r="AB29" i="8"/>
  <c r="FM23" i="4"/>
  <c r="FM20" i="4"/>
  <c r="P172" i="4" s="1"/>
  <c r="AD125" i="13" s="1"/>
  <c r="BR23" i="4"/>
  <c r="FM22" i="4"/>
  <c r="FM21" i="4"/>
  <c r="P173" i="4" s="1"/>
  <c r="AD126" i="13" s="1"/>
  <c r="FM24" i="4"/>
  <c r="FM19" i="4"/>
  <c r="P171" i="4" s="1"/>
  <c r="AD124" i="13" s="1"/>
  <c r="AD133" i="13" l="1"/>
  <c r="AD132" i="13"/>
  <c r="AD131" i="13"/>
  <c r="AD127" i="13"/>
  <c r="AD134" i="13" s="1"/>
  <c r="P175" i="4"/>
  <c r="BP64" i="3"/>
  <c r="BP67" i="3"/>
  <c r="R173" i="4"/>
  <c r="AF126" i="13" s="1"/>
  <c r="AF133" i="13" s="1"/>
  <c r="BP81" i="3"/>
  <c r="O140" i="4"/>
  <c r="BP82" i="3"/>
  <c r="O142" i="4"/>
  <c r="BP84" i="3"/>
  <c r="O141" i="4"/>
  <c r="BP83" i="3"/>
  <c r="O147" i="4"/>
  <c r="J252" i="4" s="1"/>
  <c r="P252" i="4" s="1"/>
  <c r="T173" i="4"/>
  <c r="AK30" i="4"/>
  <c r="I165" i="4"/>
  <c r="O139" i="4"/>
  <c r="G80" i="13" s="1"/>
  <c r="G79" i="13" s="1"/>
  <c r="G63" i="13" s="1"/>
  <c r="I63" i="13" s="1"/>
  <c r="Q143" i="4"/>
  <c r="T171" i="4" s="1"/>
  <c r="R171" i="4"/>
  <c r="AB30" i="4"/>
  <c r="BP94" i="3" s="1"/>
  <c r="I155" i="8"/>
  <c r="AB30" i="8"/>
  <c r="AD30" i="8"/>
  <c r="AE30" i="8" s="1"/>
  <c r="AF30" i="8" s="1"/>
  <c r="I173" i="4"/>
  <c r="K173" i="4" s="1"/>
  <c r="K156" i="8"/>
  <c r="FI30" i="4"/>
  <c r="HB20" i="4"/>
  <c r="FI29" i="4"/>
  <c r="HB19" i="4"/>
  <c r="HB21" i="4"/>
  <c r="FI31" i="4"/>
  <c r="AF124" i="13" l="1"/>
  <c r="AF131" i="13" s="1"/>
  <c r="AA171" i="4"/>
  <c r="X54" i="4" s="1"/>
  <c r="AI124" i="13"/>
  <c r="T175" i="4"/>
  <c r="AK126" i="13"/>
  <c r="AK133" i="13" s="1"/>
  <c r="J15" i="13" s="1"/>
  <c r="P15" i="13" s="1"/>
  <c r="J244" i="4"/>
  <c r="P244" i="4" s="1"/>
  <c r="T244" i="4" s="1"/>
  <c r="O143" i="4"/>
  <c r="T143" i="4" s="1"/>
  <c r="I79" i="13" s="1"/>
  <c r="T139" i="4"/>
  <c r="I80" i="13" s="1"/>
  <c r="J247" i="4"/>
  <c r="P247" i="4" s="1"/>
  <c r="T247" i="4" s="1"/>
  <c r="X247" i="4" s="1"/>
  <c r="I41" i="13" s="1"/>
  <c r="T142" i="4"/>
  <c r="I83" i="13" s="1"/>
  <c r="J246" i="4"/>
  <c r="P246" i="4" s="1"/>
  <c r="T246" i="4" s="1"/>
  <c r="X246" i="4" s="1"/>
  <c r="T141" i="4"/>
  <c r="I82" i="13" s="1"/>
  <c r="J245" i="4"/>
  <c r="P245" i="4" s="1"/>
  <c r="T245" i="4" s="1"/>
  <c r="X245" i="4" s="1"/>
  <c r="I39" i="13" s="1"/>
  <c r="T140" i="4"/>
  <c r="I81" i="13" s="1"/>
  <c r="T147" i="4"/>
  <c r="W80" i="13"/>
  <c r="X173" i="4"/>
  <c r="Y173" i="4" s="1"/>
  <c r="M173" i="4"/>
  <c r="Q166" i="4"/>
  <c r="AD31" i="4" s="1"/>
  <c r="AE31" i="4" s="1"/>
  <c r="AF31" i="4" s="1"/>
  <c r="K165" i="4"/>
  <c r="M165" i="4" s="1"/>
  <c r="O165" i="4"/>
  <c r="R172" i="4"/>
  <c r="AA172" i="4" s="1"/>
  <c r="X68" i="4" s="1"/>
  <c r="Y68" i="4" s="1"/>
  <c r="M156" i="8"/>
  <c r="I172" i="4"/>
  <c r="I175" i="4" s="1"/>
  <c r="K155" i="8"/>
  <c r="O162" i="4" l="1"/>
  <c r="Y54" i="4"/>
  <c r="AB265" i="4"/>
  <c r="AA265" i="4" s="1"/>
  <c r="Z265" i="4" s="1"/>
  <c r="AI127" i="13"/>
  <c r="AI134" i="13" s="1"/>
  <c r="AI131" i="13"/>
  <c r="F15" i="13"/>
  <c r="R175" i="4"/>
  <c r="AF125" i="13"/>
  <c r="T248" i="4"/>
  <c r="X248" i="4" s="1"/>
  <c r="I37" i="13" s="1"/>
  <c r="X244" i="4"/>
  <c r="I38" i="13" s="1"/>
  <c r="Y80" i="13"/>
  <c r="Y79" i="13"/>
  <c r="W79" i="13"/>
  <c r="W63" i="13" s="1"/>
  <c r="Y63" i="13" s="1"/>
  <c r="G38" i="13"/>
  <c r="G37" i="13" s="1"/>
  <c r="O173" i="4"/>
  <c r="Q173" i="4" s="1"/>
  <c r="S173" i="4" s="1"/>
  <c r="U173" i="4" s="1"/>
  <c r="W173" i="4" s="1"/>
  <c r="M155" i="8"/>
  <c r="O156" i="8"/>
  <c r="AF132" i="13" l="1"/>
  <c r="AF127" i="13"/>
  <c r="AF134" i="13" s="1"/>
  <c r="O155" i="8"/>
  <c r="W59" i="8" l="1"/>
  <c r="Z59" i="8"/>
  <c r="R60" i="8"/>
  <c r="L98" i="8" s="1"/>
  <c r="K36" i="8" s="1"/>
  <c r="X29" i="8" s="1"/>
  <c r="Q154" i="8" l="1"/>
  <c r="AD29" i="8" s="1"/>
  <c r="K154" i="8"/>
  <c r="GN37" i="8" l="1"/>
  <c r="GJ46" i="8"/>
  <c r="GJ45" i="8"/>
  <c r="GL46" i="8"/>
  <c r="GL45" i="8"/>
  <c r="AE29" i="8"/>
  <c r="AF29" i="8" s="1"/>
  <c r="AF32" i="8" s="1"/>
  <c r="M154" i="8"/>
  <c r="O154" i="8" s="1"/>
  <c r="AM102" i="8" l="1"/>
  <c r="AL35" i="8"/>
  <c r="AL37" i="8"/>
  <c r="AM104" i="8"/>
  <c r="AC31" i="4" l="1"/>
  <c r="AJ31" i="4" l="1"/>
  <c r="O6" i="3" l="1"/>
  <c r="AL31" i="4"/>
  <c r="G12" i="5" s="1"/>
  <c r="B143" i="3" s="1"/>
  <c r="A143" i="3" l="1"/>
  <c r="C143" i="3"/>
  <c r="B154" i="3" l="1"/>
  <c r="B149" i="3"/>
  <c r="O68" i="11" l="1"/>
  <c r="O61" i="11" s="1"/>
  <c r="P68" i="4"/>
  <c r="P78" i="4" s="1"/>
  <c r="AB96" i="3" s="1"/>
  <c r="O74" i="4"/>
  <c r="F76" i="4"/>
  <c r="O60" i="4" l="1"/>
  <c r="P61" i="4"/>
  <c r="P65" i="4" s="1"/>
  <c r="AD69" i="3" s="1"/>
  <c r="AB97" i="3"/>
  <c r="P74" i="4"/>
  <c r="R68" i="4"/>
  <c r="Q68" i="4"/>
  <c r="Q78" i="4" s="1"/>
  <c r="AB95" i="3" s="1"/>
  <c r="O74" i="11"/>
  <c r="O77" i="11"/>
  <c r="D75" i="4" l="1"/>
  <c r="Q64" i="13" s="1"/>
  <c r="K99" i="4"/>
  <c r="Q61" i="4"/>
  <c r="Q65" i="4" s="1"/>
  <c r="AD68" i="3" s="1"/>
  <c r="AE68" i="4"/>
  <c r="L65" i="13"/>
  <c r="L189" i="4"/>
  <c r="Q50" i="4"/>
  <c r="Q74" i="4"/>
  <c r="O65" i="13"/>
  <c r="R74" i="4"/>
  <c r="AB67" i="4"/>
  <c r="T68" i="4"/>
  <c r="D68" i="4"/>
  <c r="Q65" i="13" s="1"/>
  <c r="J189" i="4"/>
  <c r="O60" i="11"/>
  <c r="P65" i="11"/>
  <c r="AI18" i="9" s="1"/>
  <c r="P60" i="4"/>
  <c r="R61" i="4"/>
  <c r="J99" i="4"/>
  <c r="I37" i="4" s="1"/>
  <c r="Q60" i="4" l="1"/>
  <c r="M36" i="4"/>
  <c r="N36" i="4" s="1"/>
  <c r="V29" i="4" s="1"/>
  <c r="J195" i="4"/>
  <c r="P189" i="4"/>
  <c r="AB69" i="4"/>
  <c r="AB72" i="4"/>
  <c r="AB70" i="4"/>
  <c r="AB71" i="4"/>
  <c r="J98" i="4"/>
  <c r="I36" i="4" s="1"/>
  <c r="L99" i="4"/>
  <c r="K37" i="4" s="1"/>
  <c r="X30" i="4" s="1"/>
  <c r="D74" i="4"/>
  <c r="L195" i="4"/>
  <c r="V180" i="4"/>
  <c r="V186" i="4" s="1"/>
  <c r="P60" i="11"/>
  <c r="J98" i="11" s="1"/>
  <c r="I36" i="11" s="1"/>
  <c r="Q60" i="11"/>
  <c r="K98" i="11" s="1"/>
  <c r="M36" i="11" s="1"/>
  <c r="N36" i="11" s="1"/>
  <c r="V29" i="11" s="1"/>
  <c r="R61" i="11"/>
  <c r="AB68" i="4"/>
  <c r="G23" i="13"/>
  <c r="G22" i="13" s="1"/>
  <c r="O64" i="13"/>
  <c r="M65" i="13"/>
  <c r="L64" i="13"/>
  <c r="D23" i="13"/>
  <c r="R60" i="4"/>
  <c r="T61" i="4"/>
  <c r="T74" i="4"/>
  <c r="BP97" i="3"/>
  <c r="M37" i="4"/>
  <c r="N37" i="4" s="1"/>
  <c r="V30" i="4" s="1"/>
  <c r="W30" i="4" s="1"/>
  <c r="O63" i="13" l="1"/>
  <c r="G21" i="13" s="1"/>
  <c r="AB64" i="13"/>
  <c r="W29" i="11"/>
  <c r="E23" i="13"/>
  <c r="D22" i="13"/>
  <c r="E22" i="13" s="1"/>
  <c r="J172" i="4"/>
  <c r="AC30" i="4"/>
  <c r="AJ30" i="4" s="1"/>
  <c r="D60" i="4"/>
  <c r="L98" i="4"/>
  <c r="K36" i="4" s="1"/>
  <c r="X29" i="4" s="1"/>
  <c r="P195" i="4"/>
  <c r="T180" i="4"/>
  <c r="L63" i="13"/>
  <c r="M64" i="13"/>
  <c r="T60" i="4"/>
  <c r="X61" i="4"/>
  <c r="T61" i="11"/>
  <c r="R60" i="11"/>
  <c r="W29" i="4"/>
  <c r="J169" i="11" l="1"/>
  <c r="M169" i="11" s="1"/>
  <c r="M176" i="11" s="1"/>
  <c r="T60" i="11"/>
  <c r="Q63" i="13"/>
  <c r="AB63" i="13"/>
  <c r="S172" i="4"/>
  <c r="AG125" i="13"/>
  <c r="X172" i="4"/>
  <c r="Y172" i="4" s="1"/>
  <c r="Q165" i="4"/>
  <c r="AD30" i="4" s="1"/>
  <c r="AE30" i="4" s="1"/>
  <c r="AF30" i="4" s="1"/>
  <c r="K172" i="4"/>
  <c r="D60" i="11"/>
  <c r="L98" i="11"/>
  <c r="K36" i="11" s="1"/>
  <c r="X29" i="11" s="1"/>
  <c r="X180" i="4"/>
  <c r="I23" i="13" s="1"/>
  <c r="T186" i="4"/>
  <c r="X186" i="4" s="1"/>
  <c r="I22" i="13" s="1"/>
  <c r="O5" i="3"/>
  <c r="AL30" i="4"/>
  <c r="G11" i="5" s="1"/>
  <c r="B142" i="3" s="1"/>
  <c r="J171" i="4"/>
  <c r="AC29" i="4"/>
  <c r="M63" i="13"/>
  <c r="D21" i="13"/>
  <c r="E21" i="13" s="1"/>
  <c r="AK125" i="13" l="1"/>
  <c r="AK132" i="13" s="1"/>
  <c r="J14" i="13" s="1"/>
  <c r="AG132" i="13"/>
  <c r="U172" i="4"/>
  <c r="M172" i="4"/>
  <c r="AJ29" i="4"/>
  <c r="O7" i="3" s="1"/>
  <c r="G13" i="5" s="1"/>
  <c r="AC34" i="4"/>
  <c r="S171" i="4"/>
  <c r="S175" i="4" s="1"/>
  <c r="K171" i="4"/>
  <c r="Q164" i="4"/>
  <c r="AD29" i="4" s="1"/>
  <c r="AE29" i="4" s="1"/>
  <c r="AF29" i="4" s="1"/>
  <c r="X171" i="4"/>
  <c r="J175" i="4"/>
  <c r="C142" i="3"/>
  <c r="A142" i="3"/>
  <c r="AC29" i="11"/>
  <c r="J171" i="11"/>
  <c r="I21" i="13"/>
  <c r="AG124" i="13" l="1"/>
  <c r="AK124" i="13" s="1"/>
  <c r="K171" i="11"/>
  <c r="J175" i="11"/>
  <c r="J176" i="11" s="1"/>
  <c r="S171" i="11"/>
  <c r="S175" i="11" s="1"/>
  <c r="X171" i="11"/>
  <c r="Q164" i="11"/>
  <c r="AD29" i="11" s="1"/>
  <c r="AE29" i="11" s="1"/>
  <c r="AF29" i="11" s="1"/>
  <c r="W172" i="4"/>
  <c r="O172" i="4"/>
  <c r="Q172" i="4" s="1"/>
  <c r="X175" i="4"/>
  <c r="Y171" i="4"/>
  <c r="Y175" i="4" s="1"/>
  <c r="K175" i="4"/>
  <c r="M171" i="4"/>
  <c r="U171" i="4"/>
  <c r="U175" i="4" s="1"/>
  <c r="B148" i="3"/>
  <c r="B153" i="3"/>
  <c r="AJ29" i="11"/>
  <c r="O14" i="3" s="1"/>
  <c r="G13" i="9" s="1"/>
  <c r="AC34" i="11"/>
  <c r="AF32" i="4"/>
  <c r="AF34" i="4"/>
  <c r="O4" i="3"/>
  <c r="O3" i="3"/>
  <c r="AL29" i="4"/>
  <c r="G10" i="5" s="1"/>
  <c r="B141" i="3" s="1"/>
  <c r="P14" i="13"/>
  <c r="F14" i="13"/>
  <c r="AL29" i="11" l="1"/>
  <c r="G10" i="9" s="1"/>
  <c r="O10" i="3"/>
  <c r="G9" i="9" s="1"/>
  <c r="O11" i="3"/>
  <c r="AG131" i="13"/>
  <c r="AG127" i="13"/>
  <c r="AG134" i="13" s="1"/>
  <c r="C141" i="3"/>
  <c r="A141" i="3"/>
  <c r="G9" i="5"/>
  <c r="AK131" i="13"/>
  <c r="J13" i="13" s="1"/>
  <c r="AK127" i="13"/>
  <c r="AK134" i="13" s="1"/>
  <c r="J12" i="13" s="1"/>
  <c r="Y171" i="11"/>
  <c r="Y175" i="11" s="1"/>
  <c r="X175" i="11"/>
  <c r="O171" i="4"/>
  <c r="M175" i="4"/>
  <c r="W171" i="4"/>
  <c r="W175" i="4" s="1"/>
  <c r="AF32" i="11"/>
  <c r="AF34" i="11"/>
  <c r="K175" i="11"/>
  <c r="U171" i="11"/>
  <c r="U175" i="11" s="1"/>
  <c r="M171" i="11"/>
  <c r="P12" i="13" l="1"/>
  <c r="F12" i="13"/>
  <c r="O175" i="4"/>
  <c r="Q171" i="4"/>
  <c r="Q175" i="4" s="1"/>
  <c r="P13" i="13"/>
  <c r="F13" i="13"/>
  <c r="B147" i="3"/>
  <c r="C147" i="3" s="1"/>
  <c r="F150" i="3"/>
  <c r="B152" i="3"/>
  <c r="C152" i="3" s="1"/>
  <c r="M175" i="11"/>
  <c r="W171" i="11"/>
  <c r="W175" i="11" s="1"/>
  <c r="O171" i="11"/>
  <c r="Q171" i="11" l="1"/>
  <c r="Q175" i="11" s="1"/>
  <c r="O175" i="11"/>
  <c r="D147" i="3"/>
  <c r="C148" i="3"/>
  <c r="D152" i="3"/>
  <c r="C153" i="3"/>
  <c r="D148" i="3" l="1"/>
  <c r="C149" i="3"/>
  <c r="D153" i="3"/>
  <c r="C154" i="3"/>
  <c r="D154" i="3" l="1"/>
  <c r="E154" i="3" s="1"/>
  <c r="D149" i="3"/>
  <c r="E150" i="3" s="1"/>
</calcChain>
</file>

<file path=xl/sharedStrings.xml><?xml version="1.0" encoding="utf-8"?>
<sst xmlns="http://schemas.openxmlformats.org/spreadsheetml/2006/main" count="3912" uniqueCount="402">
  <si>
    <t xml:space="preserve">Additional Volume required </t>
  </si>
  <si>
    <t>Total volume*Volume change given by user in simulator</t>
  </si>
  <si>
    <t>Current Volume</t>
  </si>
  <si>
    <t>Elasticity</t>
  </si>
  <si>
    <t>New metric value</t>
  </si>
  <si>
    <t>MAT 20</t>
  </si>
  <si>
    <t>Current pack level standings</t>
  </si>
  <si>
    <t>% change in metric achieved</t>
  </si>
  <si>
    <t>% diff of New metric value and current pack level stnadings</t>
  </si>
  <si>
    <t>% change in volume achieved</t>
  </si>
  <si>
    <t>Elasicity(B5) * %change in metric achieved</t>
  </si>
  <si>
    <t>Tab - Calculation tab</t>
  </si>
  <si>
    <t>Pepsi Blue</t>
  </si>
  <si>
    <t>PET  1.95</t>
  </si>
  <si>
    <t>PET 1.5</t>
  </si>
  <si>
    <t>PET  1.45</t>
  </si>
  <si>
    <t>PET 1.26</t>
  </si>
  <si>
    <t>PET  1 L</t>
  </si>
  <si>
    <t>PET  640</t>
  </si>
  <si>
    <t>PET  550</t>
  </si>
  <si>
    <t>PET 430</t>
  </si>
  <si>
    <t>PET  410</t>
  </si>
  <si>
    <t>CAN 375 Ml</t>
  </si>
  <si>
    <t>PET  300 +345 Ml</t>
  </si>
  <si>
    <t xml:space="preserve">CAN 245 Ml </t>
  </si>
  <si>
    <t>Packs</t>
  </si>
  <si>
    <t>WD</t>
  </si>
  <si>
    <t>ASP</t>
  </si>
  <si>
    <t>Price per unit</t>
  </si>
  <si>
    <t>Current Standings - March 2020</t>
  </si>
  <si>
    <t>Pepsi Black</t>
  </si>
  <si>
    <t>PET  1.45 L</t>
  </si>
  <si>
    <t>PET  550 Ml</t>
  </si>
  <si>
    <t>PET  440 ML</t>
  </si>
  <si>
    <t>CAN 375 ML</t>
  </si>
  <si>
    <t>Can 325 Ml</t>
  </si>
  <si>
    <t>CAN 245 Ml</t>
  </si>
  <si>
    <t>CAN 240 ML</t>
  </si>
  <si>
    <t>Mirinda</t>
  </si>
  <si>
    <t>PET 1.9 L</t>
  </si>
  <si>
    <t xml:space="preserve">PET  1.45 L </t>
  </si>
  <si>
    <t>PET  1.26 L</t>
  </si>
  <si>
    <t>PET 535 ML</t>
  </si>
  <si>
    <t>PET  400 + 440 Ml</t>
  </si>
  <si>
    <t xml:space="preserve">PET  330 + 345 Ml  </t>
  </si>
  <si>
    <t>PET  300 Ml</t>
  </si>
  <si>
    <t>PET  300 + 345 Ml</t>
  </si>
  <si>
    <t>MAT 19</t>
  </si>
  <si>
    <t>FY 2019</t>
  </si>
  <si>
    <t>YTD 2019</t>
  </si>
  <si>
    <t>YTD 2020</t>
  </si>
  <si>
    <t>Volume in 8 oz cases (Nielsen)</t>
  </si>
  <si>
    <t>Brand</t>
  </si>
  <si>
    <t>Internal</t>
  </si>
  <si>
    <t>National</t>
  </si>
  <si>
    <t>Current Internal Volume (2019)
Million 8 Oz Cases</t>
  </si>
  <si>
    <t>Current Internal Volume (2019 YTD)</t>
  </si>
  <si>
    <t>Current Internal Volume (2020 YTD)</t>
  </si>
  <si>
    <t>2020 Volume</t>
  </si>
  <si>
    <t>PET  1.95 L</t>
  </si>
  <si>
    <t>PET 1.5 L</t>
  </si>
  <si>
    <t>PET 1.26 L</t>
  </si>
  <si>
    <t>PET 1.45 L</t>
  </si>
  <si>
    <t>PET 430 Ml</t>
  </si>
  <si>
    <t>PET 410 Ml</t>
  </si>
  <si>
    <t>PET 550 Ml</t>
  </si>
  <si>
    <t>PET 440 ML</t>
  </si>
  <si>
    <t>PET 400 + 440 Ml</t>
  </si>
  <si>
    <t xml:space="preserve">PET 330 + 345 Ml  </t>
  </si>
  <si>
    <t>PET 300 Ml</t>
  </si>
  <si>
    <t>PET 300 +345 Ml</t>
  </si>
  <si>
    <t>Internal Vol (YTD2020)</t>
  </si>
  <si>
    <t>Internal Vol (2020 Forecast)</t>
  </si>
  <si>
    <t>Metric</t>
  </si>
  <si>
    <t>Price Per Unit (THB)</t>
  </si>
  <si>
    <t>Distribution (WD)</t>
  </si>
  <si>
    <t>Optimize</t>
  </si>
  <si>
    <t>User Input Required</t>
  </si>
  <si>
    <t>%Growth Ambition</t>
  </si>
  <si>
    <t>Growth Achieved</t>
  </si>
  <si>
    <t>Current Pack Level Standings*</t>
  </si>
  <si>
    <t>Recommendations*</t>
  </si>
  <si>
    <t>Portfolio</t>
  </si>
  <si>
    <t>Overall</t>
  </si>
  <si>
    <t>Change the contraints from the cells below</t>
  </si>
  <si>
    <t>Distribution</t>
  </si>
  <si>
    <t>Trade</t>
  </si>
  <si>
    <t>Current DA</t>
  </si>
  <si>
    <t>Max DA%GR</t>
  </si>
  <si>
    <t>Pack Mix</t>
  </si>
  <si>
    <t>D&amp;A</t>
  </si>
  <si>
    <t>Media - TV</t>
  </si>
  <si>
    <t>WOA</t>
  </si>
  <si>
    <t>Wkly GRP</t>
  </si>
  <si>
    <t>TV</t>
  </si>
  <si>
    <t>Spend</t>
  </si>
  <si>
    <t>GRP</t>
  </si>
  <si>
    <t>Drama</t>
  </si>
  <si>
    <t>Entertainment</t>
  </si>
  <si>
    <t>Media - Digital Spend Cap</t>
  </si>
  <si>
    <t>News</t>
  </si>
  <si>
    <t>Media - Digital</t>
  </si>
  <si>
    <t>Series</t>
  </si>
  <si>
    <t>Cost per Impressions</t>
  </si>
  <si>
    <t>Facebook</t>
  </si>
  <si>
    <t>Others</t>
  </si>
  <si>
    <t>Youtube</t>
  </si>
  <si>
    <t>Digital Spends</t>
  </si>
  <si>
    <t>Total Spend</t>
  </si>
  <si>
    <t>Trade Desk</t>
  </si>
  <si>
    <t>FB</t>
  </si>
  <si>
    <t>Twitter</t>
  </si>
  <si>
    <t>Optimal GRP Range</t>
  </si>
  <si>
    <t>Saturation GRP</t>
  </si>
  <si>
    <t>Feature Film</t>
  </si>
  <si>
    <t>Price Per Unit</t>
  </si>
  <si>
    <t>Volume gained (in 8 oz cases)</t>
  </si>
  <si>
    <t>Total Thailand</t>
  </si>
  <si>
    <t>Mini Series</t>
  </si>
  <si>
    <t>Line</t>
  </si>
  <si>
    <t>Partnership</t>
  </si>
  <si>
    <t>Tiktok</t>
  </si>
  <si>
    <t xml:space="preserve">                   Pepsi Black </t>
  </si>
  <si>
    <t xml:space="preserve">                   Mirinda </t>
  </si>
  <si>
    <t xml:space="preserve">                      Pepsi Blue</t>
  </si>
  <si>
    <t>What is %Growth Ambition
(Select from 1 to 10)</t>
  </si>
  <si>
    <t>Current Volume (2019)
(in Million KG)</t>
  </si>
  <si>
    <t>Expected Volume after growth</t>
  </si>
  <si>
    <t>Additional Volume required</t>
  </si>
  <si>
    <t>New Metric Value</t>
  </si>
  <si>
    <t>% Change in Metric achieved</t>
  </si>
  <si>
    <t>% Change in Volume achieved</t>
  </si>
  <si>
    <t>Change in Volume achieved</t>
  </si>
  <si>
    <t>Price Per Unit (Mar 2020)</t>
  </si>
  <si>
    <t>Cost of Price Reduction</t>
  </si>
  <si>
    <t>New ASP recommended</t>
  </si>
  <si>
    <t>PP change in distribution</t>
  </si>
  <si>
    <t>Max Distribution</t>
  </si>
  <si>
    <t>Volume gained by Price and distribution</t>
  </si>
  <si>
    <t>To ensure 0.5 step</t>
  </si>
  <si>
    <t>Current Brand level standings</t>
  </si>
  <si>
    <t>DA%GR</t>
  </si>
  <si>
    <t>TV Spends MAT 2020</t>
  </si>
  <si>
    <t>Digital Spends MAT 2020</t>
  </si>
  <si>
    <t>Volume ( 8Oz cases)</t>
  </si>
  <si>
    <t>Max Limits</t>
  </si>
  <si>
    <t>Max Allowed DA%GR</t>
  </si>
  <si>
    <t>Max TV GRPs</t>
  </si>
  <si>
    <t>Max TV Spends</t>
  </si>
  <si>
    <t>Max Digital Spends</t>
  </si>
  <si>
    <t>Weeks on Air</t>
  </si>
  <si>
    <t>Weekly GRP's</t>
  </si>
  <si>
    <t>Optimum GRP Range : 130-190 GRP per Week</t>
  </si>
  <si>
    <t>Optimum GRP Range : 120 - 205 GRP per week</t>
  </si>
  <si>
    <t>Optimum GRP Range : 120 - 210 GRP per Week</t>
  </si>
  <si>
    <t>TV ROI (2020)</t>
  </si>
  <si>
    <t>CPRP (2020)</t>
  </si>
  <si>
    <t>Current GRP's (2020)</t>
  </si>
  <si>
    <t>Genre</t>
  </si>
  <si>
    <t>Effectiveness</t>
  </si>
  <si>
    <t>Cost/GRP</t>
  </si>
  <si>
    <t>%Ratio</t>
  </si>
  <si>
    <t>Min GRP</t>
  </si>
  <si>
    <t>Additional GRP</t>
  </si>
  <si>
    <t>Total new GRP</t>
  </si>
  <si>
    <t>Total New Spend</t>
  </si>
  <si>
    <t>New Volume Total</t>
  </si>
  <si>
    <t>Initial Volume</t>
  </si>
  <si>
    <t>Volume Change</t>
  </si>
  <si>
    <t>GRP to be Simulated</t>
  </si>
  <si>
    <t>Additional GRP Sum</t>
  </si>
  <si>
    <t>Light Entertainment</t>
  </si>
  <si>
    <t>Contributions - Current</t>
  </si>
  <si>
    <t>Contributions - New</t>
  </si>
  <si>
    <t>TV GRP simulated</t>
  </si>
  <si>
    <t>TV GRP Recc</t>
  </si>
  <si>
    <t>TV Spend recc</t>
  </si>
  <si>
    <t>TV Volume Recc</t>
  </si>
  <si>
    <t>Digital ROI</t>
  </si>
  <si>
    <t>Additional Spends (THB)</t>
  </si>
  <si>
    <t>Additional Volume (TV)</t>
  </si>
  <si>
    <t>Elasticity of DA%GR</t>
  </si>
  <si>
    <t>New DA%GR</t>
  </si>
  <si>
    <t>%change in volume Due to DA</t>
  </si>
  <si>
    <t>Change in Volume Achieved (DA)</t>
  </si>
  <si>
    <t>% Overall Change</t>
  </si>
  <si>
    <t>Cost of D&amp;A Increment</t>
  </si>
  <si>
    <t>Overall Cost</t>
  </si>
  <si>
    <t>Rounded Up Growth</t>
  </si>
  <si>
    <t>TV Effectiveness (2020)</t>
  </si>
  <si>
    <t>TV Spends (2020)</t>
  </si>
  <si>
    <t>TV GRP (2020)</t>
  </si>
  <si>
    <t>effectiveness*current GRP</t>
  </si>
  <si>
    <t>effectiveness*Max GRP</t>
  </si>
  <si>
    <t>TV Volume</t>
  </si>
  <si>
    <t>TV Volume Recommended</t>
  </si>
  <si>
    <t>Cost per GRP UDF</t>
  </si>
  <si>
    <t>New Spend</t>
  </si>
  <si>
    <t>Additional Spend</t>
  </si>
  <si>
    <t>Change in Volume Achieved DA ASP Dist TV</t>
  </si>
  <si>
    <t>MAXIMUM WD DISTRIBUTION CONSTRAINT</t>
  </si>
  <si>
    <t>Minimum WD</t>
  </si>
  <si>
    <t>Maximum Price</t>
  </si>
  <si>
    <t>Platform</t>
  </si>
  <si>
    <t>TheTradedesk</t>
  </si>
  <si>
    <t xml:space="preserve">Twitter </t>
  </si>
  <si>
    <t>Impressions</t>
  </si>
  <si>
    <t>New Impressions</t>
  </si>
  <si>
    <t>Cost per impressions</t>
  </si>
  <si>
    <t>Current Digital Spend</t>
  </si>
  <si>
    <t>Additional Volume (Digital)</t>
  </si>
  <si>
    <t>Appnexus</t>
  </si>
  <si>
    <t>TheTradeDesk</t>
  </si>
  <si>
    <t>Volume Change required</t>
  </si>
  <si>
    <t>Volume from TV</t>
  </si>
  <si>
    <t>Remaining</t>
  </si>
  <si>
    <t>Volume from Digital</t>
  </si>
  <si>
    <t>Overall Change in Volume achoieved</t>
  </si>
  <si>
    <t>Overall Price Per unit by Brand</t>
  </si>
  <si>
    <t>Maximum price constraints</t>
  </si>
  <si>
    <t>&gt;=0</t>
  </si>
  <si>
    <t>Maximum price change</t>
  </si>
  <si>
    <t>Current WOA</t>
  </si>
  <si>
    <t>WOA User Input</t>
  </si>
  <si>
    <t>Max ROI GRP</t>
  </si>
  <si>
    <t>MAX WOA</t>
  </si>
  <si>
    <t>Max GRP</t>
  </si>
  <si>
    <t>Cost per imp - User Input</t>
  </si>
  <si>
    <t>%Cap (optimal Value)</t>
  </si>
  <si>
    <t>Max Spend</t>
  </si>
  <si>
    <t>Initial Cost per Volume</t>
  </si>
  <si>
    <t>New Cost per Volume</t>
  </si>
  <si>
    <t>KOL &amp; Advert</t>
  </si>
  <si>
    <t>Other Displays</t>
  </si>
  <si>
    <t>ROI</t>
  </si>
  <si>
    <t>Volume from Dist</t>
  </si>
  <si>
    <t>Volume from Dist only</t>
  </si>
  <si>
    <t>Dummy Cost</t>
  </si>
  <si>
    <t>Total Volume</t>
  </si>
  <si>
    <t>For Checking</t>
  </si>
  <si>
    <t>Total Volume to be gained</t>
  </si>
  <si>
    <t>Volume from Price</t>
  </si>
  <si>
    <t>Volume from DA</t>
  </si>
  <si>
    <t>Overall Change in Volume achieved</t>
  </si>
  <si>
    <t>Volume</t>
  </si>
  <si>
    <t>Media - KOL</t>
  </si>
  <si>
    <t>OOH Eyeballs</t>
  </si>
  <si>
    <t>New Eyeballs</t>
  </si>
  <si>
    <t>Cost per EyeBall</t>
  </si>
  <si>
    <t>Additional Volume (OOH)</t>
  </si>
  <si>
    <t>Cost per Eyeball - User Input</t>
  </si>
  <si>
    <t>Cost Per Eyeball</t>
  </si>
  <si>
    <t>OOH</t>
  </si>
  <si>
    <t>KOL</t>
  </si>
  <si>
    <t>DIGITAL</t>
  </si>
  <si>
    <t>Media - OOH</t>
  </si>
  <si>
    <t>New Volume</t>
  </si>
  <si>
    <t>Current Spend</t>
  </si>
  <si>
    <t>Current Levels</t>
  </si>
  <si>
    <t>Additional Volume(KOL)</t>
  </si>
  <si>
    <t>Change in Volume Achieved DA ASP Digi TV KOL OOH</t>
  </si>
  <si>
    <t>NewCost per EyeBall</t>
  </si>
  <si>
    <t>% chg in Volume due to KOL</t>
  </si>
  <si>
    <t>KOL Spends</t>
  </si>
  <si>
    <t>OOH Spend</t>
  </si>
  <si>
    <t>Volume from KOL</t>
  </si>
  <si>
    <t>Volume from OOH</t>
  </si>
  <si>
    <t>For checking</t>
  </si>
  <si>
    <t>Current Volume (2019)
8 oz cases</t>
  </si>
  <si>
    <t>Volume Gained (in 8 oz cases)</t>
  </si>
  <si>
    <t>Difference in growth achieved</t>
  </si>
  <si>
    <t>Difference Volumes</t>
  </si>
  <si>
    <t>Growth achived for:</t>
  </si>
  <si>
    <t>Missed growth taget for:</t>
  </si>
  <si>
    <t>str1_Pepsi_Blue</t>
  </si>
  <si>
    <t>str1_Pepsi_Black</t>
  </si>
  <si>
    <t>str1_Mirinda</t>
  </si>
  <si>
    <t>str2_Pepsi_Blue</t>
  </si>
  <si>
    <t>str2_Pepsi_Black</t>
  </si>
  <si>
    <t>str2_Mirinda</t>
  </si>
  <si>
    <t>Achieved Growth (%)</t>
  </si>
  <si>
    <t>Target Growth (%)</t>
  </si>
  <si>
    <t>Growth Missed (%)</t>
  </si>
  <si>
    <t>Current Volume (8 oz cases)</t>
  </si>
  <si>
    <t>New Volume (8 oz cases)</t>
  </si>
  <si>
    <t>Select Summary</t>
  </si>
  <si>
    <t>Simulator Summary</t>
  </si>
  <si>
    <t>Calculator Summary</t>
  </si>
  <si>
    <t>Execution 
Levers</t>
  </si>
  <si>
    <t>Vol Contri</t>
  </si>
  <si>
    <t>Curent</t>
  </si>
  <si>
    <t>New</t>
  </si>
  <si>
    <t>Additional</t>
  </si>
  <si>
    <t xml:space="preserve">Current </t>
  </si>
  <si>
    <t>ATL</t>
  </si>
  <si>
    <t>Digital</t>
  </si>
  <si>
    <t>Total</t>
  </si>
  <si>
    <t>Region'</t>
  </si>
  <si>
    <t>Additional Volume Contributed (in 8 oz cases)</t>
  </si>
  <si>
    <t>Price</t>
  </si>
  <si>
    <t>Naional</t>
  </si>
  <si>
    <t>Change in Volume Achieved DA ASP Dist Digi TV KOL OOH</t>
  </si>
  <si>
    <t>current Volume</t>
  </si>
  <si>
    <t>Thailand Beverages Simulator - 2020</t>
  </si>
  <si>
    <t>Pack mix Internal Vol (YTD2020)</t>
  </si>
  <si>
    <t>ASP (MAT 20)</t>
  </si>
  <si>
    <t>New ASP</t>
  </si>
  <si>
    <t>Overall New ASP</t>
  </si>
  <si>
    <t>Overall ASP calculated</t>
  </si>
  <si>
    <t>ROI Initial</t>
  </si>
  <si>
    <t>ROI New</t>
  </si>
  <si>
    <t>2019 Act</t>
  </si>
  <si>
    <t>21 vs 19</t>
  </si>
  <si>
    <t>21 vs 20</t>
  </si>
  <si>
    <t>Pepsi</t>
  </si>
  <si>
    <t>Actual numbers</t>
  </si>
  <si>
    <t>20 vs 19</t>
  </si>
  <si>
    <t>Actual numbers without postmix</t>
  </si>
  <si>
    <t>Pepsi Blue Original Volume</t>
  </si>
  <si>
    <t>Pepsi Blue New Volume</t>
  </si>
  <si>
    <t>Pepsi Blue Original Spend</t>
  </si>
  <si>
    <t>Pepsi Blue New Spend</t>
  </si>
  <si>
    <t>Original ASP</t>
  </si>
  <si>
    <t>Original revenue</t>
  </si>
  <si>
    <t>New Revenue</t>
  </si>
  <si>
    <t>Pepsi Black Original Volume</t>
  </si>
  <si>
    <t>Pepsi Black New Volume</t>
  </si>
  <si>
    <t>Pepsi Black Original Spend</t>
  </si>
  <si>
    <t>Pepsi Black New Spend</t>
  </si>
  <si>
    <t>Mirinda Original Volume</t>
  </si>
  <si>
    <t>Mirinda New Volume</t>
  </si>
  <si>
    <t>Mirinda Original Spend</t>
  </si>
  <si>
    <t>Mirinda New Spend</t>
  </si>
  <si>
    <t>Portfolio Revenue Original</t>
  </si>
  <si>
    <t>Portfolio Revenue New</t>
  </si>
  <si>
    <t>Portfolio Spend Original</t>
  </si>
  <si>
    <t>Portfolio Spend New</t>
  </si>
  <si>
    <t>Portfolio ROI Original</t>
  </si>
  <si>
    <t>Portfolio ROI New</t>
  </si>
  <si>
    <t>Given by Dang</t>
  </si>
  <si>
    <t>Calculation from Internal volume file</t>
  </si>
  <si>
    <t>Cost per GRP</t>
  </si>
  <si>
    <t>New CPRP</t>
  </si>
  <si>
    <t>Halo TV Pepsi Black</t>
  </si>
  <si>
    <t>CPRP</t>
  </si>
  <si>
    <t>Extra spend</t>
  </si>
  <si>
    <t>Halo TV Pepsi Blue</t>
  </si>
  <si>
    <t>Pepsi TM</t>
  </si>
  <si>
    <t>Actual TV Spends (2020)</t>
  </si>
  <si>
    <t>TV Spends (2020) with Halo</t>
  </si>
  <si>
    <t>Halo impact</t>
  </si>
  <si>
    <t>effectiveness</t>
  </si>
  <si>
    <t>Halo Pepsi Blue TV</t>
  </si>
  <si>
    <t>From Black model</t>
  </si>
  <si>
    <t>Halo Pepsi Black TV</t>
  </si>
  <si>
    <t>From Blue model</t>
  </si>
  <si>
    <t>own variable contri</t>
  </si>
  <si>
    <t>New Initial Volume</t>
  </si>
  <si>
    <t>Volume from Blue</t>
  </si>
  <si>
    <t>Volume from Black</t>
  </si>
  <si>
    <t>Spend from Blue</t>
  </si>
  <si>
    <t>Spend from Black</t>
  </si>
  <si>
    <t>% Spend Blue</t>
  </si>
  <si>
    <t>% Spend Black</t>
  </si>
  <si>
    <t xml:space="preserve">Halo impact </t>
  </si>
  <si>
    <t>Halo Pepsi Blue Digital</t>
  </si>
  <si>
    <t>Halo Pepsi Black Digital</t>
  </si>
  <si>
    <t>New initial volume</t>
  </si>
  <si>
    <t>Ratio</t>
  </si>
  <si>
    <t>AppNexus</t>
  </si>
  <si>
    <t>Per imp volume incurred by Pepsi Blue</t>
  </si>
  <si>
    <t>Per imp volume incurred by Pepsi Black</t>
  </si>
  <si>
    <t>Spend Pepsi Blue</t>
  </si>
  <si>
    <t>Spend Pepsi Black</t>
  </si>
  <si>
    <t>Pepsi TM volume</t>
  </si>
  <si>
    <t>Halo Digital from Pepsi Blue</t>
  </si>
  <si>
    <t xml:space="preserve">Pepsi TM </t>
  </si>
  <si>
    <t>Total Spend TV</t>
  </si>
  <si>
    <t>Required Growth</t>
  </si>
  <si>
    <t>Volume from other factors except TV</t>
  </si>
  <si>
    <t>volume from other factors except TV</t>
  </si>
  <si>
    <t>Volume required from TV</t>
  </si>
  <si>
    <t>Pepsi TM Total Digital Spend</t>
  </si>
  <si>
    <t>Blue</t>
  </si>
  <si>
    <t>Black</t>
  </si>
  <si>
    <t>Actual price</t>
  </si>
  <si>
    <t>New price</t>
  </si>
  <si>
    <t>Volume 2019</t>
  </si>
  <si>
    <t>Halo</t>
  </si>
  <si>
    <t>Spend Own</t>
  </si>
  <si>
    <t>GRP Own</t>
  </si>
  <si>
    <t>Spend Halo</t>
  </si>
  <si>
    <t>GRP Halo</t>
  </si>
  <si>
    <t>Initial Volume Gained (in 8 oz cases)</t>
  </si>
  <si>
    <t>New Volume Gained (in 8 oz cases)</t>
  </si>
  <si>
    <t>Minimum price constraints</t>
  </si>
  <si>
    <t>ROI Pepsi TM</t>
  </si>
  <si>
    <t>Simulator</t>
  </si>
  <si>
    <t>Calculator</t>
  </si>
  <si>
    <t>Max Trade level</t>
  </si>
  <si>
    <t>KOL &amp; Partnership Spends</t>
  </si>
  <si>
    <t>Media - KOL &amp; Partnership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</si>
</sst>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(* #,##0.00_);_(* \(#,##0.00\);_(* &quot;-&quot;??_);_(@_)"/>
    <numFmt numFmtId="164" formatCode="_(* #,##0_);_(* \(#,##0\);_(* &quot;-&quot;??_);_(@_)"/>
    <numFmt numFmtId="165" formatCode="_ * #,##0_ ;_ * \-#,##0_ ;_ * &quot;-&quot;??_ ;_ @_ "/>
    <numFmt numFmtId="166" formatCode="0.0%"/>
    <numFmt numFmtId="167" formatCode="#.00,,\ &quot;M&quot;"/>
    <numFmt numFmtId="168" formatCode="_ * #,##0.00_ ;_ * \-#,##0.00_ ;_ * &quot;-&quot;??_ ;_ @_ "/>
    <numFmt numFmtId="169" formatCode="_(* #,##0.0_);_(* \(#,##0.0\);_(* &quot;-&quot;?_);_(@_)"/>
    <numFmt numFmtId="170" formatCode="_(* #,##0.000_);_(* \(#,##0.000\);_(* &quot;-&quot;??_);_(@_)"/>
    <numFmt numFmtId="171" formatCode="0.000"/>
    <numFmt numFmtId="172" formatCode="0.000000000"/>
    <numFmt numFmtId="173" formatCode="#,,\ &quot;M&quot;"/>
    <numFmt numFmtId="174" formatCode="#.0,,\ &quot;M&quot;"/>
    <numFmt numFmtId="175" formatCode="#,##0.0"/>
    <numFmt numFmtId="176" formatCode="0.0"/>
    <numFmt numFmtId="177" formatCode="0.0000"/>
    <numFmt numFmtId="178" formatCode="0.00000"/>
    <numFmt numFmtId="179" formatCode="_(* #,##0.0_);_(* \(#,##0.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i/>
      <sz val="14"/>
      <color rgb="FFC0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338E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B952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</cellStyleXfs>
  <cellXfs count="602">
    <xf numFmtId="0" fontId="0" fillId="0" borderId="0" xfId="0"/>
    <xf numFmtId="17" fontId="0" fillId="0" borderId="0" xfId="0" applyNumberFormat="1"/>
    <xf numFmtId="0" fontId="0" fillId="2" borderId="0" xfId="0" applyFill="1"/>
    <xf numFmtId="2" fontId="0" fillId="0" borderId="0" xfId="0" applyNumberFormat="1"/>
    <xf numFmtId="164" fontId="0" fillId="0" borderId="0" xfId="1" applyNumberFormat="1" applyFont="1"/>
    <xf numFmtId="0" fontId="3" fillId="0" borderId="1" xfId="0" applyFont="1" applyFill="1" applyBorder="1" applyAlignment="1" applyProtection="1">
      <alignment horizontal="center"/>
    </xf>
    <xf numFmtId="0" fontId="0" fillId="0" borderId="4" xfId="0" applyBorder="1" applyProtection="1"/>
    <xf numFmtId="9" fontId="0" fillId="0" borderId="5" xfId="0" applyNumberFormat="1" applyBorder="1" applyProtection="1"/>
    <xf numFmtId="165" fontId="0" fillId="3" borderId="0" xfId="0" applyNumberFormat="1" applyFill="1"/>
    <xf numFmtId="0" fontId="0" fillId="0" borderId="0" xfId="0" applyProtection="1"/>
    <xf numFmtId="0" fontId="0" fillId="0" borderId="4" xfId="0" applyBorder="1"/>
    <xf numFmtId="2" fontId="0" fillId="0" borderId="5" xfId="0" applyNumberFormat="1" applyBorder="1"/>
    <xf numFmtId="0" fontId="8" fillId="4" borderId="10" xfId="0" applyFont="1" applyFill="1" applyBorder="1" applyAlignment="1" applyProtection="1">
      <alignment horizontal="center" wrapText="1"/>
    </xf>
    <xf numFmtId="0" fontId="0" fillId="0" borderId="5" xfId="0" applyBorder="1" applyAlignment="1" applyProtection="1">
      <alignment horizontal="center" wrapText="1"/>
    </xf>
    <xf numFmtId="164" fontId="5" fillId="0" borderId="5" xfId="1" applyNumberFormat="1" applyFont="1" applyBorder="1" applyAlignment="1">
      <alignment horizontal="right" vertical="center"/>
    </xf>
    <xf numFmtId="164" fontId="0" fillId="3" borderId="0" xfId="1" applyNumberFormat="1" applyFont="1" applyFill="1"/>
    <xf numFmtId="164" fontId="0" fillId="0" borderId="5" xfId="1" applyNumberFormat="1" applyFont="1" applyBorder="1"/>
    <xf numFmtId="0" fontId="0" fillId="0" borderId="0" xfId="0" applyBorder="1"/>
    <xf numFmtId="0" fontId="0" fillId="5" borderId="5" xfId="0" applyFill="1" applyBorder="1"/>
    <xf numFmtId="0" fontId="0" fillId="0" borderId="5" xfId="0" applyBorder="1"/>
    <xf numFmtId="0" fontId="0" fillId="0" borderId="5" xfId="0" applyFill="1" applyBorder="1"/>
    <xf numFmtId="2" fontId="0" fillId="0" borderId="5" xfId="0" applyNumberFormat="1" applyFill="1" applyBorder="1"/>
    <xf numFmtId="164" fontId="0" fillId="0" borderId="12" xfId="1" applyNumberFormat="1" applyFont="1" applyFill="1" applyBorder="1" applyProtection="1"/>
    <xf numFmtId="164" fontId="0" fillId="0" borderId="5" xfId="1" applyNumberFormat="1" applyFont="1" applyFill="1" applyBorder="1"/>
    <xf numFmtId="2" fontId="0" fillId="0" borderId="5" xfId="1" applyNumberFormat="1" applyFont="1" applyFill="1" applyBorder="1"/>
    <xf numFmtId="164" fontId="0" fillId="0" borderId="13" xfId="1" applyNumberFormat="1" applyFont="1" applyFill="1" applyBorder="1"/>
    <xf numFmtId="0" fontId="3" fillId="0" borderId="17" xfId="0" applyFont="1" applyFill="1" applyBorder="1" applyAlignment="1" applyProtection="1">
      <alignment horizontal="center"/>
    </xf>
    <xf numFmtId="0" fontId="0" fillId="5" borderId="1" xfId="0" applyFill="1" applyBorder="1"/>
    <xf numFmtId="0" fontId="0" fillId="5" borderId="21" xfId="0" applyFill="1" applyBorder="1"/>
    <xf numFmtId="164" fontId="0" fillId="0" borderId="22" xfId="1" applyNumberFormat="1" applyFont="1" applyFill="1" applyBorder="1" applyProtection="1"/>
    <xf numFmtId="164" fontId="0" fillId="0" borderId="0" xfId="1" applyNumberFormat="1" applyFont="1" applyBorder="1"/>
    <xf numFmtId="164" fontId="0" fillId="0" borderId="21" xfId="1" applyNumberFormat="1" applyFont="1" applyFill="1" applyBorder="1"/>
    <xf numFmtId="164" fontId="0" fillId="0" borderId="23" xfId="1" applyNumberFormat="1" applyFont="1" applyFill="1" applyBorder="1" applyProtection="1"/>
    <xf numFmtId="164" fontId="0" fillId="0" borderId="24" xfId="1" applyNumberFormat="1" applyFont="1" applyFill="1" applyBorder="1" applyProtection="1"/>
    <xf numFmtId="164" fontId="0" fillId="0" borderId="25" xfId="1" applyNumberFormat="1" applyFont="1" applyFill="1" applyBorder="1"/>
    <xf numFmtId="9" fontId="0" fillId="0" borderId="22" xfId="2" applyFont="1" applyFill="1" applyBorder="1" applyProtection="1"/>
    <xf numFmtId="0" fontId="3" fillId="6" borderId="26" xfId="0" applyFont="1" applyFill="1" applyBorder="1"/>
    <xf numFmtId="0" fontId="3" fillId="0" borderId="27" xfId="0" applyFont="1" applyBorder="1"/>
    <xf numFmtId="0" fontId="3" fillId="0" borderId="1" xfId="0" applyFont="1" applyBorder="1"/>
    <xf numFmtId="0" fontId="3" fillId="0" borderId="5" xfId="0" applyFont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3" fontId="0" fillId="0" borderId="0" xfId="0" applyNumberFormat="1"/>
    <xf numFmtId="0" fontId="7" fillId="11" borderId="16" xfId="0" applyFont="1" applyFill="1" applyBorder="1" applyAlignment="1">
      <alignment horizontal="center" wrapText="1"/>
    </xf>
    <xf numFmtId="0" fontId="12" fillId="0" borderId="0" xfId="0" applyFont="1"/>
    <xf numFmtId="0" fontId="7" fillId="11" borderId="16" xfId="0" applyFont="1" applyFill="1" applyBorder="1" applyAlignment="1">
      <alignment horizontal="center" vertical="center" wrapText="1"/>
    </xf>
    <xf numFmtId="0" fontId="0" fillId="9" borderId="33" xfId="0" applyFill="1" applyBorder="1" applyAlignment="1"/>
    <xf numFmtId="166" fontId="0" fillId="2" borderId="34" xfId="2" applyNumberFormat="1" applyFont="1" applyFill="1" applyBorder="1"/>
    <xf numFmtId="167" fontId="0" fillId="9" borderId="35" xfId="2" applyNumberFormat="1" applyFont="1" applyFill="1" applyBorder="1"/>
    <xf numFmtId="166" fontId="0" fillId="9" borderId="35" xfId="2" applyNumberFormat="1" applyFont="1" applyFill="1" applyBorder="1"/>
    <xf numFmtId="0" fontId="0" fillId="0" borderId="36" xfId="0" applyBorder="1" applyAlignment="1"/>
    <xf numFmtId="166" fontId="0" fillId="2" borderId="37" xfId="2" applyNumberFormat="1" applyFont="1" applyFill="1" applyBorder="1"/>
    <xf numFmtId="167" fontId="0" fillId="0" borderId="38" xfId="0" applyNumberFormat="1" applyFill="1" applyBorder="1" applyAlignment="1" applyProtection="1">
      <alignment horizontal="right"/>
      <protection locked="0"/>
    </xf>
    <xf numFmtId="166" fontId="0" fillId="0" borderId="38" xfId="2" applyNumberFormat="1" applyFont="1" applyFill="1" applyBorder="1" applyAlignment="1" applyProtection="1">
      <alignment horizontal="right"/>
      <protection locked="0"/>
    </xf>
    <xf numFmtId="0" fontId="0" fillId="0" borderId="21" xfId="0" applyBorder="1" applyAlignment="1">
      <alignment horizontal="center"/>
    </xf>
    <xf numFmtId="165" fontId="0" fillId="0" borderId="5" xfId="0" applyNumberFormat="1" applyBorder="1"/>
    <xf numFmtId="165" fontId="0" fillId="0" borderId="5" xfId="3" applyNumberFormat="1" applyFont="1" applyFill="1" applyBorder="1"/>
    <xf numFmtId="0" fontId="7" fillId="11" borderId="5" xfId="0" applyFont="1" applyFill="1" applyBorder="1" applyAlignment="1">
      <alignment horizontal="center"/>
    </xf>
    <xf numFmtId="0" fontId="3" fillId="0" borderId="5" xfId="0" applyFont="1" applyFill="1" applyBorder="1"/>
    <xf numFmtId="166" fontId="0" fillId="0" borderId="5" xfId="0" applyNumberFormat="1" applyBorder="1"/>
    <xf numFmtId="10" fontId="0" fillId="0" borderId="5" xfId="3" applyNumberFormat="1" applyFont="1" applyFill="1" applyBorder="1"/>
    <xf numFmtId="10" fontId="0" fillId="0" borderId="5" xfId="0" applyNumberFormat="1" applyBorder="1"/>
    <xf numFmtId="166" fontId="0" fillId="0" borderId="5" xfId="2" applyNumberFormat="1" applyFont="1" applyFill="1" applyBorder="1"/>
    <xf numFmtId="0" fontId="15" fillId="0" borderId="5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5" xfId="0" applyFont="1" applyBorder="1" applyAlignment="1">
      <alignment vertical="center"/>
    </xf>
    <xf numFmtId="0" fontId="0" fillId="2" borderId="5" xfId="0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2" fontId="0" fillId="2" borderId="5" xfId="0" applyNumberFormat="1" applyFill="1" applyBorder="1"/>
    <xf numFmtId="0" fontId="0" fillId="0" borderId="21" xfId="0" applyFont="1" applyFill="1" applyBorder="1" applyAlignment="1">
      <alignment horizontal="center"/>
    </xf>
    <xf numFmtId="0" fontId="0" fillId="0" borderId="0" xfId="0" applyFill="1" applyBorder="1"/>
    <xf numFmtId="0" fontId="0" fillId="0" borderId="25" xfId="0" applyFont="1" applyFill="1" applyBorder="1" applyAlignment="1">
      <alignment horizontal="center"/>
    </xf>
    <xf numFmtId="0" fontId="3" fillId="0" borderId="14" xfId="0" applyFont="1" applyBorder="1"/>
    <xf numFmtId="0" fontId="3" fillId="0" borderId="15" xfId="0" applyFont="1" applyBorder="1" applyAlignment="1">
      <alignment horizontal="center" vertical="center"/>
    </xf>
    <xf numFmtId="0" fontId="3" fillId="0" borderId="43" xfId="0" applyFont="1" applyBorder="1"/>
    <xf numFmtId="0" fontId="0" fillId="0" borderId="7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" fillId="0" borderId="44" xfId="0" applyFont="1" applyBorder="1"/>
    <xf numFmtId="0" fontId="0" fillId="0" borderId="47" xfId="0" applyBorder="1"/>
    <xf numFmtId="0" fontId="5" fillId="0" borderId="9" xfId="0" applyFont="1" applyBorder="1" applyAlignment="1">
      <alignment horizontal="center" vertical="center"/>
    </xf>
    <xf numFmtId="167" fontId="0" fillId="0" borderId="15" xfId="0" applyNumberFormat="1" applyFill="1" applyBorder="1" applyAlignment="1" applyProtection="1">
      <alignment horizontal="right" wrapText="1"/>
      <protection locked="0"/>
    </xf>
    <xf numFmtId="0" fontId="7" fillId="11" borderId="4" xfId="0" applyFont="1" applyFill="1" applyBorder="1" applyAlignment="1"/>
    <xf numFmtId="0" fontId="7" fillId="11" borderId="15" xfId="0" applyFont="1" applyFill="1" applyBorder="1" applyAlignment="1"/>
    <xf numFmtId="0" fontId="3" fillId="0" borderId="1" xfId="0" applyFont="1" applyBorder="1" applyAlignment="1">
      <alignment vertical="center"/>
    </xf>
    <xf numFmtId="165" fontId="0" fillId="0" borderId="15" xfId="0" applyNumberFormat="1" applyBorder="1"/>
    <xf numFmtId="0" fontId="3" fillId="0" borderId="28" xfId="0" applyFont="1" applyBorder="1" applyAlignment="1">
      <alignment vertical="center"/>
    </xf>
    <xf numFmtId="0" fontId="0" fillId="0" borderId="25" xfId="0" applyBorder="1" applyAlignment="1">
      <alignment horizontal="center"/>
    </xf>
    <xf numFmtId="0" fontId="3" fillId="0" borderId="32" xfId="0" applyFont="1" applyFill="1" applyBorder="1" applyAlignment="1">
      <alignment horizontal="center"/>
    </xf>
    <xf numFmtId="0" fontId="0" fillId="0" borderId="0" xfId="0" applyFill="1"/>
    <xf numFmtId="165" fontId="0" fillId="0" borderId="5" xfId="0" applyNumberFormat="1" applyFill="1" applyBorder="1"/>
    <xf numFmtId="168" fontId="0" fillId="0" borderId="5" xfId="3" applyFont="1" applyFill="1" applyBorder="1"/>
    <xf numFmtId="165" fontId="0" fillId="0" borderId="15" xfId="3" applyNumberFormat="1" applyFont="1" applyFill="1" applyBorder="1"/>
    <xf numFmtId="168" fontId="0" fillId="0" borderId="15" xfId="3" applyFont="1" applyFill="1" applyBorder="1"/>
    <xf numFmtId="0" fontId="3" fillId="0" borderId="48" xfId="0" applyFont="1" applyBorder="1" applyAlignment="1">
      <alignment vertical="center"/>
    </xf>
    <xf numFmtId="0" fontId="0" fillId="0" borderId="52" xfId="0" applyBorder="1" applyAlignment="1">
      <alignment horizontal="center"/>
    </xf>
    <xf numFmtId="165" fontId="0" fillId="0" borderId="9" xfId="0" applyNumberFormat="1" applyBorder="1"/>
    <xf numFmtId="165" fontId="0" fillId="0" borderId="44" xfId="0" applyNumberFormat="1" applyBorder="1"/>
    <xf numFmtId="0" fontId="3" fillId="0" borderId="17" xfId="0" applyFont="1" applyBorder="1" applyAlignment="1">
      <alignment vertical="center"/>
    </xf>
    <xf numFmtId="166" fontId="0" fillId="0" borderId="15" xfId="2" applyNumberFormat="1" applyFont="1" applyFill="1" applyBorder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0" xfId="0" applyBorder="1" applyAlignment="1">
      <alignment horizontal="center"/>
    </xf>
    <xf numFmtId="167" fontId="0" fillId="0" borderId="5" xfId="0" applyNumberFormat="1" applyFill="1" applyBorder="1" applyAlignment="1" applyProtection="1">
      <alignment horizontal="right" wrapText="1"/>
      <protection locked="0"/>
    </xf>
    <xf numFmtId="168" fontId="0" fillId="0" borderId="44" xfId="3" applyFont="1" applyFill="1" applyBorder="1"/>
    <xf numFmtId="165" fontId="0" fillId="0" borderId="44" xfId="0" applyNumberFormat="1" applyFill="1" applyBorder="1"/>
    <xf numFmtId="168" fontId="0" fillId="0" borderId="9" xfId="3" applyFont="1" applyFill="1" applyBorder="1"/>
    <xf numFmtId="0" fontId="0" fillId="0" borderId="15" xfId="0" applyFill="1" applyBorder="1"/>
    <xf numFmtId="0" fontId="3" fillId="0" borderId="63" xfId="0" applyFont="1" applyBorder="1" applyAlignment="1">
      <alignment vertical="center"/>
    </xf>
    <xf numFmtId="0" fontId="3" fillId="12" borderId="45" xfId="0" applyFont="1" applyFill="1" applyBorder="1" applyAlignment="1">
      <alignment horizontal="center"/>
    </xf>
    <xf numFmtId="0" fontId="3" fillId="12" borderId="26" xfId="0" applyFont="1" applyFill="1" applyBorder="1" applyAlignment="1">
      <alignment horizontal="center"/>
    </xf>
    <xf numFmtId="0" fontId="3" fillId="12" borderId="26" xfId="0" applyFont="1" applyFill="1" applyBorder="1" applyAlignment="1" applyProtection="1">
      <alignment horizontal="center"/>
    </xf>
    <xf numFmtId="0" fontId="3" fillId="12" borderId="2" xfId="0" applyFont="1" applyFill="1" applyBorder="1" applyAlignment="1">
      <alignment horizontal="center"/>
    </xf>
    <xf numFmtId="0" fontId="3" fillId="12" borderId="62" xfId="0" applyFont="1" applyFill="1" applyBorder="1" applyAlignment="1">
      <alignment horizontal="center"/>
    </xf>
    <xf numFmtId="0" fontId="0" fillId="0" borderId="44" xfId="0" applyBorder="1"/>
    <xf numFmtId="0" fontId="0" fillId="0" borderId="44" xfId="0" applyFill="1" applyBorder="1"/>
    <xf numFmtId="0" fontId="0" fillId="0" borderId="0" xfId="0" applyFont="1" applyFill="1" applyBorder="1" applyAlignment="1">
      <alignment horizontal="center"/>
    </xf>
    <xf numFmtId="168" fontId="0" fillId="0" borderId="0" xfId="3" applyFont="1" applyFill="1" applyBorder="1"/>
    <xf numFmtId="165" fontId="0" fillId="0" borderId="0" xfId="3" applyNumberFormat="1" applyFont="1" applyFill="1" applyBorder="1"/>
    <xf numFmtId="165" fontId="0" fillId="0" borderId="0" xfId="0" applyNumberFormat="1" applyFill="1" applyBorder="1"/>
    <xf numFmtId="3" fontId="5" fillId="0" borderId="5" xfId="0" applyNumberFormat="1" applyFont="1" applyBorder="1" applyAlignment="1">
      <alignment horizontal="right" vertical="center"/>
    </xf>
    <xf numFmtId="3" fontId="0" fillId="0" borderId="5" xfId="1" applyNumberFormat="1" applyFont="1" applyBorder="1"/>
    <xf numFmtId="0" fontId="3" fillId="0" borderId="31" xfId="0" applyFont="1" applyBorder="1"/>
    <xf numFmtId="0" fontId="3" fillId="0" borderId="4" xfId="0" applyFont="1" applyBorder="1"/>
    <xf numFmtId="164" fontId="0" fillId="0" borderId="5" xfId="1" applyNumberFormat="1" applyFont="1" applyFill="1" applyBorder="1" applyProtection="1"/>
    <xf numFmtId="0" fontId="0" fillId="5" borderId="45" xfId="0" applyFill="1" applyBorder="1"/>
    <xf numFmtId="0" fontId="0" fillId="5" borderId="26" xfId="0" applyFill="1" applyBorder="1"/>
    <xf numFmtId="0" fontId="0" fillId="5" borderId="62" xfId="0" applyFill="1" applyBorder="1"/>
    <xf numFmtId="164" fontId="0" fillId="0" borderId="44" xfId="1" applyNumberFormat="1" applyFont="1" applyFill="1" applyBorder="1" applyProtection="1"/>
    <xf numFmtId="2" fontId="0" fillId="0" borderId="44" xfId="0" applyNumberFormat="1" applyBorder="1"/>
    <xf numFmtId="164" fontId="0" fillId="0" borderId="27" xfId="1" applyNumberFormat="1" applyFont="1" applyFill="1" applyBorder="1" applyProtection="1"/>
    <xf numFmtId="164" fontId="0" fillId="0" borderId="11" xfId="1" applyNumberFormat="1" applyFont="1" applyFill="1" applyBorder="1" applyProtection="1"/>
    <xf numFmtId="164" fontId="0" fillId="0" borderId="11" xfId="1" applyNumberFormat="1" applyFont="1" applyFill="1" applyBorder="1"/>
    <xf numFmtId="164" fontId="0" fillId="0" borderId="11" xfId="1" applyNumberFormat="1" applyFont="1" applyBorder="1"/>
    <xf numFmtId="164" fontId="0" fillId="0" borderId="1" xfId="1" applyNumberFormat="1" applyFont="1" applyFill="1" applyBorder="1" applyProtection="1"/>
    <xf numFmtId="164" fontId="0" fillId="0" borderId="28" xfId="1" applyNumberFormat="1" applyFont="1" applyFill="1" applyBorder="1" applyProtection="1"/>
    <xf numFmtId="164" fontId="0" fillId="0" borderId="13" xfId="1" applyNumberFormat="1" applyFont="1" applyFill="1" applyBorder="1" applyProtection="1"/>
    <xf numFmtId="164" fontId="0" fillId="0" borderId="48" xfId="1" applyNumberFormat="1" applyFont="1" applyFill="1" applyBorder="1" applyProtection="1"/>
    <xf numFmtId="164" fontId="0" fillId="0" borderId="21" xfId="1" applyNumberFormat="1" applyFont="1" applyFill="1" applyBorder="1" applyProtection="1"/>
    <xf numFmtId="2" fontId="0" fillId="0" borderId="13" xfId="0" applyNumberFormat="1" applyBorder="1"/>
    <xf numFmtId="164" fontId="0" fillId="0" borderId="32" xfId="1" applyNumberFormat="1" applyFont="1" applyFill="1" applyBorder="1" applyProtection="1"/>
    <xf numFmtId="164" fontId="0" fillId="0" borderId="25" xfId="1" applyNumberFormat="1" applyFont="1" applyFill="1" applyBorder="1" applyProtection="1"/>
    <xf numFmtId="2" fontId="0" fillId="0" borderId="11" xfId="0" applyNumberFormat="1" applyBorder="1"/>
    <xf numFmtId="2" fontId="0" fillId="0" borderId="5" xfId="1" applyNumberFormat="1" applyFont="1" applyFill="1" applyBorder="1" applyProtection="1"/>
    <xf numFmtId="2" fontId="0" fillId="0" borderId="13" xfId="1" applyNumberFormat="1" applyFont="1" applyFill="1" applyBorder="1" applyProtection="1"/>
    <xf numFmtId="2" fontId="0" fillId="0" borderId="13" xfId="1" applyNumberFormat="1" applyFont="1" applyFill="1" applyBorder="1"/>
    <xf numFmtId="2" fontId="0" fillId="0" borderId="44" xfId="1" applyNumberFormat="1" applyFont="1" applyFill="1" applyBorder="1" applyProtection="1"/>
    <xf numFmtId="2" fontId="0" fillId="0" borderId="44" xfId="1" applyNumberFormat="1" applyFont="1" applyFill="1" applyBorder="1"/>
    <xf numFmtId="2" fontId="0" fillId="0" borderId="44" xfId="1" applyNumberFormat="1" applyFont="1" applyBorder="1"/>
    <xf numFmtId="164" fontId="0" fillId="0" borderId="31" xfId="1" applyNumberFormat="1" applyFont="1" applyFill="1" applyBorder="1"/>
    <xf numFmtId="164" fontId="0" fillId="0" borderId="4" xfId="1" applyNumberFormat="1" applyFont="1" applyFill="1" applyBorder="1"/>
    <xf numFmtId="164" fontId="0" fillId="0" borderId="50" xfId="1" applyNumberFormat="1" applyFont="1" applyFill="1" applyBorder="1"/>
    <xf numFmtId="164" fontId="0" fillId="0" borderId="31" xfId="1" applyNumberFormat="1" applyFont="1" applyFill="1" applyBorder="1" applyProtection="1"/>
    <xf numFmtId="164" fontId="0" fillId="0" borderId="4" xfId="1" applyNumberFormat="1" applyFont="1" applyFill="1" applyBorder="1" applyProtection="1"/>
    <xf numFmtId="164" fontId="0" fillId="0" borderId="50" xfId="1" applyNumberFormat="1" applyFont="1" applyFill="1" applyBorder="1" applyProtection="1"/>
    <xf numFmtId="2" fontId="0" fillId="0" borderId="1" xfId="1" applyNumberFormat="1" applyFont="1" applyFill="1" applyBorder="1" applyProtection="1"/>
    <xf numFmtId="2" fontId="0" fillId="0" borderId="28" xfId="1" applyNumberFormat="1" applyFont="1" applyFill="1" applyBorder="1" applyProtection="1"/>
    <xf numFmtId="2" fontId="0" fillId="0" borderId="48" xfId="1" applyNumberFormat="1" applyFont="1" applyFill="1" applyBorder="1" applyProtection="1"/>
    <xf numFmtId="2" fontId="0" fillId="0" borderId="27" xfId="0" applyNumberFormat="1" applyBorder="1"/>
    <xf numFmtId="2" fontId="0" fillId="0" borderId="31" xfId="0" applyNumberFormat="1" applyBorder="1"/>
    <xf numFmtId="2" fontId="0" fillId="0" borderId="4" xfId="1" applyNumberFormat="1" applyFont="1" applyFill="1" applyBorder="1"/>
    <xf numFmtId="2" fontId="0" fillId="0" borderId="50" xfId="0" applyNumberFormat="1" applyBorder="1"/>
    <xf numFmtId="2" fontId="0" fillId="0" borderId="8" xfId="1" applyNumberFormat="1" applyFont="1" applyFill="1" applyBorder="1"/>
    <xf numFmtId="2" fontId="0" fillId="0" borderId="4" xfId="1" applyNumberFormat="1" applyFont="1" applyFill="1" applyBorder="1" applyProtection="1"/>
    <xf numFmtId="164" fontId="0" fillId="0" borderId="27" xfId="1" applyNumberFormat="1" applyFont="1" applyBorder="1"/>
    <xf numFmtId="164" fontId="0" fillId="0" borderId="32" xfId="1" applyNumberFormat="1" applyFont="1" applyBorder="1"/>
    <xf numFmtId="164" fontId="0" fillId="0" borderId="1" xfId="1" applyNumberFormat="1" applyFont="1" applyBorder="1"/>
    <xf numFmtId="164" fontId="0" fillId="0" borderId="21" xfId="1" applyNumberFormat="1" applyFont="1" applyBorder="1"/>
    <xf numFmtId="0" fontId="3" fillId="14" borderId="5" xfId="0" applyFont="1" applyFill="1" applyBorder="1" applyAlignment="1">
      <alignment horizontal="center" vertical="center" wrapText="1"/>
    </xf>
    <xf numFmtId="0" fontId="3" fillId="9" borderId="5" xfId="0" applyFont="1" applyFill="1" applyBorder="1"/>
    <xf numFmtId="167" fontId="0" fillId="9" borderId="5" xfId="0" applyNumberFormat="1" applyFill="1" applyBorder="1"/>
    <xf numFmtId="167" fontId="0" fillId="0" borderId="26" xfId="0" applyNumberFormat="1" applyBorder="1"/>
    <xf numFmtId="10" fontId="0" fillId="0" borderId="5" xfId="2" applyNumberFormat="1" applyFont="1" applyBorder="1"/>
    <xf numFmtId="167" fontId="0" fillId="0" borderId="5" xfId="0" applyNumberFormat="1" applyBorder="1"/>
    <xf numFmtId="0" fontId="0" fillId="15" borderId="0" xfId="0" applyFill="1"/>
    <xf numFmtId="166" fontId="0" fillId="16" borderId="5" xfId="0" applyNumberFormat="1" applyFill="1" applyBorder="1" applyProtection="1">
      <protection locked="0"/>
    </xf>
    <xf numFmtId="164" fontId="0" fillId="0" borderId="52" xfId="1" applyNumberFormat="1" applyFont="1" applyFill="1" applyBorder="1" applyProtection="1"/>
    <xf numFmtId="164" fontId="0" fillId="0" borderId="28" xfId="1" applyNumberFormat="1" applyFont="1" applyBorder="1"/>
    <xf numFmtId="164" fontId="0" fillId="0" borderId="13" xfId="1" applyNumberFormat="1" applyFont="1" applyBorder="1"/>
    <xf numFmtId="164" fontId="0" fillId="0" borderId="25" xfId="1" applyNumberFormat="1" applyFont="1" applyBorder="1"/>
    <xf numFmtId="9" fontId="0" fillId="0" borderId="5" xfId="2" applyFont="1" applyBorder="1"/>
    <xf numFmtId="9" fontId="0" fillId="0" borderId="27" xfId="2" applyFont="1" applyBorder="1"/>
    <xf numFmtId="9" fontId="0" fillId="0" borderId="11" xfId="2" applyFont="1" applyBorder="1"/>
    <xf numFmtId="9" fontId="0" fillId="0" borderId="1" xfId="2" applyFont="1" applyBorder="1"/>
    <xf numFmtId="9" fontId="0" fillId="0" borderId="28" xfId="2" applyFont="1" applyBorder="1"/>
    <xf numFmtId="9" fontId="0" fillId="0" borderId="13" xfId="2" applyFont="1" applyBorder="1"/>
    <xf numFmtId="9" fontId="0" fillId="0" borderId="48" xfId="2" applyFont="1" applyBorder="1"/>
    <xf numFmtId="9" fontId="0" fillId="0" borderId="44" xfId="2" applyFont="1" applyBorder="1"/>
    <xf numFmtId="9" fontId="0" fillId="0" borderId="31" xfId="2" applyFont="1" applyBorder="1"/>
    <xf numFmtId="9" fontId="0" fillId="0" borderId="4" xfId="2" applyFont="1" applyBorder="1"/>
    <xf numFmtId="9" fontId="0" fillId="0" borderId="50" xfId="2" applyFont="1" applyBorder="1"/>
    <xf numFmtId="9" fontId="0" fillId="0" borderId="8" xfId="2" applyFont="1" applyBorder="1"/>
    <xf numFmtId="0" fontId="0" fillId="5" borderId="6" xfId="0" applyFill="1" applyBorder="1"/>
    <xf numFmtId="164" fontId="0" fillId="0" borderId="0" xfId="0" applyNumberFormat="1"/>
    <xf numFmtId="3" fontId="0" fillId="0" borderId="5" xfId="0" applyNumberFormat="1" applyBorder="1"/>
    <xf numFmtId="0" fontId="2" fillId="7" borderId="19" xfId="0" applyFont="1" applyFill="1" applyBorder="1" applyAlignment="1">
      <alignment horizontal="center"/>
    </xf>
    <xf numFmtId="0" fontId="0" fillId="5" borderId="65" xfId="0" applyFill="1" applyBorder="1"/>
    <xf numFmtId="0" fontId="7" fillId="11" borderId="14" xfId="0" applyFont="1" applyFill="1" applyBorder="1" applyAlignment="1"/>
    <xf numFmtId="0" fontId="3" fillId="0" borderId="26" xfId="0" applyFont="1" applyFill="1" applyBorder="1" applyAlignment="1">
      <alignment vertical="center" wrapText="1"/>
    </xf>
    <xf numFmtId="0" fontId="3" fillId="0" borderId="43" xfId="0" applyFont="1" applyFill="1" applyBorder="1" applyAlignment="1">
      <alignment vertical="center" wrapText="1"/>
    </xf>
    <xf numFmtId="0" fontId="3" fillId="0" borderId="44" xfId="0" applyFont="1" applyFill="1" applyBorder="1" applyAlignment="1">
      <alignment vertical="center" wrapText="1"/>
    </xf>
    <xf numFmtId="0" fontId="0" fillId="0" borderId="5" xfId="0" applyBorder="1" applyAlignment="1"/>
    <xf numFmtId="9" fontId="0" fillId="0" borderId="0" xfId="2" applyFont="1"/>
    <xf numFmtId="166" fontId="0" fillId="0" borderId="0" xfId="2" applyNumberFormat="1" applyFont="1"/>
    <xf numFmtId="0" fontId="3" fillId="6" borderId="0" xfId="0" applyFont="1" applyFill="1" applyBorder="1"/>
    <xf numFmtId="0" fontId="3" fillId="0" borderId="5" xfId="0" applyFont="1" applyBorder="1" applyAlignment="1" applyProtection="1">
      <alignment vertical="center"/>
    </xf>
    <xf numFmtId="2" fontId="0" fillId="2" borderId="5" xfId="0" applyNumberFormat="1" applyFill="1" applyBorder="1" applyProtection="1">
      <protection locked="0"/>
    </xf>
    <xf numFmtId="2" fontId="0" fillId="2" borderId="0" xfId="0" applyNumberFormat="1" applyFill="1"/>
    <xf numFmtId="169" fontId="0" fillId="0" borderId="0" xfId="0" applyNumberFormat="1"/>
    <xf numFmtId="43" fontId="0" fillId="0" borderId="0" xfId="0" applyNumberFormat="1"/>
    <xf numFmtId="0" fontId="3" fillId="21" borderId="5" xfId="0" applyFont="1" applyFill="1" applyBorder="1"/>
    <xf numFmtId="0" fontId="3" fillId="21" borderId="7" xfId="0" applyFont="1" applyFill="1" applyBorder="1"/>
    <xf numFmtId="0" fontId="3" fillId="22" borderId="7" xfId="0" applyFont="1" applyFill="1" applyBorder="1"/>
    <xf numFmtId="0" fontId="3" fillId="20" borderId="7" xfId="0" applyFont="1" applyFill="1" applyBorder="1"/>
    <xf numFmtId="0" fontId="3" fillId="23" borderId="7" xfId="0" applyFont="1" applyFill="1" applyBorder="1"/>
    <xf numFmtId="0" fontId="3" fillId="23" borderId="5" xfId="0" applyFont="1" applyFill="1" applyBorder="1"/>
    <xf numFmtId="0" fontId="3" fillId="23" borderId="43" xfId="0" applyFont="1" applyFill="1" applyBorder="1"/>
    <xf numFmtId="10" fontId="0" fillId="0" borderId="0" xfId="2" applyNumberFormat="1" applyFont="1"/>
    <xf numFmtId="2" fontId="0" fillId="0" borderId="0" xfId="2" applyNumberFormat="1" applyFont="1"/>
    <xf numFmtId="168" fontId="0" fillId="0" borderId="0" xfId="0" applyNumberFormat="1"/>
    <xf numFmtId="4" fontId="0" fillId="0" borderId="0" xfId="0" applyNumberFormat="1"/>
    <xf numFmtId="0" fontId="3" fillId="2" borderId="5" xfId="0" applyFont="1" applyFill="1" applyBorder="1"/>
    <xf numFmtId="0" fontId="4" fillId="7" borderId="0" xfId="0" applyFont="1" applyFill="1"/>
    <xf numFmtId="164" fontId="0" fillId="24" borderId="0" xfId="0" applyNumberFormat="1" applyFill="1"/>
    <xf numFmtId="0" fontId="3" fillId="6" borderId="5" xfId="0" applyFont="1" applyFill="1" applyBorder="1"/>
    <xf numFmtId="0" fontId="3" fillId="10" borderId="5" xfId="0" applyFont="1" applyFill="1" applyBorder="1"/>
    <xf numFmtId="0" fontId="3" fillId="17" borderId="5" xfId="0" applyFont="1" applyFill="1" applyBorder="1"/>
    <xf numFmtId="0" fontId="0" fillId="0" borderId="15" xfId="0" applyBorder="1"/>
    <xf numFmtId="0" fontId="0" fillId="20" borderId="5" xfId="0" applyFill="1" applyBorder="1"/>
    <xf numFmtId="9" fontId="0" fillId="24" borderId="0" xfId="2" applyFont="1" applyFill="1"/>
    <xf numFmtId="0" fontId="3" fillId="0" borderId="5" xfId="0" applyFont="1" applyBorder="1" applyAlignment="1">
      <alignment horizontal="left" vertical="center"/>
    </xf>
    <xf numFmtId="0" fontId="3" fillId="0" borderId="5" xfId="0" applyFont="1" applyFill="1" applyBorder="1" applyAlignment="1">
      <alignment horizontal="left" wrapText="1"/>
    </xf>
    <xf numFmtId="10" fontId="0" fillId="0" borderId="0" xfId="0" applyNumberFormat="1"/>
    <xf numFmtId="0" fontId="3" fillId="21" borderId="43" xfId="0" applyFont="1" applyFill="1" applyBorder="1"/>
    <xf numFmtId="0" fontId="0" fillId="14" borderId="0" xfId="0" applyFill="1"/>
    <xf numFmtId="0" fontId="0" fillId="25" borderId="0" xfId="0" applyFill="1"/>
    <xf numFmtId="0" fontId="0" fillId="26" borderId="0" xfId="0" applyFill="1"/>
    <xf numFmtId="0" fontId="3" fillId="0" borderId="6" xfId="0" applyFont="1" applyFill="1" applyBorder="1"/>
    <xf numFmtId="164" fontId="0" fillId="26" borderId="11" xfId="1" applyNumberFormat="1" applyFont="1" applyFill="1" applyBorder="1"/>
    <xf numFmtId="164" fontId="0" fillId="26" borderId="32" xfId="1" applyNumberFormat="1" applyFont="1" applyFill="1" applyBorder="1"/>
    <xf numFmtId="164" fontId="0" fillId="26" borderId="1" xfId="1" applyNumberFormat="1" applyFont="1" applyFill="1" applyBorder="1"/>
    <xf numFmtId="164" fontId="0" fillId="26" borderId="5" xfId="1" applyNumberFormat="1" applyFont="1" applyFill="1" applyBorder="1"/>
    <xf numFmtId="164" fontId="0" fillId="26" borderId="21" xfId="1" applyNumberFormat="1" applyFont="1" applyFill="1" applyBorder="1"/>
    <xf numFmtId="164" fontId="0" fillId="26" borderId="28" xfId="1" applyNumberFormat="1" applyFont="1" applyFill="1" applyBorder="1"/>
    <xf numFmtId="164" fontId="0" fillId="26" borderId="13" xfId="1" applyNumberFormat="1" applyFont="1" applyFill="1" applyBorder="1"/>
    <xf numFmtId="164" fontId="0" fillId="26" borderId="44" xfId="1" applyNumberFormat="1" applyFont="1" applyFill="1" applyBorder="1" applyProtection="1"/>
    <xf numFmtId="164" fontId="0" fillId="26" borderId="52" xfId="1" applyNumberFormat="1" applyFont="1" applyFill="1" applyBorder="1" applyProtection="1"/>
    <xf numFmtId="164" fontId="0" fillId="26" borderId="1" xfId="1" applyNumberFormat="1" applyFont="1" applyFill="1" applyBorder="1" applyProtection="1"/>
    <xf numFmtId="164" fontId="0" fillId="26" borderId="5" xfId="1" applyNumberFormat="1" applyFont="1" applyFill="1" applyBorder="1" applyProtection="1"/>
    <xf numFmtId="164" fontId="0" fillId="26" borderId="21" xfId="1" applyNumberFormat="1" applyFont="1" applyFill="1" applyBorder="1" applyProtection="1"/>
    <xf numFmtId="164" fontId="0" fillId="26" borderId="28" xfId="1" applyNumberFormat="1" applyFont="1" applyFill="1" applyBorder="1" applyProtection="1"/>
    <xf numFmtId="164" fontId="0" fillId="26" borderId="13" xfId="1" applyNumberFormat="1" applyFont="1" applyFill="1" applyBorder="1" applyProtection="1"/>
    <xf numFmtId="164" fontId="0" fillId="15" borderId="27" xfId="1" applyNumberFormat="1" applyFont="1" applyFill="1" applyBorder="1"/>
    <xf numFmtId="164" fontId="0" fillId="15" borderId="11" xfId="1" applyNumberFormat="1" applyFont="1" applyFill="1" applyBorder="1"/>
    <xf numFmtId="164" fontId="0" fillId="15" borderId="5" xfId="1" applyNumberFormat="1" applyFont="1" applyFill="1" applyBorder="1"/>
    <xf numFmtId="164" fontId="0" fillId="15" borderId="13" xfId="1" applyNumberFormat="1" applyFont="1" applyFill="1" applyBorder="1"/>
    <xf numFmtId="164" fontId="0" fillId="15" borderId="44" xfId="1" applyNumberFormat="1" applyFont="1" applyFill="1" applyBorder="1" applyProtection="1"/>
    <xf numFmtId="164" fontId="0" fillId="15" borderId="5" xfId="1" applyNumberFormat="1" applyFont="1" applyFill="1" applyBorder="1" applyProtection="1"/>
    <xf numFmtId="164" fontId="0" fillId="15" borderId="13" xfId="1" applyNumberFormat="1" applyFont="1" applyFill="1" applyBorder="1" applyProtection="1"/>
    <xf numFmtId="164" fontId="0" fillId="15" borderId="48" xfId="1" applyNumberFormat="1" applyFont="1" applyFill="1" applyBorder="1" applyProtection="1"/>
    <xf numFmtId="164" fontId="0" fillId="15" borderId="25" xfId="1" applyNumberFormat="1" applyFont="1" applyFill="1" applyBorder="1"/>
    <xf numFmtId="164" fontId="0" fillId="15" borderId="25" xfId="1" applyNumberFormat="1" applyFont="1" applyFill="1" applyBorder="1" applyProtection="1"/>
    <xf numFmtId="164" fontId="0" fillId="27" borderId="13" xfId="1" applyNumberFormat="1" applyFont="1" applyFill="1" applyBorder="1" applyProtection="1"/>
    <xf numFmtId="164" fontId="0" fillId="27" borderId="11" xfId="1" applyNumberFormat="1" applyFont="1" applyFill="1" applyBorder="1"/>
    <xf numFmtId="164" fontId="0" fillId="27" borderId="5" xfId="1" applyNumberFormat="1" applyFont="1" applyFill="1" applyBorder="1"/>
    <xf numFmtId="164" fontId="0" fillId="27" borderId="13" xfId="1" applyNumberFormat="1" applyFont="1" applyFill="1" applyBorder="1"/>
    <xf numFmtId="9" fontId="0" fillId="0" borderId="0" xfId="0" applyNumberFormat="1"/>
    <xf numFmtId="43" fontId="0" fillId="2" borderId="27" xfId="1" applyNumberFormat="1" applyFont="1" applyFill="1" applyBorder="1" applyProtection="1"/>
    <xf numFmtId="0" fontId="0" fillId="0" borderId="0" xfId="0" applyAlignment="1">
      <alignment wrapText="1"/>
    </xf>
    <xf numFmtId="164" fontId="0" fillId="0" borderId="55" xfId="1" applyNumberFormat="1" applyFont="1" applyFill="1" applyBorder="1" applyProtection="1"/>
    <xf numFmtId="164" fontId="0" fillId="0" borderId="65" xfId="1" applyNumberFormat="1" applyFont="1" applyFill="1" applyBorder="1" applyProtection="1"/>
    <xf numFmtId="0" fontId="0" fillId="5" borderId="0" xfId="0" applyFill="1"/>
    <xf numFmtId="43" fontId="0" fillId="5" borderId="0" xfId="0" applyNumberFormat="1" applyFill="1"/>
    <xf numFmtId="164" fontId="0" fillId="26" borderId="0" xfId="0" applyNumberFormat="1" applyFill="1"/>
    <xf numFmtId="0" fontId="3" fillId="21" borderId="0" xfId="0" applyFont="1" applyFill="1" applyBorder="1"/>
    <xf numFmtId="164" fontId="0" fillId="26" borderId="0" xfId="1" applyNumberFormat="1" applyFont="1" applyFill="1"/>
    <xf numFmtId="1" fontId="0" fillId="0" borderId="0" xfId="3" applyNumberFormat="1" applyFont="1"/>
    <xf numFmtId="164" fontId="0" fillId="2" borderId="0" xfId="1" applyNumberFormat="1" applyFont="1" applyFill="1"/>
    <xf numFmtId="164" fontId="0" fillId="2" borderId="0" xfId="0" applyNumberFormat="1" applyFill="1"/>
    <xf numFmtId="10" fontId="0" fillId="0" borderId="0" xfId="3" applyNumberFormat="1" applyFont="1"/>
    <xf numFmtId="10" fontId="0" fillId="0" borderId="0" xfId="0" applyNumberFormat="1" applyBorder="1"/>
    <xf numFmtId="0" fontId="3" fillId="0" borderId="0" xfId="0" applyFont="1" applyBorder="1"/>
    <xf numFmtId="164" fontId="0" fillId="5" borderId="0" xfId="1" applyNumberFormat="1" applyFont="1" applyFill="1"/>
    <xf numFmtId="164" fontId="0" fillId="28" borderId="0" xfId="0" applyNumberFormat="1" applyFill="1"/>
    <xf numFmtId="164" fontId="0" fillId="28" borderId="0" xfId="1" applyNumberFormat="1" applyFont="1" applyFill="1"/>
    <xf numFmtId="0" fontId="0" fillId="28" borderId="0" xfId="0" applyFill="1"/>
    <xf numFmtId="9" fontId="0" fillId="0" borderId="15" xfId="2" applyFont="1" applyBorder="1"/>
    <xf numFmtId="0" fontId="3" fillId="14" borderId="6" xfId="0" applyFont="1" applyFill="1" applyBorder="1" applyAlignment="1">
      <alignment horizontal="center" vertical="center" wrapText="1"/>
    </xf>
    <xf numFmtId="165" fontId="0" fillId="29" borderId="5" xfId="0" applyNumberFormat="1" applyFill="1" applyBorder="1"/>
    <xf numFmtId="0" fontId="0" fillId="29" borderId="5" xfId="0" applyFill="1" applyBorder="1"/>
    <xf numFmtId="165" fontId="0" fillId="29" borderId="9" xfId="0" applyNumberFormat="1" applyFill="1" applyBorder="1"/>
    <xf numFmtId="165" fontId="0" fillId="29" borderId="15" xfId="0" applyNumberFormat="1" applyFill="1" applyBorder="1"/>
    <xf numFmtId="9" fontId="0" fillId="29" borderId="15" xfId="2" applyFont="1" applyFill="1" applyBorder="1"/>
    <xf numFmtId="165" fontId="0" fillId="29" borderId="44" xfId="0" applyNumberFormat="1" applyFill="1" applyBorder="1"/>
    <xf numFmtId="166" fontId="0" fillId="0" borderId="15" xfId="2" applyNumberFormat="1" applyFont="1" applyBorder="1"/>
    <xf numFmtId="166" fontId="0" fillId="30" borderId="5" xfId="2" applyNumberFormat="1" applyFont="1" applyFill="1" applyBorder="1"/>
    <xf numFmtId="165" fontId="0" fillId="30" borderId="5" xfId="0" applyNumberFormat="1" applyFill="1" applyBorder="1"/>
    <xf numFmtId="168" fontId="0" fillId="29" borderId="44" xfId="3" applyFont="1" applyFill="1" applyBorder="1"/>
    <xf numFmtId="168" fontId="0" fillId="29" borderId="5" xfId="3" applyFont="1" applyFill="1" applyBorder="1"/>
    <xf numFmtId="10" fontId="0" fillId="29" borderId="5" xfId="3" applyNumberFormat="1" applyFont="1" applyFill="1" applyBorder="1"/>
    <xf numFmtId="9" fontId="0" fillId="29" borderId="5" xfId="2" applyFont="1" applyFill="1" applyBorder="1"/>
    <xf numFmtId="9" fontId="0" fillId="0" borderId="5" xfId="2" applyFont="1" applyFill="1" applyBorder="1"/>
    <xf numFmtId="166" fontId="0" fillId="29" borderId="5" xfId="2" applyNumberFormat="1" applyFont="1" applyFill="1" applyBorder="1"/>
    <xf numFmtId="165" fontId="0" fillId="29" borderId="5" xfId="3" applyNumberFormat="1" applyFont="1" applyFill="1" applyBorder="1"/>
    <xf numFmtId="167" fontId="0" fillId="30" borderId="5" xfId="0" applyNumberFormat="1" applyFill="1" applyBorder="1" applyAlignment="1" applyProtection="1">
      <alignment horizontal="right" wrapText="1"/>
      <protection locked="0"/>
    </xf>
    <xf numFmtId="168" fontId="0" fillId="29" borderId="9" xfId="3" applyFont="1" applyFill="1" applyBorder="1"/>
    <xf numFmtId="168" fontId="0" fillId="29" borderId="15" xfId="3" applyFont="1" applyFill="1" applyBorder="1"/>
    <xf numFmtId="167" fontId="0" fillId="29" borderId="5" xfId="0" applyNumberFormat="1" applyFill="1" applyBorder="1" applyAlignment="1" applyProtection="1">
      <alignment horizontal="right" wrapText="1"/>
      <protection locked="0"/>
    </xf>
    <xf numFmtId="170" fontId="0" fillId="0" borderId="0" xfId="0" applyNumberFormat="1"/>
    <xf numFmtId="2" fontId="0" fillId="30" borderId="5" xfId="0" applyNumberFormat="1" applyFill="1" applyBorder="1"/>
    <xf numFmtId="43" fontId="0" fillId="26" borderId="0" xfId="1" applyFont="1" applyFill="1"/>
    <xf numFmtId="166" fontId="0" fillId="2" borderId="5" xfId="2" applyNumberFormat="1" applyFont="1" applyFill="1" applyBorder="1" applyAlignment="1">
      <alignment horizontal="center"/>
    </xf>
    <xf numFmtId="0" fontId="15" fillId="0" borderId="15" xfId="0" applyFont="1" applyFill="1" applyBorder="1" applyAlignment="1">
      <alignment horizontal="center"/>
    </xf>
    <xf numFmtId="0" fontId="16" fillId="0" borderId="0" xfId="0" applyFont="1" applyBorder="1" applyAlignment="1"/>
    <xf numFmtId="0" fontId="0" fillId="0" borderId="9" xfId="0" applyFill="1" applyBorder="1"/>
    <xf numFmtId="2" fontId="0" fillId="0" borderId="0" xfId="0" applyNumberFormat="1" applyFill="1" applyBorder="1"/>
    <xf numFmtId="171" fontId="0" fillId="2" borderId="5" xfId="0" applyNumberFormat="1" applyFill="1" applyBorder="1"/>
    <xf numFmtId="171" fontId="0" fillId="0" borderId="0" xfId="0" applyNumberFormat="1"/>
    <xf numFmtId="0" fontId="3" fillId="0" borderId="29" xfId="0" applyFont="1" applyBorder="1" applyAlignment="1">
      <alignment vertical="center" wrapText="1"/>
    </xf>
    <xf numFmtId="0" fontId="0" fillId="0" borderId="29" xfId="0" applyBorder="1"/>
    <xf numFmtId="171" fontId="0" fillId="2" borderId="15" xfId="0" applyNumberFormat="1" applyFill="1" applyBorder="1"/>
    <xf numFmtId="171" fontId="0" fillId="0" borderId="15" xfId="0" applyNumberFormat="1" applyFill="1" applyBorder="1"/>
    <xf numFmtId="171" fontId="0" fillId="0" borderId="0" xfId="0" applyNumberFormat="1" applyFill="1"/>
    <xf numFmtId="171" fontId="0" fillId="0" borderId="5" xfId="0" applyNumberFormat="1" applyFill="1" applyBorder="1"/>
    <xf numFmtId="164" fontId="0" fillId="0" borderId="15" xfId="1" applyNumberFormat="1" applyFont="1" applyFill="1" applyBorder="1"/>
    <xf numFmtId="164" fontId="0" fillId="0" borderId="0" xfId="1" applyNumberFormat="1" applyFont="1" applyFill="1"/>
    <xf numFmtId="9" fontId="0" fillId="0" borderId="0" xfId="2" applyNumberFormat="1" applyFont="1"/>
    <xf numFmtId="164" fontId="0" fillId="2" borderId="15" xfId="1" applyNumberFormat="1" applyFont="1" applyFill="1" applyBorder="1"/>
    <xf numFmtId="164" fontId="0" fillId="2" borderId="5" xfId="1" applyNumberFormat="1" applyFont="1" applyFill="1" applyBorder="1"/>
    <xf numFmtId="164" fontId="0" fillId="0" borderId="0" xfId="1" applyNumberFormat="1" applyFont="1" applyFill="1" applyBorder="1"/>
    <xf numFmtId="1" fontId="0" fillId="2" borderId="27" xfId="1" applyNumberFormat="1" applyFont="1" applyFill="1" applyBorder="1" applyProtection="1"/>
    <xf numFmtId="1" fontId="0" fillId="27" borderId="11" xfId="1" applyNumberFormat="1" applyFont="1" applyFill="1" applyBorder="1"/>
    <xf numFmtId="1" fontId="0" fillId="0" borderId="11" xfId="1" applyNumberFormat="1" applyFont="1" applyFill="1" applyBorder="1"/>
    <xf numFmtId="1" fontId="0" fillId="0" borderId="31" xfId="1" applyNumberFormat="1" applyFont="1" applyFill="1" applyBorder="1"/>
    <xf numFmtId="1" fontId="0" fillId="0" borderId="1" xfId="1" applyNumberFormat="1" applyFont="1" applyFill="1" applyBorder="1" applyProtection="1"/>
    <xf numFmtId="1" fontId="0" fillId="0" borderId="5" xfId="1" applyNumberFormat="1" applyFont="1" applyFill="1" applyBorder="1" applyProtection="1"/>
    <xf numFmtId="1" fontId="0" fillId="27" borderId="5" xfId="1" applyNumberFormat="1" applyFont="1" applyFill="1" applyBorder="1"/>
    <xf numFmtId="1" fontId="0" fillId="0" borderId="5" xfId="1" applyNumberFormat="1" applyFont="1" applyFill="1" applyBorder="1"/>
    <xf numFmtId="1" fontId="0" fillId="0" borderId="4" xfId="1" applyNumberFormat="1" applyFont="1" applyFill="1" applyBorder="1"/>
    <xf numFmtId="1" fontId="0" fillId="0" borderId="28" xfId="1" applyNumberFormat="1" applyFont="1" applyFill="1" applyBorder="1" applyProtection="1"/>
    <xf numFmtId="1" fontId="0" fillId="0" borderId="13" xfId="1" applyNumberFormat="1" applyFont="1" applyFill="1" applyBorder="1" applyProtection="1"/>
    <xf numFmtId="1" fontId="0" fillId="0" borderId="13" xfId="1" applyNumberFormat="1" applyFont="1" applyFill="1" applyBorder="1"/>
    <xf numFmtId="1" fontId="0" fillId="27" borderId="13" xfId="1" applyNumberFormat="1" applyFont="1" applyFill="1" applyBorder="1"/>
    <xf numFmtId="0" fontId="0" fillId="0" borderId="62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0" fillId="0" borderId="5" xfId="0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43" fontId="0" fillId="0" borderId="27" xfId="1" applyNumberFormat="1" applyFont="1" applyBorder="1"/>
    <xf numFmtId="0" fontId="0" fillId="0" borderId="5" xfId="0" applyFill="1" applyBorder="1" applyAlignment="1">
      <alignment horizontal="center" vertical="center"/>
    </xf>
    <xf numFmtId="0" fontId="2" fillId="7" borderId="19" xfId="0" applyFont="1" applyFill="1" applyBorder="1" applyAlignment="1">
      <alignment horizontal="center"/>
    </xf>
    <xf numFmtId="164" fontId="0" fillId="0" borderId="44" xfId="1" applyNumberFormat="1" applyFont="1" applyBorder="1"/>
    <xf numFmtId="164" fontId="0" fillId="29" borderId="5" xfId="1" applyNumberFormat="1" applyFont="1" applyFill="1" applyBorder="1"/>
    <xf numFmtId="164" fontId="0" fillId="0" borderId="44" xfId="1" applyNumberFormat="1" applyFont="1" applyFill="1" applyBorder="1"/>
    <xf numFmtId="0" fontId="2" fillId="18" borderId="16" xfId="0" applyFont="1" applyFill="1" applyBorder="1" applyAlignment="1">
      <alignment horizontal="center" wrapText="1"/>
    </xf>
    <xf numFmtId="0" fontId="3" fillId="21" borderId="0" xfId="0" applyFont="1" applyFill="1"/>
    <xf numFmtId="2" fontId="0" fillId="21" borderId="0" xfId="2" applyNumberFormat="1" applyFont="1" applyFill="1"/>
    <xf numFmtId="0" fontId="0" fillId="21" borderId="0" xfId="0" applyFill="1" applyAlignment="1">
      <alignment vertical="top" wrapText="1"/>
    </xf>
    <xf numFmtId="172" fontId="0" fillId="0" borderId="0" xfId="0" applyNumberFormat="1"/>
    <xf numFmtId="166" fontId="0" fillId="0" borderId="34" xfId="2" applyNumberFormat="1" applyFont="1" applyFill="1" applyBorder="1"/>
    <xf numFmtId="166" fontId="0" fillId="0" borderId="37" xfId="2" applyNumberFormat="1" applyFont="1" applyFill="1" applyBorder="1"/>
    <xf numFmtId="0" fontId="0" fillId="0" borderId="5" xfId="0" applyFill="1" applyBorder="1" applyAlignment="1">
      <alignment horizontal="center"/>
    </xf>
    <xf numFmtId="0" fontId="7" fillId="11" borderId="69" xfId="0" applyFont="1" applyFill="1" applyBorder="1" applyAlignment="1">
      <alignment horizontal="center" vertical="center" wrapText="1"/>
    </xf>
    <xf numFmtId="0" fontId="17" fillId="9" borderId="72" xfId="0" applyFont="1" applyFill="1" applyBorder="1" applyAlignment="1">
      <alignment vertical="center"/>
    </xf>
    <xf numFmtId="0" fontId="17" fillId="0" borderId="72" xfId="0" applyFont="1" applyBorder="1" applyAlignment="1">
      <alignment vertical="center"/>
    </xf>
    <xf numFmtId="0" fontId="17" fillId="0" borderId="80" xfId="0" applyFont="1" applyBorder="1" applyAlignment="1">
      <alignment vertical="center"/>
    </xf>
    <xf numFmtId="0" fontId="7" fillId="8" borderId="82" xfId="0" applyFont="1" applyFill="1" applyBorder="1" applyAlignment="1">
      <alignment vertical="center"/>
    </xf>
    <xf numFmtId="0" fontId="0" fillId="6" borderId="0" xfId="0" applyFill="1" applyBorder="1" applyAlignment="1"/>
    <xf numFmtId="167" fontId="19" fillId="31" borderId="89" xfId="0" applyNumberFormat="1" applyFont="1" applyFill="1" applyBorder="1" applyAlignment="1" applyProtection="1">
      <alignment horizontal="center"/>
      <protection locked="0"/>
    </xf>
    <xf numFmtId="166" fontId="19" fillId="31" borderId="90" xfId="2" applyNumberFormat="1" applyFont="1" applyFill="1" applyBorder="1" applyAlignment="1" applyProtection="1">
      <alignment horizontal="center"/>
      <protection locked="0"/>
    </xf>
    <xf numFmtId="0" fontId="19" fillId="31" borderId="90" xfId="0" applyFont="1" applyFill="1" applyBorder="1" applyAlignment="1">
      <alignment horizontal="center"/>
    </xf>
    <xf numFmtId="0" fontId="19" fillId="31" borderId="91" xfId="0" applyFont="1" applyFill="1" applyBorder="1" applyAlignment="1">
      <alignment horizontal="center"/>
    </xf>
    <xf numFmtId="0" fontId="3" fillId="30" borderId="92" xfId="0" applyFont="1" applyFill="1" applyBorder="1"/>
    <xf numFmtId="173" fontId="0" fillId="30" borderId="93" xfId="0" applyNumberFormat="1" applyFill="1" applyBorder="1"/>
    <xf numFmtId="4" fontId="0" fillId="30" borderId="93" xfId="0" applyNumberFormat="1" applyFill="1" applyBorder="1"/>
    <xf numFmtId="0" fontId="3" fillId="32" borderId="94" xfId="0" applyFont="1" applyFill="1" applyBorder="1"/>
    <xf numFmtId="174" fontId="0" fillId="32" borderId="95" xfId="0" applyNumberFormat="1" applyFill="1" applyBorder="1"/>
    <xf numFmtId="173" fontId="0" fillId="32" borderId="95" xfId="0" applyNumberFormat="1" applyFill="1" applyBorder="1"/>
    <xf numFmtId="175" fontId="0" fillId="32" borderId="95" xfId="0" applyNumberFormat="1" applyFill="1" applyBorder="1"/>
    <xf numFmtId="176" fontId="0" fillId="32" borderId="95" xfId="0" applyNumberFormat="1" applyFill="1" applyBorder="1"/>
    <xf numFmtId="0" fontId="0" fillId="0" borderId="94" xfId="0" applyBorder="1" applyAlignment="1">
      <alignment horizontal="left" indent="1"/>
    </xf>
    <xf numFmtId="174" fontId="0" fillId="0" borderId="95" xfId="0" applyNumberFormat="1" applyFill="1" applyBorder="1" applyAlignment="1" applyProtection="1">
      <alignment horizontal="right"/>
      <protection locked="0"/>
    </xf>
    <xf numFmtId="2" fontId="0" fillId="0" borderId="95" xfId="0" applyNumberFormat="1" applyBorder="1"/>
    <xf numFmtId="168" fontId="0" fillId="0" borderId="95" xfId="3" applyFont="1" applyFill="1" applyBorder="1" applyAlignment="1" applyProtection="1">
      <alignment horizontal="right"/>
      <protection locked="0"/>
    </xf>
    <xf numFmtId="173" fontId="0" fillId="0" borderId="95" xfId="0" applyNumberFormat="1" applyFill="1" applyBorder="1"/>
    <xf numFmtId="166" fontId="0" fillId="0" borderId="95" xfId="0" applyNumberFormat="1" applyFill="1" applyBorder="1"/>
    <xf numFmtId="0" fontId="0" fillId="0" borderId="95" xfId="0" applyBorder="1"/>
    <xf numFmtId="174" fontId="0" fillId="0" borderId="95" xfId="0" applyNumberFormat="1" applyFill="1" applyBorder="1"/>
    <xf numFmtId="0" fontId="3" fillId="30" borderId="96" xfId="0" applyFont="1" applyFill="1" applyBorder="1"/>
    <xf numFmtId="173" fontId="0" fillId="30" borderId="97" xfId="0" applyNumberFormat="1" applyFill="1" applyBorder="1"/>
    <xf numFmtId="9" fontId="0" fillId="30" borderId="97" xfId="0" applyNumberFormat="1" applyFill="1" applyBorder="1"/>
    <xf numFmtId="168" fontId="0" fillId="30" borderId="97" xfId="3" applyFont="1" applyFill="1" applyBorder="1"/>
    <xf numFmtId="0" fontId="17" fillId="0" borderId="14" xfId="0" applyFont="1" applyFill="1" applyBorder="1"/>
    <xf numFmtId="173" fontId="3" fillId="0" borderId="14" xfId="0" applyNumberFormat="1" applyFont="1" applyFill="1" applyBorder="1"/>
    <xf numFmtId="0" fontId="3" fillId="0" borderId="14" xfId="0" applyFont="1" applyFill="1" applyBorder="1"/>
    <xf numFmtId="0" fontId="3" fillId="33" borderId="96" xfId="0" applyFont="1" applyFill="1" applyBorder="1"/>
    <xf numFmtId="173" fontId="0" fillId="33" borderId="97" xfId="0" applyNumberFormat="1" applyFill="1" applyBorder="1"/>
    <xf numFmtId="9" fontId="0" fillId="33" borderId="97" xfId="0" applyNumberFormat="1" applyFill="1" applyBorder="1"/>
    <xf numFmtId="168" fontId="0" fillId="33" borderId="97" xfId="3" applyFont="1" applyFill="1" applyBorder="1"/>
    <xf numFmtId="0" fontId="3" fillId="34" borderId="96" xfId="0" applyFont="1" applyFill="1" applyBorder="1"/>
    <xf numFmtId="173" fontId="0" fillId="34" borderId="97" xfId="0" applyNumberFormat="1" applyFill="1" applyBorder="1"/>
    <xf numFmtId="9" fontId="0" fillId="34" borderId="97" xfId="0" applyNumberFormat="1" applyFill="1" applyBorder="1"/>
    <xf numFmtId="168" fontId="0" fillId="34" borderId="97" xfId="3" applyFont="1" applyFill="1" applyBorder="1"/>
    <xf numFmtId="177" fontId="0" fillId="0" borderId="5" xfId="0" applyNumberFormat="1" applyBorder="1"/>
    <xf numFmtId="178" fontId="0" fillId="0" borderId="5" xfId="0" applyNumberFormat="1" applyBorder="1"/>
    <xf numFmtId="164" fontId="0" fillId="5" borderId="0" xfId="0" applyNumberFormat="1" applyFill="1"/>
    <xf numFmtId="0" fontId="7" fillId="11" borderId="82" xfId="0" applyFont="1" applyFill="1" applyBorder="1" applyAlignment="1">
      <alignment horizontal="center" vertical="center" wrapText="1"/>
    </xf>
    <xf numFmtId="0" fontId="7" fillId="11" borderId="98" xfId="0" applyFont="1" applyFill="1" applyBorder="1" applyAlignment="1">
      <alignment horizontal="center" vertical="center" wrapText="1"/>
    </xf>
    <xf numFmtId="0" fontId="7" fillId="11" borderId="99" xfId="0" applyFont="1" applyFill="1" applyBorder="1" applyAlignment="1">
      <alignment horizontal="center" vertical="center" wrapText="1"/>
    </xf>
    <xf numFmtId="1" fontId="0" fillId="0" borderId="0" xfId="0" applyNumberFormat="1"/>
    <xf numFmtId="164" fontId="0" fillId="35" borderId="0" xfId="1" applyNumberFormat="1" applyFont="1" applyFill="1"/>
    <xf numFmtId="0" fontId="0" fillId="35" borderId="0" xfId="0" applyFill="1"/>
    <xf numFmtId="165" fontId="0" fillId="2" borderId="44" xfId="0" applyNumberFormat="1" applyFill="1" applyBorder="1"/>
    <xf numFmtId="165" fontId="0" fillId="2" borderId="5" xfId="0" applyNumberFormat="1" applyFill="1" applyBorder="1"/>
    <xf numFmtId="166" fontId="0" fillId="2" borderId="5" xfId="2" applyNumberFormat="1" applyFont="1" applyFill="1" applyBorder="1"/>
    <xf numFmtId="167" fontId="0" fillId="2" borderId="5" xfId="0" applyNumberFormat="1" applyFill="1" applyBorder="1" applyAlignment="1" applyProtection="1">
      <alignment horizontal="right" wrapText="1"/>
      <protection locked="0"/>
    </xf>
    <xf numFmtId="168" fontId="0" fillId="2" borderId="5" xfId="3" applyFont="1" applyFill="1" applyBorder="1"/>
    <xf numFmtId="167" fontId="0" fillId="0" borderId="0" xfId="0" applyNumberFormat="1"/>
    <xf numFmtId="173" fontId="0" fillId="0" borderId="95" xfId="0" applyNumberFormat="1" applyFill="1" applyBorder="1" applyAlignment="1" applyProtection="1">
      <alignment horizontal="right"/>
      <protection locked="0"/>
    </xf>
    <xf numFmtId="167" fontId="0" fillId="0" borderId="95" xfId="0" applyNumberFormat="1" applyFill="1" applyBorder="1" applyAlignment="1" applyProtection="1">
      <alignment horizontal="right"/>
      <protection locked="0"/>
    </xf>
    <xf numFmtId="0" fontId="3" fillId="0" borderId="0" xfId="0" applyFont="1" applyFill="1" applyBorder="1"/>
    <xf numFmtId="0" fontId="3" fillId="0" borderId="0" xfId="0" applyFont="1"/>
    <xf numFmtId="164" fontId="0" fillId="26" borderId="45" xfId="1" applyNumberFormat="1" applyFont="1" applyFill="1" applyBorder="1"/>
    <xf numFmtId="164" fontId="0" fillId="26" borderId="26" xfId="1" applyNumberFormat="1" applyFont="1" applyFill="1" applyBorder="1"/>
    <xf numFmtId="164" fontId="0" fillId="15" borderId="55" xfId="1" applyNumberFormat="1" applyFont="1" applyFill="1" applyBorder="1"/>
    <xf numFmtId="164" fontId="0" fillId="15" borderId="26" xfId="1" applyNumberFormat="1" applyFont="1" applyFill="1" applyBorder="1"/>
    <xf numFmtId="164" fontId="0" fillId="15" borderId="62" xfId="1" applyNumberFormat="1" applyFont="1" applyFill="1" applyBorder="1"/>
    <xf numFmtId="43" fontId="0" fillId="0" borderId="5" xfId="0" applyNumberFormat="1" applyBorder="1"/>
    <xf numFmtId="0" fontId="3" fillId="21" borderId="6" xfId="0" applyFont="1" applyFill="1" applyBorder="1"/>
    <xf numFmtId="167" fontId="0" fillId="34" borderId="97" xfId="0" applyNumberFormat="1" applyFill="1" applyBorder="1"/>
    <xf numFmtId="2" fontId="0" fillId="34" borderId="97" xfId="0" applyNumberFormat="1" applyFill="1" applyBorder="1"/>
    <xf numFmtId="174" fontId="0" fillId="30" borderId="93" xfId="0" applyNumberFormat="1" applyFill="1" applyBorder="1"/>
    <xf numFmtId="174" fontId="0" fillId="33" borderId="97" xfId="0" applyNumberFormat="1" applyFill="1" applyBorder="1"/>
    <xf numFmtId="176" fontId="0" fillId="0" borderId="0" xfId="0" applyNumberFormat="1"/>
    <xf numFmtId="4" fontId="0" fillId="32" borderId="95" xfId="0" applyNumberFormat="1" applyFill="1" applyBorder="1"/>
    <xf numFmtId="0" fontId="3" fillId="0" borderId="0" xfId="0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164" fontId="0" fillId="30" borderId="0" xfId="1" applyNumberFormat="1" applyFont="1" applyFill="1"/>
    <xf numFmtId="2" fontId="0" fillId="30" borderId="0" xfId="0" applyNumberFormat="1" applyFill="1"/>
    <xf numFmtId="0" fontId="2" fillId="36" borderId="5" xfId="0" applyFont="1" applyFill="1" applyBorder="1"/>
    <xf numFmtId="165" fontId="0" fillId="0" borderId="0" xfId="0" applyNumberFormat="1"/>
    <xf numFmtId="165" fontId="0" fillId="0" borderId="0" xfId="1" applyNumberFormat="1" applyFont="1"/>
    <xf numFmtId="168" fontId="0" fillId="19" borderId="0" xfId="0" applyNumberFormat="1" applyFill="1"/>
    <xf numFmtId="177" fontId="0" fillId="0" borderId="0" xfId="0" applyNumberFormat="1"/>
    <xf numFmtId="43" fontId="0" fillId="0" borderId="0" xfId="1" applyNumberFormat="1" applyFont="1"/>
    <xf numFmtId="0" fontId="3" fillId="23" borderId="6" xfId="0" applyFont="1" applyFill="1" applyBorder="1"/>
    <xf numFmtId="179" fontId="0" fillId="0" borderId="0" xfId="1" applyNumberFormat="1" applyFont="1"/>
    <xf numFmtId="167" fontId="0" fillId="32" borderId="95" xfId="0" applyNumberFormat="1" applyFill="1" applyBorder="1"/>
    <xf numFmtId="179" fontId="0" fillId="0" borderId="27" xfId="1" applyNumberFormat="1" applyFont="1" applyFill="1" applyBorder="1" applyProtection="1"/>
    <xf numFmtId="43" fontId="0" fillId="0" borderId="0" xfId="1" applyFont="1"/>
    <xf numFmtId="179" fontId="0" fillId="15" borderId="48" xfId="1" applyNumberFormat="1" applyFont="1" applyFill="1" applyBorder="1" applyProtection="1"/>
    <xf numFmtId="179" fontId="0" fillId="26" borderId="44" xfId="1" applyNumberFormat="1" applyFont="1" applyFill="1" applyBorder="1" applyProtection="1"/>
    <xf numFmtId="179" fontId="0" fillId="26" borderId="52" xfId="1" applyNumberFormat="1" applyFont="1" applyFill="1" applyBorder="1" applyProtection="1"/>
    <xf numFmtId="179" fontId="0" fillId="26" borderId="1" xfId="1" applyNumberFormat="1" applyFont="1" applyFill="1" applyBorder="1" applyProtection="1"/>
    <xf numFmtId="179" fontId="0" fillId="26" borderId="5" xfId="1" applyNumberFormat="1" applyFont="1" applyFill="1" applyBorder="1" applyProtection="1"/>
    <xf numFmtId="179" fontId="0" fillId="15" borderId="5" xfId="1" applyNumberFormat="1" applyFont="1" applyFill="1" applyBorder="1" applyProtection="1"/>
    <xf numFmtId="179" fontId="0" fillId="26" borderId="21" xfId="1" applyNumberFormat="1" applyFont="1" applyFill="1" applyBorder="1" applyProtection="1"/>
    <xf numFmtId="179" fontId="0" fillId="26" borderId="28" xfId="1" applyNumberFormat="1" applyFont="1" applyFill="1" applyBorder="1" applyProtection="1"/>
    <xf numFmtId="179" fontId="0" fillId="26" borderId="13" xfId="1" applyNumberFormat="1" applyFont="1" applyFill="1" applyBorder="1" applyProtection="1"/>
    <xf numFmtId="179" fontId="0" fillId="15" borderId="13" xfId="1" applyNumberFormat="1" applyFont="1" applyFill="1" applyBorder="1" applyProtection="1"/>
    <xf numFmtId="179" fontId="0" fillId="15" borderId="25" xfId="1" applyNumberFormat="1" applyFont="1" applyFill="1" applyBorder="1" applyProtection="1"/>
    <xf numFmtId="179" fontId="0" fillId="0" borderId="0" xfId="0" applyNumberFormat="1"/>
    <xf numFmtId="165" fontId="3" fillId="0" borderId="5" xfId="0" applyNumberFormat="1" applyFont="1" applyFill="1" applyBorder="1"/>
    <xf numFmtId="165" fontId="3" fillId="0" borderId="5" xfId="0" applyNumberFormat="1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165" fontId="3" fillId="0" borderId="32" xfId="0" applyNumberFormat="1" applyFont="1" applyFill="1" applyBorder="1" applyAlignment="1">
      <alignment horizontal="center"/>
    </xf>
    <xf numFmtId="165" fontId="3" fillId="0" borderId="21" xfId="0" applyNumberFormat="1" applyFont="1" applyFill="1" applyBorder="1" applyAlignment="1">
      <alignment horizontal="center"/>
    </xf>
    <xf numFmtId="43" fontId="0" fillId="0" borderId="0" xfId="0" applyNumberFormat="1" applyBorder="1"/>
    <xf numFmtId="9" fontId="0" fillId="2" borderId="5" xfId="2" applyFont="1" applyFill="1" applyBorder="1" applyProtection="1">
      <protection locked="0"/>
    </xf>
    <xf numFmtId="0" fontId="0" fillId="0" borderId="5" xfId="0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 wrapText="1"/>
    </xf>
    <xf numFmtId="166" fontId="0" fillId="0" borderId="5" xfId="2" applyNumberFormat="1" applyFont="1" applyFill="1" applyBorder="1" applyAlignment="1">
      <alignment horizontal="center"/>
    </xf>
    <xf numFmtId="166" fontId="0" fillId="35" borderId="41" xfId="2" applyNumberFormat="1" applyFont="1" applyFill="1" applyBorder="1"/>
    <xf numFmtId="166" fontId="0" fillId="0" borderId="5" xfId="2" applyNumberFormat="1" applyFont="1" applyBorder="1"/>
    <xf numFmtId="167" fontId="0" fillId="35" borderId="42" xfId="0" applyNumberFormat="1" applyFill="1" applyBorder="1" applyAlignment="1" applyProtection="1">
      <alignment horizontal="right"/>
      <protection locked="0"/>
    </xf>
    <xf numFmtId="166" fontId="0" fillId="35" borderId="42" xfId="2" applyNumberFormat="1" applyFont="1" applyFill="1" applyBorder="1" applyAlignment="1" applyProtection="1">
      <alignment horizontal="right"/>
      <protection locked="0"/>
    </xf>
    <xf numFmtId="166" fontId="0" fillId="35" borderId="42" xfId="2" applyNumberFormat="1" applyFont="1" applyFill="1" applyBorder="1"/>
    <xf numFmtId="0" fontId="3" fillId="0" borderId="10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5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9" xfId="0" applyFont="1" applyBorder="1" applyAlignment="1">
      <alignment horizontal="center" vertical="center" wrapText="1"/>
    </xf>
    <xf numFmtId="0" fontId="3" fillId="0" borderId="53" xfId="0" applyFont="1" applyFill="1" applyBorder="1" applyAlignment="1">
      <alignment horizontal="center" vertical="center"/>
    </xf>
    <xf numFmtId="0" fontId="3" fillId="0" borderId="54" xfId="0" applyFont="1" applyFill="1" applyBorder="1" applyAlignment="1">
      <alignment horizontal="center" vertical="center"/>
    </xf>
    <xf numFmtId="0" fontId="3" fillId="0" borderId="2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13" fillId="6" borderId="56" xfId="0" applyFont="1" applyFill="1" applyBorder="1" applyAlignment="1">
      <alignment horizontal="left" vertical="center"/>
    </xf>
    <xf numFmtId="0" fontId="13" fillId="6" borderId="39" xfId="0" applyFont="1" applyFill="1" applyBorder="1" applyAlignment="1">
      <alignment horizontal="left" vertical="center"/>
    </xf>
    <xf numFmtId="0" fontId="13" fillId="6" borderId="57" xfId="0" applyFont="1" applyFill="1" applyBorder="1" applyAlignment="1">
      <alignment horizontal="left" vertical="center"/>
    </xf>
    <xf numFmtId="0" fontId="13" fillId="6" borderId="40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left" vertical="center"/>
    </xf>
    <xf numFmtId="0" fontId="13" fillId="6" borderId="58" xfId="0" applyFont="1" applyFill="1" applyBorder="1" applyAlignment="1">
      <alignment horizontal="left" vertical="center"/>
    </xf>
    <xf numFmtId="0" fontId="13" fillId="6" borderId="59" xfId="0" applyFont="1" applyFill="1" applyBorder="1" applyAlignment="1">
      <alignment horizontal="left" vertical="center"/>
    </xf>
    <xf numFmtId="0" fontId="13" fillId="6" borderId="60" xfId="0" applyFont="1" applyFill="1" applyBorder="1" applyAlignment="1">
      <alignment horizontal="left" vertical="center"/>
    </xf>
    <xf numFmtId="0" fontId="13" fillId="6" borderId="61" xfId="0" applyFont="1" applyFill="1" applyBorder="1" applyAlignment="1">
      <alignment horizontal="left" vertical="center"/>
    </xf>
    <xf numFmtId="0" fontId="3" fillId="0" borderId="45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63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6" fillId="11" borderId="18" xfId="0" applyFont="1" applyFill="1" applyBorder="1" applyAlignment="1">
      <alignment horizontal="center" vertical="center" wrapText="1"/>
    </xf>
    <xf numFmtId="0" fontId="6" fillId="11" borderId="19" xfId="0" applyFont="1" applyFill="1" applyBorder="1" applyAlignment="1">
      <alignment horizontal="center" vertical="center" wrapText="1"/>
    </xf>
    <xf numFmtId="0" fontId="6" fillId="11" borderId="20" xfId="0" applyFont="1" applyFill="1" applyBorder="1" applyAlignment="1">
      <alignment horizontal="center" vertical="center" wrapText="1"/>
    </xf>
    <xf numFmtId="0" fontId="3" fillId="12" borderId="51" xfId="0" applyFont="1" applyFill="1" applyBorder="1" applyAlignment="1">
      <alignment horizontal="center"/>
    </xf>
    <xf numFmtId="0" fontId="3" fillId="12" borderId="64" xfId="0" applyFont="1" applyFill="1" applyBorder="1" applyAlignment="1">
      <alignment horizontal="center"/>
    </xf>
    <xf numFmtId="0" fontId="6" fillId="11" borderId="18" xfId="0" applyFont="1" applyFill="1" applyBorder="1" applyAlignment="1">
      <alignment horizontal="center" vertical="center"/>
    </xf>
    <xf numFmtId="0" fontId="6" fillId="11" borderId="19" xfId="0" applyFont="1" applyFill="1" applyBorder="1" applyAlignment="1">
      <alignment horizontal="center" vertical="center"/>
    </xf>
    <xf numFmtId="0" fontId="6" fillId="11" borderId="20" xfId="0" applyFont="1" applyFill="1" applyBorder="1" applyAlignment="1">
      <alignment horizontal="center" vertical="center"/>
    </xf>
    <xf numFmtId="0" fontId="2" fillId="18" borderId="56" xfId="0" applyFont="1" applyFill="1" applyBorder="1" applyAlignment="1">
      <alignment horizontal="center" vertical="center" wrapText="1"/>
    </xf>
    <xf numFmtId="0" fontId="2" fillId="18" borderId="40" xfId="0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1" fillId="10" borderId="0" xfId="0" applyFont="1" applyFill="1" applyBorder="1" applyAlignment="1">
      <alignment horizontal="left"/>
    </xf>
    <xf numFmtId="0" fontId="7" fillId="11" borderId="29" xfId="0" applyFont="1" applyFill="1" applyBorder="1" applyAlignment="1">
      <alignment horizontal="center" vertical="center" wrapText="1"/>
    </xf>
    <xf numFmtId="0" fontId="7" fillId="11" borderId="30" xfId="0" applyFont="1" applyFill="1" applyBorder="1" applyAlignment="1">
      <alignment horizontal="center" vertical="center" wrapText="1"/>
    </xf>
    <xf numFmtId="0" fontId="6" fillId="11" borderId="27" xfId="0" applyFont="1" applyFill="1" applyBorder="1" applyAlignment="1">
      <alignment horizontal="center" vertical="center"/>
    </xf>
    <xf numFmtId="0" fontId="6" fillId="11" borderId="31" xfId="0" applyFont="1" applyFill="1" applyBorder="1" applyAlignment="1">
      <alignment horizontal="center" vertical="center"/>
    </xf>
    <xf numFmtId="0" fontId="7" fillId="11" borderId="56" xfId="0" applyFont="1" applyFill="1" applyBorder="1" applyAlignment="1">
      <alignment horizontal="center"/>
    </xf>
    <xf numFmtId="0" fontId="7" fillId="11" borderId="57" xfId="0" applyFont="1" applyFill="1" applyBorder="1" applyAlignment="1">
      <alignment horizontal="center"/>
    </xf>
    <xf numFmtId="0" fontId="7" fillId="11" borderId="29" xfId="0" applyFont="1" applyFill="1" applyBorder="1" applyAlignment="1">
      <alignment horizontal="center"/>
    </xf>
    <xf numFmtId="0" fontId="7" fillId="11" borderId="30" xfId="0" applyFont="1" applyFill="1" applyBorder="1" applyAlignment="1">
      <alignment horizontal="center"/>
    </xf>
    <xf numFmtId="0" fontId="14" fillId="13" borderId="4" xfId="0" applyFont="1" applyFill="1" applyBorder="1" applyAlignment="1">
      <alignment horizontal="center" vertical="center"/>
    </xf>
    <xf numFmtId="0" fontId="14" fillId="13" borderId="14" xfId="0" applyFont="1" applyFill="1" applyBorder="1" applyAlignment="1">
      <alignment horizontal="center" vertical="center"/>
    </xf>
    <xf numFmtId="0" fontId="14" fillId="13" borderId="15" xfId="0" applyFont="1" applyFill="1" applyBorder="1" applyAlignment="1">
      <alignment horizontal="center" vertical="center"/>
    </xf>
    <xf numFmtId="0" fontId="3" fillId="14" borderId="10" xfId="0" applyFont="1" applyFill="1" applyBorder="1" applyAlignment="1">
      <alignment horizontal="center" vertical="center"/>
    </xf>
    <xf numFmtId="0" fontId="3" fillId="14" borderId="67" xfId="0" applyFont="1" applyFill="1" applyBorder="1" applyAlignment="1">
      <alignment horizontal="center" vertical="center"/>
    </xf>
    <xf numFmtId="0" fontId="3" fillId="14" borderId="68" xfId="0" applyFont="1" applyFill="1" applyBorder="1" applyAlignment="1">
      <alignment horizontal="center" vertical="center"/>
    </xf>
    <xf numFmtId="2" fontId="0" fillId="20" borderId="7" xfId="0" applyNumberFormat="1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0" fillId="14" borderId="67" xfId="0" applyFill="1" applyBorder="1" applyAlignment="1">
      <alignment horizontal="center" vertical="center"/>
    </xf>
    <xf numFmtId="0" fontId="0" fillId="14" borderId="68" xfId="0" applyFill="1" applyBorder="1" applyAlignment="1">
      <alignment horizontal="center" vertical="center"/>
    </xf>
    <xf numFmtId="2" fontId="0" fillId="20" borderId="0" xfId="0" applyNumberFormat="1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2" fillId="17" borderId="18" xfId="0" applyFont="1" applyFill="1" applyBorder="1" applyAlignment="1">
      <alignment horizontal="center"/>
    </xf>
    <xf numFmtId="0" fontId="2" fillId="17" borderId="19" xfId="0" applyFont="1" applyFill="1" applyBorder="1" applyAlignment="1">
      <alignment horizontal="center"/>
    </xf>
    <xf numFmtId="0" fontId="2" fillId="17" borderId="20" xfId="0" applyFont="1" applyFill="1" applyBorder="1" applyAlignment="1">
      <alignment horizontal="center"/>
    </xf>
    <xf numFmtId="0" fontId="2" fillId="17" borderId="5" xfId="0" applyFont="1" applyFill="1" applyBorder="1" applyAlignment="1">
      <alignment horizontal="center"/>
    </xf>
    <xf numFmtId="0" fontId="2" fillId="18" borderId="0" xfId="0" applyFont="1" applyFill="1" applyAlignment="1">
      <alignment horizontal="center"/>
    </xf>
    <xf numFmtId="0" fontId="3" fillId="0" borderId="53" xfId="0" applyFont="1" applyBorder="1" applyAlignment="1">
      <alignment horizontal="center"/>
    </xf>
    <xf numFmtId="0" fontId="3" fillId="0" borderId="66" xfId="0" applyFont="1" applyBorder="1" applyAlignment="1">
      <alignment horizontal="center"/>
    </xf>
    <xf numFmtId="0" fontId="3" fillId="0" borderId="54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18" borderId="39" xfId="0" applyFont="1" applyFill="1" applyBorder="1" applyAlignment="1">
      <alignment horizontal="center" wrapText="1"/>
    </xf>
    <xf numFmtId="0" fontId="2" fillId="18" borderId="0" xfId="0" applyFont="1" applyFill="1" applyBorder="1" applyAlignment="1">
      <alignment horizontal="center" wrapText="1"/>
    </xf>
    <xf numFmtId="0" fontId="0" fillId="0" borderId="5" xfId="0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167" fontId="2" fillId="8" borderId="83" xfId="0" applyNumberFormat="1" applyFont="1" applyFill="1" applyBorder="1" applyAlignment="1" applyProtection="1">
      <alignment horizontal="center"/>
      <protection locked="0"/>
    </xf>
    <xf numFmtId="167" fontId="2" fillId="8" borderId="84" xfId="0" applyNumberFormat="1" applyFont="1" applyFill="1" applyBorder="1" applyAlignment="1" applyProtection="1">
      <alignment horizontal="center"/>
      <protection locked="0"/>
    </xf>
    <xf numFmtId="167" fontId="2" fillId="8" borderId="85" xfId="0" applyNumberFormat="1" applyFont="1" applyFill="1" applyBorder="1" applyAlignment="1" applyProtection="1">
      <alignment horizontal="center"/>
      <protection locked="0"/>
    </xf>
    <xf numFmtId="167" fontId="19" fillId="31" borderId="73" xfId="0" applyNumberFormat="1" applyFont="1" applyFill="1" applyBorder="1" applyAlignment="1" applyProtection="1">
      <alignment horizontal="center" vertical="center" wrapText="1"/>
      <protection locked="0"/>
    </xf>
    <xf numFmtId="167" fontId="19" fillId="31" borderId="73" xfId="0" applyNumberFormat="1" applyFont="1" applyFill="1" applyBorder="1" applyAlignment="1" applyProtection="1">
      <alignment horizontal="center" vertical="center"/>
      <protection locked="0"/>
    </xf>
    <xf numFmtId="167" fontId="19" fillId="31" borderId="86" xfId="0" applyNumberFormat="1" applyFont="1" applyFill="1" applyBorder="1" applyAlignment="1" applyProtection="1">
      <alignment horizontal="center"/>
      <protection locked="0"/>
    </xf>
    <xf numFmtId="167" fontId="19" fillId="31" borderId="87" xfId="0" applyNumberFormat="1" applyFont="1" applyFill="1" applyBorder="1" applyAlignment="1" applyProtection="1">
      <alignment horizontal="center"/>
      <protection locked="0"/>
    </xf>
    <xf numFmtId="0" fontId="19" fillId="31" borderId="87" xfId="0" applyFont="1" applyFill="1" applyBorder="1" applyAlignment="1">
      <alignment horizontal="center"/>
    </xf>
    <xf numFmtId="0" fontId="19" fillId="31" borderId="88" xfId="0" applyFont="1" applyFill="1" applyBorder="1" applyAlignment="1">
      <alignment horizontal="center"/>
    </xf>
    <xf numFmtId="0" fontId="18" fillId="2" borderId="4" xfId="0" applyFont="1" applyFill="1" applyBorder="1"/>
    <xf numFmtId="0" fontId="18" fillId="2" borderId="14" xfId="0" applyFont="1" applyFill="1" applyBorder="1"/>
    <xf numFmtId="0" fontId="18" fillId="2" borderId="15" xfId="0" applyFont="1" applyFill="1" applyBorder="1"/>
    <xf numFmtId="167" fontId="12" fillId="0" borderId="81" xfId="0" applyNumberFormat="1" applyFont="1" applyFill="1" applyBorder="1" applyAlignment="1" applyProtection="1">
      <alignment horizontal="right" vertical="center" wrapText="1"/>
      <protection locked="0"/>
    </xf>
    <xf numFmtId="167" fontId="12" fillId="0" borderId="81" xfId="0" applyNumberFormat="1" applyFont="1" applyFill="1" applyBorder="1" applyAlignment="1" applyProtection="1">
      <alignment horizontal="right" vertical="center"/>
      <protection locked="0"/>
    </xf>
    <xf numFmtId="167" fontId="12" fillId="0" borderId="73" xfId="0" applyNumberFormat="1" applyFont="1" applyFill="1" applyBorder="1" applyAlignment="1" applyProtection="1">
      <alignment horizontal="right" vertical="center" wrapText="1"/>
      <protection locked="0"/>
    </xf>
    <xf numFmtId="167" fontId="12" fillId="0" borderId="73" xfId="0" applyNumberFormat="1" applyFont="1" applyFill="1" applyBorder="1" applyAlignment="1" applyProtection="1">
      <alignment horizontal="right" vertical="center"/>
      <protection locked="0"/>
    </xf>
    <xf numFmtId="0" fontId="7" fillId="11" borderId="70" xfId="0" applyFont="1" applyFill="1" applyBorder="1" applyAlignment="1">
      <alignment horizontal="center" vertical="center"/>
    </xf>
    <xf numFmtId="167" fontId="12" fillId="9" borderId="73" xfId="2" applyNumberFormat="1" applyFont="1" applyFill="1" applyBorder="1" applyAlignment="1">
      <alignment vertical="center"/>
    </xf>
    <xf numFmtId="166" fontId="12" fillId="0" borderId="73" xfId="2" applyNumberFormat="1" applyFont="1" applyFill="1" applyBorder="1" applyAlignment="1" applyProtection="1">
      <alignment horizontal="right" vertical="center"/>
      <protection locked="0"/>
    </xf>
    <xf numFmtId="166" fontId="17" fillId="0" borderId="77" xfId="2" applyNumberFormat="1" applyFont="1" applyFill="1" applyBorder="1" applyAlignment="1" applyProtection="1">
      <alignment horizontal="right" vertical="center"/>
      <protection locked="0"/>
    </xf>
    <xf numFmtId="166" fontId="17" fillId="0" borderId="78" xfId="2" applyNumberFormat="1" applyFont="1" applyFill="1" applyBorder="1" applyAlignment="1" applyProtection="1">
      <alignment horizontal="right" vertical="center"/>
      <protection locked="0"/>
    </xf>
    <xf numFmtId="166" fontId="17" fillId="0" borderId="79" xfId="2" applyNumberFormat="1" applyFont="1" applyFill="1" applyBorder="1" applyAlignment="1" applyProtection="1">
      <alignment horizontal="right" vertical="center"/>
      <protection locked="0"/>
    </xf>
    <xf numFmtId="0" fontId="7" fillId="11" borderId="8" xfId="0" applyFont="1" applyFill="1" applyBorder="1" applyAlignment="1">
      <alignment horizontal="center"/>
    </xf>
    <xf numFmtId="0" fontId="7" fillId="11" borderId="47" xfId="0" applyFont="1" applyFill="1" applyBorder="1" applyAlignment="1">
      <alignment horizontal="center"/>
    </xf>
    <xf numFmtId="166" fontId="12" fillId="0" borderId="81" xfId="2" applyNumberFormat="1" applyFont="1" applyFill="1" applyBorder="1" applyAlignment="1" applyProtection="1">
      <alignment horizontal="right" vertical="center"/>
      <protection locked="0"/>
    </xf>
    <xf numFmtId="0" fontId="7" fillId="11" borderId="70" xfId="0" applyFont="1" applyFill="1" applyBorder="1" applyAlignment="1">
      <alignment horizontal="center" vertical="center" wrapText="1"/>
    </xf>
    <xf numFmtId="0" fontId="7" fillId="11" borderId="71" xfId="0" applyFont="1" applyFill="1" applyBorder="1" applyAlignment="1">
      <alignment horizontal="center" vertical="center" wrapText="1"/>
    </xf>
    <xf numFmtId="166" fontId="12" fillId="9" borderId="73" xfId="2" applyNumberFormat="1" applyFont="1" applyFill="1" applyBorder="1" applyAlignment="1">
      <alignment vertical="center"/>
    </xf>
    <xf numFmtId="166" fontId="17" fillId="9" borderId="74" xfId="2" applyNumberFormat="1" applyFont="1" applyFill="1" applyBorder="1" applyAlignment="1">
      <alignment vertical="center"/>
    </xf>
    <xf numFmtId="166" fontId="17" fillId="9" borderId="75" xfId="2" applyNumberFormat="1" applyFont="1" applyFill="1" applyBorder="1" applyAlignment="1">
      <alignment vertical="center"/>
    </xf>
    <xf numFmtId="166" fontId="17" fillId="9" borderId="76" xfId="2" applyNumberFormat="1" applyFont="1" applyFill="1" applyBorder="1" applyAlignment="1">
      <alignment vertical="center"/>
    </xf>
    <xf numFmtId="0" fontId="3" fillId="0" borderId="56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3" fillId="19" borderId="5" xfId="0" applyFont="1" applyFill="1" applyBorder="1" applyAlignment="1" applyProtection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 wrapText="1"/>
    </xf>
  </cellXfs>
  <cellStyles count="4">
    <cellStyle name="Comma" xfId="1" builtinId="3"/>
    <cellStyle name="Comma 2" xfId="3" xr:uid="{29FF4006-7A54-4D46-A395-F11135C24D24}"/>
    <cellStyle name="Normal" xfId="0" builtinId="0"/>
    <cellStyle name="Percent" xfId="2" builtinId="5"/>
  </cellStyles>
  <dxfs count="10">
    <dxf>
      <fill>
        <patternFill>
          <bgColor theme="4" tint="0.79998168889431442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247156605424325"/>
          <c:y val="0"/>
          <c:w val="0.64978537839020123"/>
          <c:h val="0.9946559842456732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5.2032517902705806E-2"/>
                  <c:y val="4.52744038840447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B8-4E6C-9C78-320C4CEA21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Summary!$AD$130:$AK$130</c:f>
              <c:strCache>
                <c:ptCount val="8"/>
                <c:pt idx="0">
                  <c:v>Price</c:v>
                </c:pt>
                <c:pt idx="1">
                  <c:v>Distribution</c:v>
                </c:pt>
                <c:pt idx="2">
                  <c:v>DA%GR</c:v>
                </c:pt>
                <c:pt idx="3">
                  <c:v>Media - TV</c:v>
                </c:pt>
                <c:pt idx="4">
                  <c:v>Media - Digital</c:v>
                </c:pt>
                <c:pt idx="5">
                  <c:v>Media - KOL</c:v>
                </c:pt>
                <c:pt idx="6">
                  <c:v>Media - OOH</c:v>
                </c:pt>
                <c:pt idx="7">
                  <c:v>Total</c:v>
                </c:pt>
              </c:strCache>
            </c:strRef>
          </c:cat>
          <c:val>
            <c:numRef>
              <c:f>Summary!$AD$131:$AK$131</c:f>
              <c:numCache>
                <c:formatCode>0.0%</c:formatCode>
                <c:ptCount val="8"/>
                <c:pt idx="0">
                  <c:v>0</c:v>
                </c:pt>
                <c:pt idx="1">
                  <c:v>3.8364944623884324E-2</c:v>
                </c:pt>
                <c:pt idx="2">
                  <c:v>0</c:v>
                </c:pt>
                <c:pt idx="3">
                  <c:v>3.6850995835908894E-3</c:v>
                </c:pt>
                <c:pt idx="4">
                  <c:v>9.4995578742284182E-4</c:v>
                </c:pt>
                <c:pt idx="5">
                  <c:v>0</c:v>
                </c:pt>
                <c:pt idx="6">
                  <c:v>0</c:v>
                </c:pt>
                <c:pt idx="7">
                  <c:v>4.2999999994898057E-2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4A-4283-956E-A295A2CEB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25388232"/>
        <c:axId val="325389216"/>
      </c:barChart>
      <c:catAx>
        <c:axId val="325388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389216"/>
        <c:crosses val="autoZero"/>
        <c:auto val="1"/>
        <c:lblAlgn val="ctr"/>
        <c:lblOffset val="100"/>
        <c:noMultiLvlLbl val="0"/>
      </c:catAx>
      <c:valAx>
        <c:axId val="32538921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3253882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247156605424325"/>
          <c:y val="0"/>
          <c:w val="0.64978537839020123"/>
          <c:h val="0.9946559842456732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Summary!$AD$130:$AK$130</c:f>
              <c:strCache>
                <c:ptCount val="8"/>
                <c:pt idx="0">
                  <c:v>Price</c:v>
                </c:pt>
                <c:pt idx="1">
                  <c:v>Distribution</c:v>
                </c:pt>
                <c:pt idx="2">
                  <c:v>DA%GR</c:v>
                </c:pt>
                <c:pt idx="3">
                  <c:v>Media - TV</c:v>
                </c:pt>
                <c:pt idx="4">
                  <c:v>Media - Digital</c:v>
                </c:pt>
                <c:pt idx="5">
                  <c:v>Media - KOL</c:v>
                </c:pt>
                <c:pt idx="6">
                  <c:v>Media - OOH</c:v>
                </c:pt>
                <c:pt idx="7">
                  <c:v>Total</c:v>
                </c:pt>
              </c:strCache>
            </c:strRef>
          </c:cat>
          <c:val>
            <c:numRef>
              <c:f>Summary!$AD$132:$AK$132</c:f>
              <c:numCache>
                <c:formatCode>0.0%</c:formatCode>
                <c:ptCount val="8"/>
                <c:pt idx="0">
                  <c:v>0</c:v>
                </c:pt>
                <c:pt idx="1">
                  <c:v>0.17909807129798178</c:v>
                </c:pt>
                <c:pt idx="2">
                  <c:v>7.927292836489408E-3</c:v>
                </c:pt>
                <c:pt idx="3">
                  <c:v>1.2533007219179425E-2</c:v>
                </c:pt>
                <c:pt idx="4">
                  <c:v>8.4416286896367414E-3</c:v>
                </c:pt>
                <c:pt idx="5">
                  <c:v>0</c:v>
                </c:pt>
                <c:pt idx="6">
                  <c:v>0</c:v>
                </c:pt>
                <c:pt idx="7">
                  <c:v>0.20800000004328736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E-49CE-B2D8-DC1EA9750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25388232"/>
        <c:axId val="325389216"/>
      </c:barChart>
      <c:catAx>
        <c:axId val="325388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389216"/>
        <c:crosses val="autoZero"/>
        <c:auto val="1"/>
        <c:lblAlgn val="ctr"/>
        <c:lblOffset val="100"/>
        <c:noMultiLvlLbl val="0"/>
      </c:catAx>
      <c:valAx>
        <c:axId val="32538921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3253882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247156605424325"/>
          <c:y val="0"/>
          <c:w val="0.64978537839020123"/>
          <c:h val="0.9946559842456732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Summary!$AD$130:$AK$130</c:f>
              <c:strCache>
                <c:ptCount val="8"/>
                <c:pt idx="0">
                  <c:v>Price</c:v>
                </c:pt>
                <c:pt idx="1">
                  <c:v>Distribution</c:v>
                </c:pt>
                <c:pt idx="2">
                  <c:v>DA%GR</c:v>
                </c:pt>
                <c:pt idx="3">
                  <c:v>Media - TV</c:v>
                </c:pt>
                <c:pt idx="4">
                  <c:v>Media - Digital</c:v>
                </c:pt>
                <c:pt idx="5">
                  <c:v>Media - KOL</c:v>
                </c:pt>
                <c:pt idx="6">
                  <c:v>Media - OOH</c:v>
                </c:pt>
                <c:pt idx="7">
                  <c:v>Total</c:v>
                </c:pt>
              </c:strCache>
            </c:strRef>
          </c:cat>
          <c:val>
            <c:numRef>
              <c:f>Summary!$AD$133:$AK$133</c:f>
              <c:numCache>
                <c:formatCode>0.0%</c:formatCode>
                <c:ptCount val="8"/>
                <c:pt idx="0">
                  <c:v>0</c:v>
                </c:pt>
                <c:pt idx="1">
                  <c:v>0.45406484281720694</c:v>
                </c:pt>
                <c:pt idx="2">
                  <c:v>1.3657776740653733E-2</c:v>
                </c:pt>
                <c:pt idx="3">
                  <c:v>4.3709965412795631E-3</c:v>
                </c:pt>
                <c:pt idx="4">
                  <c:v>3.7907056185455056E-2</c:v>
                </c:pt>
                <c:pt idx="5">
                  <c:v>0</c:v>
                </c:pt>
                <c:pt idx="6">
                  <c:v>0</c:v>
                </c:pt>
                <c:pt idx="7">
                  <c:v>0.51000067228459534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B0-4794-9E71-33DC9ED51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25388232"/>
        <c:axId val="325389216"/>
      </c:barChart>
      <c:catAx>
        <c:axId val="325388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389216"/>
        <c:crosses val="autoZero"/>
        <c:auto val="1"/>
        <c:lblAlgn val="ctr"/>
        <c:lblOffset val="100"/>
        <c:noMultiLvlLbl val="0"/>
      </c:catAx>
      <c:valAx>
        <c:axId val="32538921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3253882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247156605424325"/>
          <c:y val="0"/>
          <c:w val="0.64978537839020123"/>
          <c:h val="0.9946559842456732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Summary!$AD$130:$AK$130</c:f>
              <c:strCache>
                <c:ptCount val="8"/>
                <c:pt idx="0">
                  <c:v>Price</c:v>
                </c:pt>
                <c:pt idx="1">
                  <c:v>Distribution</c:v>
                </c:pt>
                <c:pt idx="2">
                  <c:v>DA%GR</c:v>
                </c:pt>
                <c:pt idx="3">
                  <c:v>Media - TV</c:v>
                </c:pt>
                <c:pt idx="4">
                  <c:v>Media - Digital</c:v>
                </c:pt>
                <c:pt idx="5">
                  <c:v>Media - KOL</c:v>
                </c:pt>
                <c:pt idx="6">
                  <c:v>Media - OOH</c:v>
                </c:pt>
                <c:pt idx="7">
                  <c:v>Total</c:v>
                </c:pt>
              </c:strCache>
            </c:strRef>
          </c:cat>
          <c:val>
            <c:numRef>
              <c:f>Summary!$AD$134:$AK$134</c:f>
              <c:numCache>
                <c:formatCode>0.0%</c:formatCode>
                <c:ptCount val="8"/>
                <c:pt idx="0">
                  <c:v>0</c:v>
                </c:pt>
                <c:pt idx="1">
                  <c:v>6.4738082997819427E-2</c:v>
                </c:pt>
                <c:pt idx="2">
                  <c:v>1.0362531230147403E-3</c:v>
                </c:pt>
                <c:pt idx="3">
                  <c:v>4.171371678888737E-3</c:v>
                </c:pt>
                <c:pt idx="4">
                  <c:v>3.0366413899740145E-3</c:v>
                </c:pt>
                <c:pt idx="5">
                  <c:v>0</c:v>
                </c:pt>
                <c:pt idx="6">
                  <c:v>0</c:v>
                </c:pt>
                <c:pt idx="7">
                  <c:v>7.2982349189696913E-2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9-4032-85EF-BE3BEAA9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25388232"/>
        <c:axId val="325389216"/>
      </c:barChart>
      <c:catAx>
        <c:axId val="325388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389216"/>
        <c:crosses val="autoZero"/>
        <c:auto val="1"/>
        <c:lblAlgn val="ctr"/>
        <c:lblOffset val="100"/>
        <c:noMultiLvlLbl val="0"/>
      </c:catAx>
      <c:valAx>
        <c:axId val="32538921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3253882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hyperlink" Target="#Calculator!A1"/><Relationship Id="rId7" Type="http://schemas.openxmlformats.org/officeDocument/2006/relationships/image" Target="../media/image3.png"/><Relationship Id="rId2" Type="http://schemas.openxmlformats.org/officeDocument/2006/relationships/hyperlink" Target="#Simulator2!A1"/><Relationship Id="rId1" Type="http://schemas.openxmlformats.org/officeDocument/2006/relationships/hyperlink" Target="#Summary!A1"/><Relationship Id="rId6" Type="http://schemas.microsoft.com/office/2007/relationships/hdphoto" Target="../media/hdphoto1.wdp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hyperlink" Target="#Calculator!A1"/><Relationship Id="rId7" Type="http://schemas.openxmlformats.org/officeDocument/2006/relationships/image" Target="../media/image3.png"/><Relationship Id="rId2" Type="http://schemas.openxmlformats.org/officeDocument/2006/relationships/hyperlink" Target="#Simulator2!A1"/><Relationship Id="rId1" Type="http://schemas.openxmlformats.org/officeDocument/2006/relationships/hyperlink" Target="#Summary!A1"/><Relationship Id="rId6" Type="http://schemas.microsoft.com/office/2007/relationships/hdphoto" Target="../media/hdphoto1.wdp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hyperlink" Target="#Calculator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Simulator2!A1"/><Relationship Id="rId5" Type="http://schemas.openxmlformats.org/officeDocument/2006/relationships/hyperlink" Target="#Summary!A1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150586</xdr:colOff>
      <xdr:row>4</xdr:row>
      <xdr:rowOff>54598</xdr:rowOff>
    </xdr:from>
    <xdr:to>
      <xdr:col>14</xdr:col>
      <xdr:colOff>343443</xdr:colOff>
      <xdr:row>5</xdr:row>
      <xdr:rowOff>223667</xdr:rowOff>
    </xdr:to>
    <xdr:sp macro="[0]!Mirinda_Final" textlink="">
      <xdr:nvSpPr>
        <xdr:cNvPr id="8" name="Rounded Rectangle 7">
          <a:extLst>
            <a:ext uri="{FF2B5EF4-FFF2-40B4-BE49-F238E27FC236}">
              <a16:creationId xmlns:a16="http://schemas.microsoft.com/office/drawing/2014/main" id="{5BEAB782-FFF9-4149-9560-B77697040400}"/>
            </a:ext>
          </a:extLst>
        </xdr:cNvPr>
        <xdr:cNvSpPr/>
      </xdr:nvSpPr>
      <xdr:spPr>
        <a:xfrm>
          <a:off x="8613182" y="1043733"/>
          <a:ext cx="998819" cy="230126"/>
        </a:xfrm>
        <a:prstGeom prst="roundRect">
          <a:avLst/>
        </a:prstGeom>
        <a:solidFill>
          <a:schemeClr val="accent2"/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baseline="0"/>
            <a:t>Mirinda</a:t>
          </a:r>
        </a:p>
      </xdr:txBody>
    </xdr:sp>
    <xdr:clientData/>
  </xdr:twoCellAnchor>
  <xdr:twoCellAnchor editAs="absolute">
    <xdr:from>
      <xdr:col>14</xdr:col>
      <xdr:colOff>414887</xdr:colOff>
      <xdr:row>4</xdr:row>
      <xdr:rowOff>54903</xdr:rowOff>
    </xdr:from>
    <xdr:to>
      <xdr:col>16</xdr:col>
      <xdr:colOff>68292</xdr:colOff>
      <xdr:row>6</xdr:row>
      <xdr:rowOff>6410</xdr:rowOff>
    </xdr:to>
    <xdr:sp macro="[0]!portfolio_simulator" textlink="">
      <xdr:nvSpPr>
        <xdr:cNvPr id="10" name="Rounded Rectangle 7">
          <a:extLst>
            <a:ext uri="{FF2B5EF4-FFF2-40B4-BE49-F238E27FC236}">
              <a16:creationId xmlns:a16="http://schemas.microsoft.com/office/drawing/2014/main" id="{77390E7C-24DB-4AB3-BC65-39513F5011FA}"/>
            </a:ext>
          </a:extLst>
        </xdr:cNvPr>
        <xdr:cNvSpPr/>
      </xdr:nvSpPr>
      <xdr:spPr>
        <a:xfrm>
          <a:off x="9683445" y="1044038"/>
          <a:ext cx="996674" cy="244584"/>
        </a:xfrm>
        <a:prstGeom prst="roundRect">
          <a:avLst/>
        </a:prstGeom>
        <a:solidFill>
          <a:schemeClr val="accent6"/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Portfolio</a:t>
          </a:r>
          <a:endParaRPr lang="en-US" sz="1400" b="1" baseline="0"/>
        </a:p>
      </xdr:txBody>
    </xdr:sp>
    <xdr:clientData/>
  </xdr:twoCellAnchor>
  <xdr:twoCellAnchor editAs="absolute">
    <xdr:from>
      <xdr:col>1</xdr:col>
      <xdr:colOff>99160</xdr:colOff>
      <xdr:row>70</xdr:row>
      <xdr:rowOff>114363</xdr:rowOff>
    </xdr:from>
    <xdr:to>
      <xdr:col>6</xdr:col>
      <xdr:colOff>552330</xdr:colOff>
      <xdr:row>72</xdr:row>
      <xdr:rowOff>54709</xdr:rowOff>
    </xdr:to>
    <xdr:sp macro="" textlink="">
      <xdr:nvSpPr>
        <xdr:cNvPr id="11" name="Rounded Rectangle 5">
          <a:extLst>
            <a:ext uri="{FF2B5EF4-FFF2-40B4-BE49-F238E27FC236}">
              <a16:creationId xmlns:a16="http://schemas.microsoft.com/office/drawing/2014/main" id="{CDDED1E8-C06B-4CB1-9E20-CF246E027263}"/>
            </a:ext>
          </a:extLst>
        </xdr:cNvPr>
        <xdr:cNvSpPr/>
      </xdr:nvSpPr>
      <xdr:spPr>
        <a:xfrm>
          <a:off x="99160" y="14511767"/>
          <a:ext cx="3689228" cy="331115"/>
        </a:xfrm>
        <a:prstGeom prst="roundRect">
          <a:avLst/>
        </a:prstGeom>
        <a:solidFill>
          <a:schemeClr val="accent1"/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Click here</a:t>
          </a:r>
          <a:r>
            <a:rPr lang="en-US" sz="1400" b="1" baseline="0"/>
            <a:t> for guidelines</a:t>
          </a:r>
          <a:endParaRPr lang="en-US" sz="1400" b="1"/>
        </a:p>
      </xdr:txBody>
    </xdr:sp>
    <xdr:clientData/>
  </xdr:twoCellAnchor>
  <xdr:twoCellAnchor editAs="absolute">
    <xdr:from>
      <xdr:col>11</xdr:col>
      <xdr:colOff>149651</xdr:colOff>
      <xdr:row>4</xdr:row>
      <xdr:rowOff>54598</xdr:rowOff>
    </xdr:from>
    <xdr:to>
      <xdr:col>11</xdr:col>
      <xdr:colOff>1150606</xdr:colOff>
      <xdr:row>5</xdr:row>
      <xdr:rowOff>223667</xdr:rowOff>
    </xdr:to>
    <xdr:sp macro="[0]!All_Brands" textlink="">
      <xdr:nvSpPr>
        <xdr:cNvPr id="12" name="Rounded Rectangle 7">
          <a:extLst>
            <a:ext uri="{FF2B5EF4-FFF2-40B4-BE49-F238E27FC236}">
              <a16:creationId xmlns:a16="http://schemas.microsoft.com/office/drawing/2014/main" id="{11493B50-F01E-4691-BEC6-33C09F3523CE}"/>
            </a:ext>
          </a:extLst>
        </xdr:cNvPr>
        <xdr:cNvSpPr/>
      </xdr:nvSpPr>
      <xdr:spPr>
        <a:xfrm>
          <a:off x="6426993" y="1054723"/>
          <a:ext cx="1005840" cy="228600"/>
        </a:xfrm>
        <a:prstGeom prst="roundRect">
          <a:avLst/>
        </a:prstGeom>
        <a:solidFill>
          <a:srgbClr val="A80000"/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 All Brands</a:t>
          </a:r>
          <a:endParaRPr lang="en-US" sz="1400" b="1" baseline="0"/>
        </a:p>
      </xdr:txBody>
    </xdr:sp>
    <xdr:clientData/>
  </xdr:twoCellAnchor>
  <xdr:twoCellAnchor editAs="absolute">
    <xdr:from>
      <xdr:col>8</xdr:col>
      <xdr:colOff>743678</xdr:colOff>
      <xdr:row>3</xdr:row>
      <xdr:rowOff>83648</xdr:rowOff>
    </xdr:from>
    <xdr:to>
      <xdr:col>11</xdr:col>
      <xdr:colOff>1068724</xdr:colOff>
      <xdr:row>3</xdr:row>
      <xdr:rowOff>331298</xdr:rowOff>
    </xdr:to>
    <xdr:sp macro="" textlink="">
      <xdr:nvSpPr>
        <xdr:cNvPr id="13" name="Rounded Rectangle 7">
          <a:hlinkClick xmlns:r="http://schemas.openxmlformats.org/officeDocument/2006/relationships" r:id="rId1" tooltip="Switch to Summary Tab"/>
          <a:extLst>
            <a:ext uri="{FF2B5EF4-FFF2-40B4-BE49-F238E27FC236}">
              <a16:creationId xmlns:a16="http://schemas.microsoft.com/office/drawing/2014/main" id="{6C844B99-7ECE-406B-ABFF-41D1C728EFB0}"/>
            </a:ext>
          </a:extLst>
        </xdr:cNvPr>
        <xdr:cNvSpPr/>
      </xdr:nvSpPr>
      <xdr:spPr>
        <a:xfrm>
          <a:off x="4981082" y="694225"/>
          <a:ext cx="2364373" cy="247650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Summary</a:t>
          </a:r>
          <a:endParaRPr lang="en-US" sz="1400" b="1" baseline="0"/>
        </a:p>
      </xdr:txBody>
    </xdr:sp>
    <xdr:clientData/>
  </xdr:twoCellAnchor>
  <xdr:twoCellAnchor editAs="absolute">
    <xdr:from>
      <xdr:col>1</xdr:col>
      <xdr:colOff>121801</xdr:colOff>
      <xdr:row>3</xdr:row>
      <xdr:rowOff>83648</xdr:rowOff>
    </xdr:from>
    <xdr:to>
      <xdr:col>4</xdr:col>
      <xdr:colOff>339324</xdr:colOff>
      <xdr:row>3</xdr:row>
      <xdr:rowOff>331298</xdr:rowOff>
    </xdr:to>
    <xdr:sp macro="" textlink="">
      <xdr:nvSpPr>
        <xdr:cNvPr id="14" name="Rounded Rectangle 7">
          <a:hlinkClick xmlns:r="http://schemas.openxmlformats.org/officeDocument/2006/relationships" r:id="rId2" tooltip="Switch to Simulator tab"/>
          <a:extLst>
            <a:ext uri="{FF2B5EF4-FFF2-40B4-BE49-F238E27FC236}">
              <a16:creationId xmlns:a16="http://schemas.microsoft.com/office/drawing/2014/main" id="{54E74FA7-DE72-46F8-823C-0F5A11542B0D}"/>
            </a:ext>
          </a:extLst>
        </xdr:cNvPr>
        <xdr:cNvSpPr/>
      </xdr:nvSpPr>
      <xdr:spPr>
        <a:xfrm>
          <a:off x="121801" y="694225"/>
          <a:ext cx="2342331" cy="24765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Simulation</a:t>
          </a:r>
          <a:r>
            <a:rPr lang="en-US" sz="1400" b="1" baseline="0"/>
            <a:t> Result </a:t>
          </a:r>
        </a:p>
      </xdr:txBody>
    </xdr:sp>
    <xdr:clientData/>
  </xdr:twoCellAnchor>
  <xdr:twoCellAnchor editAs="absolute">
    <xdr:from>
      <xdr:col>4</xdr:col>
      <xdr:colOff>430382</xdr:colOff>
      <xdr:row>3</xdr:row>
      <xdr:rowOff>83647</xdr:rowOff>
    </xdr:from>
    <xdr:to>
      <xdr:col>8</xdr:col>
      <xdr:colOff>658590</xdr:colOff>
      <xdr:row>3</xdr:row>
      <xdr:rowOff>331297</xdr:rowOff>
    </xdr:to>
    <xdr:sp macro="" textlink="">
      <xdr:nvSpPr>
        <xdr:cNvPr id="15" name="Rounded Rectangle 7">
          <a:hlinkClick xmlns:r="http://schemas.openxmlformats.org/officeDocument/2006/relationships" r:id="rId3" tooltip="Switch to Scenario Calculator tab"/>
          <a:extLst>
            <a:ext uri="{FF2B5EF4-FFF2-40B4-BE49-F238E27FC236}">
              <a16:creationId xmlns:a16="http://schemas.microsoft.com/office/drawing/2014/main" id="{D1366E3C-7337-45D6-8A2C-741AC7134825}"/>
            </a:ext>
          </a:extLst>
        </xdr:cNvPr>
        <xdr:cNvSpPr/>
      </xdr:nvSpPr>
      <xdr:spPr>
        <a:xfrm>
          <a:off x="2555190" y="694224"/>
          <a:ext cx="2340804" cy="24765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Calculator</a:t>
          </a:r>
          <a:endParaRPr lang="en-US" sz="1400" b="1" baseline="0"/>
        </a:p>
      </xdr:txBody>
    </xdr:sp>
    <xdr:clientData/>
  </xdr:twoCellAnchor>
  <xdr:twoCellAnchor editAs="absolute">
    <xdr:from>
      <xdr:col>16</xdr:col>
      <xdr:colOff>132488</xdr:colOff>
      <xdr:row>4</xdr:row>
      <xdr:rowOff>54598</xdr:rowOff>
    </xdr:from>
    <xdr:to>
      <xdr:col>18</xdr:col>
      <xdr:colOff>3876</xdr:colOff>
      <xdr:row>5</xdr:row>
      <xdr:rowOff>223667</xdr:rowOff>
    </xdr:to>
    <xdr:sp macro="[0]!reset_simu" textlink="">
      <xdr:nvSpPr>
        <xdr:cNvPr id="17" name="Rounded Rectangle 7">
          <a:extLst>
            <a:ext uri="{FF2B5EF4-FFF2-40B4-BE49-F238E27FC236}">
              <a16:creationId xmlns:a16="http://schemas.microsoft.com/office/drawing/2014/main" id="{590338A3-DB49-4F8A-A720-224917D6412A}"/>
            </a:ext>
          </a:extLst>
        </xdr:cNvPr>
        <xdr:cNvSpPr/>
      </xdr:nvSpPr>
      <xdr:spPr>
        <a:xfrm>
          <a:off x="10744315" y="1043733"/>
          <a:ext cx="994849" cy="230126"/>
        </a:xfrm>
        <a:prstGeom prst="roundRect">
          <a:avLst/>
        </a:prstGeom>
        <a:solidFill>
          <a:schemeClr val="bg1">
            <a:lumMod val="50000"/>
          </a:schemeClr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baseline="0"/>
            <a:t>Reset</a:t>
          </a:r>
        </a:p>
      </xdr:txBody>
    </xdr:sp>
    <xdr:clientData/>
  </xdr:twoCellAnchor>
  <xdr:twoCellAnchor editAs="oneCell">
    <xdr:from>
      <xdr:col>10</xdr:col>
      <xdr:colOff>843935</xdr:colOff>
      <xdr:row>9</xdr:row>
      <xdr:rowOff>47625</xdr:rowOff>
    </xdr:from>
    <xdr:to>
      <xdr:col>11</xdr:col>
      <xdr:colOff>236038</xdr:colOff>
      <xdr:row>11</xdr:row>
      <xdr:rowOff>130624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F307C77-E695-4660-B2EB-B93D3B177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5873" y="2333625"/>
          <a:ext cx="523197" cy="463999"/>
        </a:xfrm>
        <a:prstGeom prst="rect">
          <a:avLst/>
        </a:prstGeom>
      </xdr:spPr>
    </xdr:pic>
    <xdr:clientData/>
  </xdr:twoCellAnchor>
  <xdr:twoCellAnchor editAs="oneCell">
    <xdr:from>
      <xdr:col>10</xdr:col>
      <xdr:colOff>809625</xdr:colOff>
      <xdr:row>36</xdr:row>
      <xdr:rowOff>49926</xdr:rowOff>
    </xdr:from>
    <xdr:to>
      <xdr:col>11</xdr:col>
      <xdr:colOff>337818</xdr:colOff>
      <xdr:row>38</xdr:row>
      <xdr:rowOff>147306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E98046D-2ACD-44CD-8204-89F1003729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9999" t="8334" r="11667" b="9998"/>
        <a:stretch/>
      </xdr:blipFill>
      <xdr:spPr>
        <a:xfrm>
          <a:off x="4881563" y="7574676"/>
          <a:ext cx="659287" cy="490286"/>
        </a:xfrm>
        <a:prstGeom prst="rect">
          <a:avLst/>
        </a:prstGeom>
      </xdr:spPr>
    </xdr:pic>
    <xdr:clientData/>
  </xdr:twoCellAnchor>
  <xdr:twoCellAnchor editAs="oneCell">
    <xdr:from>
      <xdr:col>10</xdr:col>
      <xdr:colOff>774217</xdr:colOff>
      <xdr:row>60</xdr:row>
      <xdr:rowOff>17831</xdr:rowOff>
    </xdr:from>
    <xdr:to>
      <xdr:col>11</xdr:col>
      <xdr:colOff>290192</xdr:colOff>
      <xdr:row>62</xdr:row>
      <xdr:rowOff>169778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3B4A767-53B9-4C20-A632-C499921A4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6039" b="92029" l="10000" r="90000">
                      <a14:foregroundMark x1="52545" y1="6039" x2="52545" y2="6039"/>
                      <a14:foregroundMark x1="51455" y1="92029" x2="51455" y2="92029"/>
                      <a14:foregroundMark x1="83818" y1="36473" x2="83818" y2="36473"/>
                      <a14:foregroundMark x1="82727" y1="31159" x2="82727" y2="31159"/>
                      <a14:foregroundMark x1="81455" y1="29469" x2="81455" y2="29469"/>
                      <a14:foregroundMark x1="78909" y1="23430" x2="78909" y2="23430"/>
                      <a14:foregroundMark x1="79273" y1="24638" x2="79273" y2="24638"/>
                      <a14:foregroundMark x1="77273" y1="20290" x2="77273" y2="20290"/>
                      <a14:foregroundMark x1="75091" y1="16425" x2="75091" y2="16425"/>
                      <a14:foregroundMark x1="74364" y1="15459" x2="74364" y2="15459"/>
                      <a14:foregroundMark x1="71455" y1="19082" x2="71455" y2="19082"/>
                      <a14:foregroundMark x1="71455" y1="17150" x2="71455" y2="17150"/>
                      <a14:foregroundMark x1="71455" y1="17874" x2="74182" y2="15942"/>
                      <a14:foregroundMark x1="71091" y1="16425" x2="71091" y2="16425"/>
                      <a14:foregroundMark x1="73818" y1="14734" x2="73818" y2="14734"/>
                      <a14:foregroundMark x1="73091" y1="14251" x2="73091" y2="14251"/>
                      <a14:foregroundMark x1="72545" y1="14010" x2="72545" y2="14010"/>
                      <a14:foregroundMark x1="71636" y1="14976" x2="71636" y2="14976"/>
                      <a14:backgroundMark x1="69273" y1="6763" x2="69273" y2="676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6155" y="12388425"/>
          <a:ext cx="647069" cy="532947"/>
        </a:xfrm>
        <a:prstGeom prst="rect">
          <a:avLst/>
        </a:prstGeom>
      </xdr:spPr>
    </xdr:pic>
    <xdr:clientData/>
  </xdr:twoCellAnchor>
  <xdr:twoCellAnchor>
    <xdr:from>
      <xdr:col>1</xdr:col>
      <xdr:colOff>97692</xdr:colOff>
      <xdr:row>15</xdr:row>
      <xdr:rowOff>97694</xdr:rowOff>
    </xdr:from>
    <xdr:to>
      <xdr:col>8</xdr:col>
      <xdr:colOff>146538</xdr:colOff>
      <xdr:row>21</xdr:row>
      <xdr:rowOff>122116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5EA293A2-2C3B-4DA0-B5A0-F5824905D004}"/>
            </a:ext>
          </a:extLst>
        </xdr:cNvPr>
        <xdr:cNvSpPr/>
      </xdr:nvSpPr>
      <xdr:spPr>
        <a:xfrm>
          <a:off x="97692" y="3529136"/>
          <a:ext cx="4176346" cy="1196730"/>
        </a:xfrm>
        <a:prstGeom prst="roundRect">
          <a:avLst>
            <a:gd name="adj" fmla="val 4167"/>
          </a:avLst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109903</xdr:colOff>
      <xdr:row>13</xdr:row>
      <xdr:rowOff>61058</xdr:rowOff>
    </xdr:from>
    <xdr:to>
      <xdr:col>8</xdr:col>
      <xdr:colOff>146538</xdr:colOff>
      <xdr:row>15</xdr:row>
      <xdr:rowOff>32239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95604907-122E-4EE7-8EDC-00FFC33C267B}"/>
            </a:ext>
          </a:extLst>
        </xdr:cNvPr>
        <xdr:cNvSpPr/>
      </xdr:nvSpPr>
      <xdr:spPr>
        <a:xfrm>
          <a:off x="109903" y="3101731"/>
          <a:ext cx="4164135" cy="3619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/>
            <a:t>Change the contrainsts from below</a:t>
          </a:r>
        </a:p>
      </xdr:txBody>
    </xdr:sp>
    <xdr:clientData/>
  </xdr:twoCellAnchor>
  <xdr:twoCellAnchor>
    <xdr:from>
      <xdr:col>1</xdr:col>
      <xdr:colOff>103553</xdr:colOff>
      <xdr:row>21</xdr:row>
      <xdr:rowOff>176824</xdr:rowOff>
    </xdr:from>
    <xdr:to>
      <xdr:col>8</xdr:col>
      <xdr:colOff>152399</xdr:colOff>
      <xdr:row>33</xdr:row>
      <xdr:rowOff>48846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E864C062-A972-4241-A503-BFC311058105}"/>
            </a:ext>
          </a:extLst>
        </xdr:cNvPr>
        <xdr:cNvSpPr/>
      </xdr:nvSpPr>
      <xdr:spPr>
        <a:xfrm>
          <a:off x="103553" y="4780574"/>
          <a:ext cx="4176346" cy="2216637"/>
        </a:xfrm>
        <a:prstGeom prst="roundRect">
          <a:avLst>
            <a:gd name="adj" fmla="val 4167"/>
          </a:avLst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12211</xdr:colOff>
      <xdr:row>16</xdr:row>
      <xdr:rowOff>12209</xdr:rowOff>
    </xdr:from>
    <xdr:to>
      <xdr:col>3</xdr:col>
      <xdr:colOff>12211</xdr:colOff>
      <xdr:row>17</xdr:row>
      <xdr:rowOff>12211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7F91C7B4-5103-4C05-8239-E2956D63C106}"/>
            </a:ext>
          </a:extLst>
        </xdr:cNvPr>
        <xdr:cNvSpPr/>
      </xdr:nvSpPr>
      <xdr:spPr>
        <a:xfrm>
          <a:off x="158749" y="3639036"/>
          <a:ext cx="891443" cy="195387"/>
        </a:xfrm>
        <a:prstGeom prst="rect">
          <a:avLst/>
        </a:prstGeom>
        <a:solidFill>
          <a:srgbClr val="FF7F22"/>
        </a:solidFill>
        <a:ln w="12700" cap="flat" cmpd="sng" algn="ctr">
          <a:noFill/>
          <a:prstDash val="solid"/>
          <a:miter lim="800000"/>
        </a:ln>
        <a:effectLst/>
      </xdr:spPr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120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Trade</a:t>
          </a:r>
        </a:p>
      </xdr:txBody>
    </xdr:sp>
    <xdr:clientData/>
  </xdr:twoCellAnchor>
  <xdr:twoCellAnchor>
    <xdr:from>
      <xdr:col>1</xdr:col>
      <xdr:colOff>23933</xdr:colOff>
      <xdr:row>33</xdr:row>
      <xdr:rowOff>97206</xdr:rowOff>
    </xdr:from>
    <xdr:to>
      <xdr:col>9</xdr:col>
      <xdr:colOff>61056</xdr:colOff>
      <xdr:row>42</xdr:row>
      <xdr:rowOff>170961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12839A41-0E46-4589-8003-A6756A12B16D}"/>
            </a:ext>
          </a:extLst>
        </xdr:cNvPr>
        <xdr:cNvSpPr/>
      </xdr:nvSpPr>
      <xdr:spPr>
        <a:xfrm>
          <a:off x="23933" y="7045571"/>
          <a:ext cx="4970585" cy="1832217"/>
        </a:xfrm>
        <a:prstGeom prst="roundRect">
          <a:avLst>
            <a:gd name="adj" fmla="val 4167"/>
          </a:avLst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29796</xdr:colOff>
      <xdr:row>43</xdr:row>
      <xdr:rowOff>54220</xdr:rowOff>
    </xdr:from>
    <xdr:to>
      <xdr:col>8</xdr:col>
      <xdr:colOff>73270</xdr:colOff>
      <xdr:row>56</xdr:row>
      <xdr:rowOff>85480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324F850C-6401-4DA8-B463-AD59E7C09AE7}"/>
            </a:ext>
          </a:extLst>
        </xdr:cNvPr>
        <xdr:cNvSpPr/>
      </xdr:nvSpPr>
      <xdr:spPr>
        <a:xfrm>
          <a:off x="29796" y="8956432"/>
          <a:ext cx="4170974" cy="2571260"/>
        </a:xfrm>
        <a:prstGeom prst="roundRect">
          <a:avLst>
            <a:gd name="adj" fmla="val 4167"/>
          </a:avLst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24423</xdr:colOff>
      <xdr:row>56</xdr:row>
      <xdr:rowOff>134327</xdr:rowOff>
    </xdr:from>
    <xdr:to>
      <xdr:col>8</xdr:col>
      <xdr:colOff>67897</xdr:colOff>
      <xdr:row>65</xdr:row>
      <xdr:rowOff>115766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CB2E8724-B2DE-4F61-9A17-AFB104F8B50D}"/>
            </a:ext>
          </a:extLst>
        </xdr:cNvPr>
        <xdr:cNvSpPr/>
      </xdr:nvSpPr>
      <xdr:spPr>
        <a:xfrm>
          <a:off x="24423" y="11576539"/>
          <a:ext cx="4170974" cy="1959708"/>
        </a:xfrm>
        <a:prstGeom prst="roundRect">
          <a:avLst>
            <a:gd name="adj" fmla="val 4167"/>
          </a:avLst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18074</xdr:colOff>
      <xdr:row>22</xdr:row>
      <xdr:rowOff>12212</xdr:rowOff>
    </xdr:from>
    <xdr:to>
      <xdr:col>3</xdr:col>
      <xdr:colOff>18074</xdr:colOff>
      <xdr:row>23</xdr:row>
      <xdr:rowOff>24424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BE01D062-D933-4E2D-BBDC-16A198F13276}"/>
            </a:ext>
          </a:extLst>
        </xdr:cNvPr>
        <xdr:cNvSpPr/>
      </xdr:nvSpPr>
      <xdr:spPr>
        <a:xfrm>
          <a:off x="164612" y="4811347"/>
          <a:ext cx="891443" cy="207596"/>
        </a:xfrm>
        <a:prstGeom prst="rect">
          <a:avLst/>
        </a:prstGeom>
        <a:solidFill>
          <a:srgbClr val="FF7F22"/>
        </a:solidFill>
        <a:ln w="12700" cap="flat" cmpd="sng" algn="ctr">
          <a:noFill/>
          <a:prstDash val="solid"/>
          <a:miter lim="800000"/>
        </a:ln>
        <a:effectLst/>
      </xdr:spPr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120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TV</a:t>
          </a:r>
        </a:p>
      </xdr:txBody>
    </xdr:sp>
    <xdr:clientData/>
  </xdr:twoCellAnchor>
  <xdr:twoCellAnchor>
    <xdr:from>
      <xdr:col>1</xdr:col>
      <xdr:colOff>146050</xdr:colOff>
      <xdr:row>34</xdr:row>
      <xdr:rowOff>183173</xdr:rowOff>
    </xdr:from>
    <xdr:to>
      <xdr:col>4</xdr:col>
      <xdr:colOff>12211</xdr:colOff>
      <xdr:row>35</xdr:row>
      <xdr:rowOff>183173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C002CDE5-8D36-4284-A257-FAD2318DCF81}"/>
            </a:ext>
          </a:extLst>
        </xdr:cNvPr>
        <xdr:cNvSpPr/>
      </xdr:nvSpPr>
      <xdr:spPr>
        <a:xfrm>
          <a:off x="146050" y="7326923"/>
          <a:ext cx="1990969" cy="195385"/>
        </a:xfrm>
        <a:prstGeom prst="rect">
          <a:avLst/>
        </a:prstGeom>
        <a:solidFill>
          <a:srgbClr val="FF7F22"/>
        </a:solidFill>
        <a:ln w="12700" cap="flat" cmpd="sng" algn="ctr">
          <a:noFill/>
          <a:prstDash val="solid"/>
          <a:miter lim="800000"/>
        </a:ln>
        <a:effectLst/>
      </xdr:spPr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120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Digital</a:t>
          </a:r>
        </a:p>
      </xdr:txBody>
    </xdr:sp>
    <xdr:clientData/>
  </xdr:twoCellAnchor>
  <xdr:twoCellAnchor>
    <xdr:from>
      <xdr:col>1</xdr:col>
      <xdr:colOff>139700</xdr:colOff>
      <xdr:row>43</xdr:row>
      <xdr:rowOff>158750</xdr:rowOff>
    </xdr:from>
    <xdr:to>
      <xdr:col>4</xdr:col>
      <xdr:colOff>5861</xdr:colOff>
      <xdr:row>45</xdr:row>
      <xdr:rowOff>5862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AE937CB-5409-4889-BBDB-DE1CDBB11350}"/>
            </a:ext>
          </a:extLst>
        </xdr:cNvPr>
        <xdr:cNvSpPr/>
      </xdr:nvSpPr>
      <xdr:spPr>
        <a:xfrm>
          <a:off x="139700" y="9060962"/>
          <a:ext cx="1990969" cy="237881"/>
        </a:xfrm>
        <a:prstGeom prst="rect">
          <a:avLst/>
        </a:prstGeom>
        <a:solidFill>
          <a:srgbClr val="FF7F22"/>
        </a:solidFill>
        <a:ln w="12700" cap="flat" cmpd="sng" algn="ctr">
          <a:noFill/>
          <a:prstDash val="solid"/>
          <a:miter lim="800000"/>
        </a:ln>
        <a:effectLst/>
      </xdr:spPr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120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KOL + Partnership</a:t>
          </a:r>
        </a:p>
      </xdr:txBody>
    </xdr:sp>
    <xdr:clientData/>
  </xdr:twoCellAnchor>
  <xdr:twoCellAnchor>
    <xdr:from>
      <xdr:col>1</xdr:col>
      <xdr:colOff>133349</xdr:colOff>
      <xdr:row>56</xdr:row>
      <xdr:rowOff>194896</xdr:rowOff>
    </xdr:from>
    <xdr:to>
      <xdr:col>3</xdr:col>
      <xdr:colOff>1086337</xdr:colOff>
      <xdr:row>57</xdr:row>
      <xdr:rowOff>194897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2676A3F1-7D5C-40E4-BF69-6FA738D5DD37}"/>
            </a:ext>
          </a:extLst>
        </xdr:cNvPr>
        <xdr:cNvSpPr/>
      </xdr:nvSpPr>
      <xdr:spPr>
        <a:xfrm>
          <a:off x="133349" y="11637108"/>
          <a:ext cx="1990969" cy="195385"/>
        </a:xfrm>
        <a:prstGeom prst="rect">
          <a:avLst/>
        </a:prstGeom>
        <a:solidFill>
          <a:srgbClr val="FF7F22"/>
        </a:solidFill>
        <a:ln w="12700" cap="flat" cmpd="sng" algn="ctr">
          <a:noFill/>
          <a:prstDash val="solid"/>
          <a:miter lim="800000"/>
        </a:ln>
        <a:effectLst/>
      </xdr:spPr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120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OOH</a:t>
          </a:r>
        </a:p>
      </xdr:txBody>
    </xdr:sp>
    <xdr:clientData/>
  </xdr:twoCellAnchor>
  <xdr:twoCellAnchor editAs="absolute">
    <xdr:from>
      <xdr:col>11</xdr:col>
      <xdr:colOff>1208303</xdr:colOff>
      <xdr:row>4</xdr:row>
      <xdr:rowOff>48845</xdr:rowOff>
    </xdr:from>
    <xdr:to>
      <xdr:col>13</xdr:col>
      <xdr:colOff>87008</xdr:colOff>
      <xdr:row>6</xdr:row>
      <xdr:rowOff>4273</xdr:rowOff>
    </xdr:to>
    <xdr:sp macro="[0]!Pepsi_TM_Final" textlink="">
      <xdr:nvSpPr>
        <xdr:cNvPr id="31" name="Rounded Rectangle 7">
          <a:extLst>
            <a:ext uri="{FF2B5EF4-FFF2-40B4-BE49-F238E27FC236}">
              <a16:creationId xmlns:a16="http://schemas.microsoft.com/office/drawing/2014/main" id="{28911D8B-C557-4123-90F7-458CFABAEE1E}"/>
            </a:ext>
          </a:extLst>
        </xdr:cNvPr>
        <xdr:cNvSpPr/>
      </xdr:nvSpPr>
      <xdr:spPr>
        <a:xfrm>
          <a:off x="7485034" y="1037980"/>
          <a:ext cx="1064570" cy="248505"/>
        </a:xfrm>
        <a:prstGeom prst="roundRect">
          <a:avLst/>
        </a:prstGeom>
        <a:solidFill>
          <a:schemeClr val="tx1"/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baseline="0"/>
            <a:t>Pepsi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123581</xdr:colOff>
      <xdr:row>70</xdr:row>
      <xdr:rowOff>138785</xdr:rowOff>
    </xdr:from>
    <xdr:to>
      <xdr:col>6</xdr:col>
      <xdr:colOff>576751</xdr:colOff>
      <xdr:row>72</xdr:row>
      <xdr:rowOff>79131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4B16ADBD-C399-47EF-AD14-F6944BB55045}"/>
            </a:ext>
          </a:extLst>
        </xdr:cNvPr>
        <xdr:cNvSpPr/>
      </xdr:nvSpPr>
      <xdr:spPr>
        <a:xfrm>
          <a:off x="123581" y="14536189"/>
          <a:ext cx="3689228" cy="331115"/>
        </a:xfrm>
        <a:prstGeom prst="roundRect">
          <a:avLst/>
        </a:prstGeom>
        <a:solidFill>
          <a:schemeClr val="accent1"/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Click here</a:t>
          </a:r>
          <a:r>
            <a:rPr lang="en-US" sz="1400" b="1" baseline="0"/>
            <a:t> for guidelines</a:t>
          </a:r>
          <a:endParaRPr lang="en-US" sz="1400" b="1"/>
        </a:p>
      </xdr:txBody>
    </xdr:sp>
    <xdr:clientData/>
  </xdr:twoCellAnchor>
  <xdr:twoCellAnchor editAs="absolute">
    <xdr:from>
      <xdr:col>8</xdr:col>
      <xdr:colOff>670409</xdr:colOff>
      <xdr:row>3</xdr:row>
      <xdr:rowOff>108071</xdr:rowOff>
    </xdr:from>
    <xdr:to>
      <xdr:col>11</xdr:col>
      <xdr:colOff>995455</xdr:colOff>
      <xdr:row>3</xdr:row>
      <xdr:rowOff>355721</xdr:rowOff>
    </xdr:to>
    <xdr:sp macro="" textlink="">
      <xdr:nvSpPr>
        <xdr:cNvPr id="8" name="Rounded Rectangle 7">
          <a:hlinkClick xmlns:r="http://schemas.openxmlformats.org/officeDocument/2006/relationships" r:id="rId1" tooltip="Switch to Summary Tab"/>
          <a:extLst>
            <a:ext uri="{FF2B5EF4-FFF2-40B4-BE49-F238E27FC236}">
              <a16:creationId xmlns:a16="http://schemas.microsoft.com/office/drawing/2014/main" id="{4165D102-1F46-46A2-943F-F249E46D9471}"/>
            </a:ext>
          </a:extLst>
        </xdr:cNvPr>
        <xdr:cNvSpPr/>
      </xdr:nvSpPr>
      <xdr:spPr>
        <a:xfrm>
          <a:off x="4907813" y="718648"/>
          <a:ext cx="2364373" cy="247650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Summary</a:t>
          </a:r>
          <a:endParaRPr lang="en-US" sz="1400" b="1" baseline="0"/>
        </a:p>
      </xdr:txBody>
    </xdr:sp>
    <xdr:clientData/>
  </xdr:twoCellAnchor>
  <xdr:twoCellAnchor editAs="absolute">
    <xdr:from>
      <xdr:col>1</xdr:col>
      <xdr:colOff>36321</xdr:colOff>
      <xdr:row>3</xdr:row>
      <xdr:rowOff>108071</xdr:rowOff>
    </xdr:from>
    <xdr:to>
      <xdr:col>4</xdr:col>
      <xdr:colOff>253844</xdr:colOff>
      <xdr:row>3</xdr:row>
      <xdr:rowOff>355721</xdr:rowOff>
    </xdr:to>
    <xdr:sp macro="" textlink="">
      <xdr:nvSpPr>
        <xdr:cNvPr id="9" name="Rounded Rectangle 7">
          <a:hlinkClick xmlns:r="http://schemas.openxmlformats.org/officeDocument/2006/relationships" r:id="rId2" tooltip="Switch to Simulator tab"/>
          <a:extLst>
            <a:ext uri="{FF2B5EF4-FFF2-40B4-BE49-F238E27FC236}">
              <a16:creationId xmlns:a16="http://schemas.microsoft.com/office/drawing/2014/main" id="{D6A4800F-4D9B-4FAE-AEDA-DE94D87CB043}"/>
            </a:ext>
          </a:extLst>
        </xdr:cNvPr>
        <xdr:cNvSpPr/>
      </xdr:nvSpPr>
      <xdr:spPr>
        <a:xfrm>
          <a:off x="36321" y="718648"/>
          <a:ext cx="2342331" cy="24765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Simulation</a:t>
          </a:r>
          <a:r>
            <a:rPr lang="en-US" sz="1400" b="1" baseline="0"/>
            <a:t> Result </a:t>
          </a:r>
        </a:p>
      </xdr:txBody>
    </xdr:sp>
    <xdr:clientData/>
  </xdr:twoCellAnchor>
  <xdr:twoCellAnchor editAs="absolute">
    <xdr:from>
      <xdr:col>4</xdr:col>
      <xdr:colOff>357113</xdr:colOff>
      <xdr:row>3</xdr:row>
      <xdr:rowOff>108071</xdr:rowOff>
    </xdr:from>
    <xdr:to>
      <xdr:col>8</xdr:col>
      <xdr:colOff>585321</xdr:colOff>
      <xdr:row>3</xdr:row>
      <xdr:rowOff>355721</xdr:rowOff>
    </xdr:to>
    <xdr:sp macro="" textlink="">
      <xdr:nvSpPr>
        <xdr:cNvPr id="10" name="Rounded Rectangle 7">
          <a:hlinkClick xmlns:r="http://schemas.openxmlformats.org/officeDocument/2006/relationships" r:id="rId3" tooltip="Switch to Scenario Calculator tab"/>
          <a:extLst>
            <a:ext uri="{FF2B5EF4-FFF2-40B4-BE49-F238E27FC236}">
              <a16:creationId xmlns:a16="http://schemas.microsoft.com/office/drawing/2014/main" id="{21D2102E-7DAE-4C1D-A2BD-BC01EF9D54EA}"/>
            </a:ext>
          </a:extLst>
        </xdr:cNvPr>
        <xdr:cNvSpPr/>
      </xdr:nvSpPr>
      <xdr:spPr>
        <a:xfrm>
          <a:off x="2481921" y="718648"/>
          <a:ext cx="2340804" cy="24765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Calculator</a:t>
          </a:r>
          <a:endParaRPr lang="en-US" sz="1400" b="1" baseline="0"/>
        </a:p>
      </xdr:txBody>
    </xdr:sp>
    <xdr:clientData/>
  </xdr:twoCellAnchor>
  <xdr:twoCellAnchor editAs="oneCell">
    <xdr:from>
      <xdr:col>10</xdr:col>
      <xdr:colOff>843935</xdr:colOff>
      <xdr:row>9</xdr:row>
      <xdr:rowOff>47625</xdr:rowOff>
    </xdr:from>
    <xdr:to>
      <xdr:col>11</xdr:col>
      <xdr:colOff>236038</xdr:colOff>
      <xdr:row>11</xdr:row>
      <xdr:rowOff>130624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8E37E2F-8100-4866-BF1A-BF38883A9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82660" y="2324100"/>
          <a:ext cx="525578" cy="463999"/>
        </a:xfrm>
        <a:prstGeom prst="rect">
          <a:avLst/>
        </a:prstGeom>
      </xdr:spPr>
    </xdr:pic>
    <xdr:clientData/>
  </xdr:twoCellAnchor>
  <xdr:twoCellAnchor editAs="oneCell">
    <xdr:from>
      <xdr:col>10</xdr:col>
      <xdr:colOff>809625</xdr:colOff>
      <xdr:row>36</xdr:row>
      <xdr:rowOff>49926</xdr:rowOff>
    </xdr:from>
    <xdr:to>
      <xdr:col>11</xdr:col>
      <xdr:colOff>337818</xdr:colOff>
      <xdr:row>38</xdr:row>
      <xdr:rowOff>147306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0AEC195-86F1-412D-A1C2-50C7994138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9999" t="8334" r="11667" b="9998"/>
        <a:stretch/>
      </xdr:blipFill>
      <xdr:spPr>
        <a:xfrm>
          <a:off x="5848350" y="7574676"/>
          <a:ext cx="661668" cy="487905"/>
        </a:xfrm>
        <a:prstGeom prst="rect">
          <a:avLst/>
        </a:prstGeom>
      </xdr:spPr>
    </xdr:pic>
    <xdr:clientData/>
  </xdr:twoCellAnchor>
  <xdr:twoCellAnchor editAs="oneCell">
    <xdr:from>
      <xdr:col>10</xdr:col>
      <xdr:colOff>774217</xdr:colOff>
      <xdr:row>60</xdr:row>
      <xdr:rowOff>17831</xdr:rowOff>
    </xdr:from>
    <xdr:to>
      <xdr:col>11</xdr:col>
      <xdr:colOff>290192</xdr:colOff>
      <xdr:row>62</xdr:row>
      <xdr:rowOff>169778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9576FB3-B2AB-4003-9C7C-8B1FC94EB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6039" b="92029" l="10000" r="90000">
                      <a14:foregroundMark x1="52545" y1="6039" x2="52545" y2="6039"/>
                      <a14:foregroundMark x1="51455" y1="92029" x2="51455" y2="92029"/>
                      <a14:foregroundMark x1="83818" y1="36473" x2="83818" y2="36473"/>
                      <a14:foregroundMark x1="82727" y1="31159" x2="82727" y2="31159"/>
                      <a14:foregroundMark x1="81455" y1="29469" x2="81455" y2="29469"/>
                      <a14:foregroundMark x1="78909" y1="23430" x2="78909" y2="23430"/>
                      <a14:foregroundMark x1="79273" y1="24638" x2="79273" y2="24638"/>
                      <a14:foregroundMark x1="77273" y1="20290" x2="77273" y2="20290"/>
                      <a14:foregroundMark x1="75091" y1="16425" x2="75091" y2="16425"/>
                      <a14:foregroundMark x1="74364" y1="15459" x2="74364" y2="15459"/>
                      <a14:foregroundMark x1="71455" y1="19082" x2="71455" y2="19082"/>
                      <a14:foregroundMark x1="71455" y1="17150" x2="71455" y2="17150"/>
                      <a14:foregroundMark x1="71455" y1="17874" x2="74182" y2="15942"/>
                      <a14:foregroundMark x1="71091" y1="16425" x2="71091" y2="16425"/>
                      <a14:foregroundMark x1="73818" y1="14734" x2="73818" y2="14734"/>
                      <a14:foregroundMark x1="73091" y1="14251" x2="73091" y2="14251"/>
                      <a14:foregroundMark x1="72545" y1="14010" x2="72545" y2="14010"/>
                      <a14:foregroundMark x1="71636" y1="14976" x2="71636" y2="14976"/>
                      <a14:backgroundMark x1="69273" y1="6763" x2="69273" y2="676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2942" y="12619406"/>
          <a:ext cx="649450" cy="532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488157</xdr:colOff>
      <xdr:row>43</xdr:row>
      <xdr:rowOff>71436</xdr:rowOff>
    </xdr:from>
    <xdr:to>
      <xdr:col>8</xdr:col>
      <xdr:colOff>547688</xdr:colOff>
      <xdr:row>58</xdr:row>
      <xdr:rowOff>19053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CA8B6E-3D21-4724-969F-1FD39B31D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11908</xdr:colOff>
      <xdr:row>43</xdr:row>
      <xdr:rowOff>71436</xdr:rowOff>
    </xdr:from>
    <xdr:to>
      <xdr:col>17</xdr:col>
      <xdr:colOff>11906</xdr:colOff>
      <xdr:row>58</xdr:row>
      <xdr:rowOff>19053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958D06-C5DF-46A7-B2E3-F0EB0D07B7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18</xdr:col>
      <xdr:colOff>23812</xdr:colOff>
      <xdr:row>43</xdr:row>
      <xdr:rowOff>83342</xdr:rowOff>
    </xdr:from>
    <xdr:to>
      <xdr:col>25</xdr:col>
      <xdr:colOff>23811</xdr:colOff>
      <xdr:row>58</xdr:row>
      <xdr:rowOff>30959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FBC2DB-565A-48CA-86B0-26423BDF85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238126</xdr:colOff>
      <xdr:row>22</xdr:row>
      <xdr:rowOff>0</xdr:rowOff>
    </xdr:from>
    <xdr:to>
      <xdr:col>18</xdr:col>
      <xdr:colOff>142874</xdr:colOff>
      <xdr:row>37</xdr:row>
      <xdr:rowOff>138116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85AF02C-1145-4B30-B154-931EC5530A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8</xdr:col>
      <xdr:colOff>476250</xdr:colOff>
      <xdr:row>6</xdr:row>
      <xdr:rowOff>1</xdr:rowOff>
    </xdr:from>
    <xdr:to>
      <xdr:col>13</xdr:col>
      <xdr:colOff>316498</xdr:colOff>
      <xdr:row>7</xdr:row>
      <xdr:rowOff>57151</xdr:rowOff>
    </xdr:to>
    <xdr:sp macro="" textlink="">
      <xdr:nvSpPr>
        <xdr:cNvPr id="6" name="Rounded Rectangle 7">
          <a:hlinkClick xmlns:r="http://schemas.openxmlformats.org/officeDocument/2006/relationships" r:id="rId5" tooltip="Switch to Summary Tab"/>
          <a:extLst>
            <a:ext uri="{FF2B5EF4-FFF2-40B4-BE49-F238E27FC236}">
              <a16:creationId xmlns:a16="http://schemas.microsoft.com/office/drawing/2014/main" id="{8F79B5A6-D43F-4BA2-A087-1793B8C590A1}"/>
            </a:ext>
          </a:extLst>
        </xdr:cNvPr>
        <xdr:cNvSpPr/>
      </xdr:nvSpPr>
      <xdr:spPr>
        <a:xfrm>
          <a:off x="5786438" y="190501"/>
          <a:ext cx="2364373" cy="247650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Summary</a:t>
          </a:r>
          <a:endParaRPr lang="en-US" sz="1400" b="1" baseline="0"/>
        </a:p>
      </xdr:txBody>
    </xdr:sp>
    <xdr:clientData/>
  </xdr:twoCellAnchor>
  <xdr:twoCellAnchor editAs="absolute">
    <xdr:from>
      <xdr:col>0</xdr:col>
      <xdr:colOff>601109</xdr:colOff>
      <xdr:row>6</xdr:row>
      <xdr:rowOff>1</xdr:rowOff>
    </xdr:from>
    <xdr:to>
      <xdr:col>4</xdr:col>
      <xdr:colOff>2596</xdr:colOff>
      <xdr:row>7</xdr:row>
      <xdr:rowOff>57151</xdr:rowOff>
    </xdr:to>
    <xdr:sp macro="" textlink="">
      <xdr:nvSpPr>
        <xdr:cNvPr id="7" name="Rounded Rectangle 7">
          <a:hlinkClick xmlns:r="http://schemas.openxmlformats.org/officeDocument/2006/relationships" r:id="rId6" tooltip="Switch to Simulator tab"/>
          <a:extLst>
            <a:ext uri="{FF2B5EF4-FFF2-40B4-BE49-F238E27FC236}">
              <a16:creationId xmlns:a16="http://schemas.microsoft.com/office/drawing/2014/main" id="{3DDC5A95-20D4-4743-BB3E-7FC5F2A49DCD}"/>
            </a:ext>
          </a:extLst>
        </xdr:cNvPr>
        <xdr:cNvSpPr/>
      </xdr:nvSpPr>
      <xdr:spPr>
        <a:xfrm>
          <a:off x="601109" y="190501"/>
          <a:ext cx="2342331" cy="24765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Simulation</a:t>
          </a:r>
          <a:r>
            <a:rPr lang="en-US" sz="1400" b="1" baseline="0"/>
            <a:t> Result </a:t>
          </a:r>
        </a:p>
      </xdr:txBody>
    </xdr:sp>
    <xdr:clientData/>
  </xdr:twoCellAnchor>
  <xdr:twoCellAnchor editAs="absolute">
    <xdr:from>
      <xdr:col>4</xdr:col>
      <xdr:colOff>215769</xdr:colOff>
      <xdr:row>6</xdr:row>
      <xdr:rowOff>1</xdr:rowOff>
    </xdr:from>
    <xdr:to>
      <xdr:col>8</xdr:col>
      <xdr:colOff>187229</xdr:colOff>
      <xdr:row>7</xdr:row>
      <xdr:rowOff>57151</xdr:rowOff>
    </xdr:to>
    <xdr:sp macro="" textlink="">
      <xdr:nvSpPr>
        <xdr:cNvPr id="8" name="Rounded Rectangle 7">
          <a:hlinkClick xmlns:r="http://schemas.openxmlformats.org/officeDocument/2006/relationships" r:id="rId7" tooltip="Switch to Scenario Calculator tab"/>
          <a:extLst>
            <a:ext uri="{FF2B5EF4-FFF2-40B4-BE49-F238E27FC236}">
              <a16:creationId xmlns:a16="http://schemas.microsoft.com/office/drawing/2014/main" id="{7EE5330C-5FA5-4664-AA7D-E6710EE1100E}"/>
            </a:ext>
          </a:extLst>
        </xdr:cNvPr>
        <xdr:cNvSpPr/>
      </xdr:nvSpPr>
      <xdr:spPr>
        <a:xfrm>
          <a:off x="3156613" y="190501"/>
          <a:ext cx="2340804" cy="24765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Calculator</a:t>
          </a:r>
          <a:endParaRPr lang="en-US" sz="1400" b="1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5</xdr:row>
      <xdr:rowOff>1</xdr:rowOff>
    </xdr:from>
    <xdr:to>
      <xdr:col>4</xdr:col>
      <xdr:colOff>1333500</xdr:colOff>
      <xdr:row>6</xdr:row>
      <xdr:rowOff>107157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3A7704E-BC76-41B7-8984-E1635CB3AA83}"/>
            </a:ext>
          </a:extLst>
        </xdr:cNvPr>
        <xdr:cNvSpPr/>
      </xdr:nvSpPr>
      <xdr:spPr>
        <a:xfrm>
          <a:off x="607220" y="1714501"/>
          <a:ext cx="3655218" cy="29765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Distribution</a:t>
          </a:r>
        </a:p>
      </xdr:txBody>
    </xdr:sp>
    <xdr:clientData/>
  </xdr:twoCellAnchor>
  <xdr:twoCellAnchor editAs="oneCell">
    <xdr:from>
      <xdr:col>5</xdr:col>
      <xdr:colOff>843935</xdr:colOff>
      <xdr:row>60</xdr:row>
      <xdr:rowOff>47625</xdr:rowOff>
    </xdr:from>
    <xdr:to>
      <xdr:col>6</xdr:col>
      <xdr:colOff>369388</xdr:colOff>
      <xdr:row>62</xdr:row>
      <xdr:rowOff>130624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93920AA-4AAD-4657-8683-D55B5A34C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82660" y="2324100"/>
          <a:ext cx="525578" cy="463999"/>
        </a:xfrm>
        <a:prstGeom prst="rect">
          <a:avLst/>
        </a:prstGeom>
      </xdr:spPr>
    </xdr:pic>
    <xdr:clientData/>
  </xdr:twoCellAnchor>
  <xdr:twoCellAnchor editAs="oneCell">
    <xdr:from>
      <xdr:col>5</xdr:col>
      <xdr:colOff>809625</xdr:colOff>
      <xdr:row>87</xdr:row>
      <xdr:rowOff>49926</xdr:rowOff>
    </xdr:from>
    <xdr:to>
      <xdr:col>6</xdr:col>
      <xdr:colOff>471168</xdr:colOff>
      <xdr:row>89</xdr:row>
      <xdr:rowOff>156831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53DF2F0-A3E3-4EA6-9691-2D12D056B2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9999" t="8334" r="11667" b="9998"/>
        <a:stretch/>
      </xdr:blipFill>
      <xdr:spPr>
        <a:xfrm>
          <a:off x="5848350" y="7574676"/>
          <a:ext cx="661668" cy="487905"/>
        </a:xfrm>
        <a:prstGeom prst="rect">
          <a:avLst/>
        </a:prstGeom>
      </xdr:spPr>
    </xdr:pic>
    <xdr:clientData/>
  </xdr:twoCellAnchor>
  <xdr:twoCellAnchor editAs="oneCell">
    <xdr:from>
      <xdr:col>5</xdr:col>
      <xdr:colOff>774217</xdr:colOff>
      <xdr:row>111</xdr:row>
      <xdr:rowOff>17831</xdr:rowOff>
    </xdr:from>
    <xdr:to>
      <xdr:col>6</xdr:col>
      <xdr:colOff>423542</xdr:colOff>
      <xdr:row>113</xdr:row>
      <xdr:rowOff>169778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0299C89-17D9-4CFD-9069-1A1F336B3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6039" b="92029" l="10000" r="90000">
                      <a14:foregroundMark x1="52545" y1="6039" x2="52545" y2="6039"/>
                      <a14:foregroundMark x1="51455" y1="92029" x2="51455" y2="92029"/>
                      <a14:foregroundMark x1="83818" y1="36473" x2="83818" y2="36473"/>
                      <a14:foregroundMark x1="82727" y1="31159" x2="82727" y2="31159"/>
                      <a14:foregroundMark x1="81455" y1="29469" x2="81455" y2="29469"/>
                      <a14:foregroundMark x1="78909" y1="23430" x2="78909" y2="23430"/>
                      <a14:foregroundMark x1="79273" y1="24638" x2="79273" y2="24638"/>
                      <a14:foregroundMark x1="77273" y1="20290" x2="77273" y2="20290"/>
                      <a14:foregroundMark x1="75091" y1="16425" x2="75091" y2="16425"/>
                      <a14:foregroundMark x1="74364" y1="15459" x2="74364" y2="15459"/>
                      <a14:foregroundMark x1="71455" y1="19082" x2="71455" y2="19082"/>
                      <a14:foregroundMark x1="71455" y1="17150" x2="71455" y2="17150"/>
                      <a14:foregroundMark x1="71455" y1="17874" x2="74182" y2="15942"/>
                      <a14:foregroundMark x1="71091" y1="16425" x2="71091" y2="16425"/>
                      <a14:foregroundMark x1="73818" y1="14734" x2="73818" y2="14734"/>
                      <a14:foregroundMark x1="73091" y1="14251" x2="73091" y2="14251"/>
                      <a14:foregroundMark x1="72545" y1="14010" x2="72545" y2="14010"/>
                      <a14:foregroundMark x1="71636" y1="14976" x2="71636" y2="14976"/>
                      <a14:backgroundMark x1="69273" y1="6763" x2="69273" y2="676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2942" y="12619406"/>
          <a:ext cx="649450" cy="5329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100A1-5C8C-44DC-9F3F-9D1CCFFEFC2F}">
  <sheetPr codeName="Sheet1"/>
  <dimension ref="A2:B10"/>
  <sheetViews>
    <sheetView workbookViewId="0">
      <selection activeCell="A3" sqref="A3"/>
    </sheetView>
  </sheetViews>
  <sheetFormatPr defaultRowHeight="15" x14ac:dyDescent="0.25"/>
  <cols>
    <col min="1" max="1" width="26.85546875" bestFit="1" customWidth="1"/>
  </cols>
  <sheetData>
    <row r="2" spans="1:2" x14ac:dyDescent="0.25">
      <c r="A2" t="s">
        <v>11</v>
      </c>
    </row>
    <row r="4" spans="1:2" x14ac:dyDescent="0.25">
      <c r="A4" t="s">
        <v>6</v>
      </c>
      <c r="B4" s="1">
        <v>43891</v>
      </c>
    </row>
    <row r="5" spans="1:2" x14ac:dyDescent="0.25">
      <c r="A5" t="s">
        <v>3</v>
      </c>
    </row>
    <row r="6" spans="1:2" x14ac:dyDescent="0.25">
      <c r="A6" t="s">
        <v>2</v>
      </c>
      <c r="B6" t="s">
        <v>5</v>
      </c>
    </row>
    <row r="7" spans="1:2" x14ac:dyDescent="0.25">
      <c r="A7" t="s">
        <v>0</v>
      </c>
      <c r="B7" t="s">
        <v>1</v>
      </c>
    </row>
    <row r="8" spans="1:2" x14ac:dyDescent="0.25">
      <c r="A8" s="2" t="s">
        <v>4</v>
      </c>
    </row>
    <row r="9" spans="1:2" x14ac:dyDescent="0.25">
      <c r="A9" t="s">
        <v>7</v>
      </c>
      <c r="B9" t="s">
        <v>8</v>
      </c>
    </row>
    <row r="10" spans="1:2" x14ac:dyDescent="0.25">
      <c r="A10" t="s">
        <v>9</v>
      </c>
      <c r="B10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CA1BE-3162-4156-A852-E549B4FFE9E5}">
  <sheetPr codeName="Sheet6">
    <tabColor rgb="FF00B050"/>
  </sheetPr>
  <dimension ref="B1:JF176"/>
  <sheetViews>
    <sheetView showGridLines="0" showRowColHeaders="0" tabSelected="1" topLeftCell="B2" zoomScale="78" zoomScaleNormal="78" workbookViewId="0">
      <pane xSplit="11" ySplit="8" topLeftCell="M10" activePane="bottomRight" state="frozen"/>
      <selection activeCell="M6" sqref="M6"/>
      <selection pane="topRight" activeCell="M6" sqref="M6"/>
      <selection pane="bottomLeft" activeCell="M6" sqref="M6"/>
      <selection pane="bottomRight" activeCell="C8" sqref="C8:D8"/>
    </sheetView>
  </sheetViews>
  <sheetFormatPr defaultColWidth="0" defaultRowHeight="0" customHeight="1" zeroHeight="1" x14ac:dyDescent="0.25"/>
  <cols>
    <col min="1" max="1" width="9.140625" hidden="1" customWidth="1"/>
    <col min="2" max="2" width="2.28515625" customWidth="1"/>
    <col min="3" max="3" width="13.42578125" customWidth="1"/>
    <col min="4" max="4" width="16.28515625" customWidth="1"/>
    <col min="5" max="5" width="15.7109375" customWidth="1"/>
    <col min="6" max="6" width="0.85546875" customWidth="1"/>
    <col min="7" max="7" width="14.140625" customWidth="1"/>
    <col min="8" max="8" width="0.85546875" customWidth="1"/>
    <col min="9" max="9" width="12.140625" customWidth="1"/>
    <col min="10" max="10" width="1.42578125" customWidth="1"/>
    <col min="11" max="11" width="17" customWidth="1"/>
    <col min="12" max="12" width="18.5703125" customWidth="1"/>
    <col min="13" max="13" width="14.28515625" customWidth="1"/>
    <col min="14" max="14" width="12" bestFit="1" customWidth="1"/>
    <col min="15" max="16" width="10.140625" bestFit="1" customWidth="1"/>
    <col min="17" max="17" width="8" bestFit="1" customWidth="1"/>
    <col min="18" max="18" width="8.7109375" bestFit="1" customWidth="1"/>
    <col min="19" max="20" width="11" bestFit="1" customWidth="1"/>
    <col min="21" max="21" width="11.5703125" customWidth="1"/>
    <col min="22" max="22" width="16" bestFit="1" customWidth="1"/>
    <col min="23" max="23" width="11" bestFit="1" customWidth="1"/>
    <col min="24" max="24" width="11.42578125" bestFit="1" customWidth="1"/>
    <col min="25" max="25" width="11" bestFit="1" customWidth="1"/>
    <col min="26" max="26" width="11.5703125" bestFit="1" customWidth="1"/>
    <col min="27" max="27" width="12" bestFit="1" customWidth="1"/>
    <col min="28" max="28" width="9.140625" bestFit="1" customWidth="1"/>
    <col min="29" max="29" width="11.42578125" bestFit="1" customWidth="1"/>
    <col min="30" max="30" width="16.5703125" bestFit="1" customWidth="1"/>
    <col min="31" max="31" width="17.7109375" bestFit="1" customWidth="1"/>
    <col min="32" max="32" width="11" bestFit="1" customWidth="1"/>
    <col min="33" max="33" width="14.85546875" bestFit="1" customWidth="1"/>
    <col min="34" max="34" width="9.140625" bestFit="1" customWidth="1"/>
    <col min="35" max="36" width="10.140625" bestFit="1" customWidth="1"/>
    <col min="37" max="37" width="8" bestFit="1" customWidth="1"/>
    <col min="38" max="38" width="8.7109375" bestFit="1" customWidth="1"/>
    <col min="39" max="40" width="11" bestFit="1" customWidth="1"/>
    <col min="41" max="41" width="11.5703125" bestFit="1" customWidth="1"/>
    <col min="42" max="42" width="16" bestFit="1" customWidth="1"/>
    <col min="43" max="43" width="11" bestFit="1" customWidth="1"/>
    <col min="44" max="44" width="11.42578125" bestFit="1" customWidth="1"/>
    <col min="45" max="45" width="11" bestFit="1" customWidth="1"/>
    <col min="46" max="46" width="11.5703125" bestFit="1" customWidth="1"/>
    <col min="47" max="47" width="12" bestFit="1" customWidth="1"/>
    <col min="48" max="48" width="9.140625" bestFit="1" customWidth="1"/>
    <col min="49" max="49" width="11.42578125" bestFit="1" customWidth="1"/>
    <col min="50" max="50" width="16.5703125" bestFit="1" customWidth="1"/>
    <col min="51" max="51" width="17.7109375" bestFit="1" customWidth="1"/>
    <col min="52" max="52" width="11" bestFit="1" customWidth="1"/>
    <col min="53" max="53" width="10.7109375" bestFit="1" customWidth="1"/>
    <col min="54" max="54" width="9.140625" bestFit="1" customWidth="1"/>
    <col min="55" max="56" width="10.140625" bestFit="1" customWidth="1"/>
    <col min="57" max="57" width="8" bestFit="1" customWidth="1"/>
    <col min="58" max="58" width="8.7109375" bestFit="1" customWidth="1"/>
    <col min="59" max="60" width="11" bestFit="1" customWidth="1"/>
    <col min="61" max="61" width="11.5703125" bestFit="1" customWidth="1"/>
    <col min="62" max="62" width="16" bestFit="1" customWidth="1"/>
    <col min="63" max="63" width="11" bestFit="1" customWidth="1"/>
    <col min="64" max="64" width="11.42578125" bestFit="1" customWidth="1"/>
    <col min="65" max="65" width="11" bestFit="1" customWidth="1"/>
    <col min="66" max="66" width="11.5703125" bestFit="1" customWidth="1"/>
    <col min="67" max="67" width="12" bestFit="1" customWidth="1"/>
    <col min="68" max="68" width="9.140625" bestFit="1" customWidth="1"/>
    <col min="69" max="69" width="11.42578125" bestFit="1" customWidth="1"/>
    <col min="70" max="70" width="16.5703125" bestFit="1" customWidth="1"/>
    <col min="71" max="71" width="17.7109375" bestFit="1" customWidth="1"/>
    <col min="72" max="72" width="11" bestFit="1" customWidth="1"/>
    <col min="73" max="73" width="12.140625" customWidth="1"/>
    <col min="74" max="234" width="10.28515625" customWidth="1"/>
    <col min="235" max="266" width="0" hidden="1" customWidth="1"/>
    <col min="267" max="16384" width="9.140625" hidden="1"/>
  </cols>
  <sheetData>
    <row r="1" spans="2:234" ht="9.9499999999999993" customHeight="1" x14ac:dyDescent="0.25"/>
    <row r="2" spans="2:234" ht="20.100000000000001" customHeight="1" x14ac:dyDescent="0.25">
      <c r="B2" s="516" t="s">
        <v>303</v>
      </c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</row>
    <row r="3" spans="2:234" ht="20.100000000000001" customHeight="1" x14ac:dyDescent="0.25">
      <c r="B3" s="516"/>
      <c r="C3" s="516"/>
      <c r="D3" s="516"/>
      <c r="E3" s="516"/>
      <c r="F3" s="516"/>
      <c r="G3" s="516"/>
      <c r="H3" s="516"/>
      <c r="I3" s="516"/>
      <c r="J3" s="516"/>
      <c r="K3" s="516"/>
      <c r="L3" s="516"/>
      <c r="M3" s="516"/>
      <c r="N3" s="516"/>
      <c r="O3" s="516"/>
      <c r="P3" s="516"/>
      <c r="Q3" s="516"/>
      <c r="R3" s="516"/>
      <c r="S3" s="516"/>
      <c r="T3" s="516"/>
      <c r="U3" s="516"/>
      <c r="V3" s="516"/>
      <c r="W3" s="516"/>
      <c r="X3" s="516"/>
      <c r="Y3" s="516"/>
      <c r="Z3" s="516"/>
      <c r="AA3" s="516"/>
      <c r="AB3" s="516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</row>
    <row r="4" spans="2:234" ht="30" customHeight="1" x14ac:dyDescent="0.25"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</row>
    <row r="5" spans="2:234" s="42" customFormat="1" ht="5.0999999999999996" customHeight="1" x14ac:dyDescent="0.25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</row>
    <row r="6" spans="2:234" ht="18" customHeight="1" x14ac:dyDescent="0.25">
      <c r="E6" s="417"/>
      <c r="G6" s="221"/>
      <c r="I6" s="517" t="s">
        <v>76</v>
      </c>
      <c r="J6" s="517"/>
    </row>
    <row r="7" spans="2:234" ht="15.75" customHeight="1" thickBot="1" x14ac:dyDescent="0.3">
      <c r="C7" s="518" t="s">
        <v>77</v>
      </c>
      <c r="D7" s="518"/>
      <c r="E7" s="518"/>
    </row>
    <row r="8" spans="2:234" ht="46.5" customHeight="1" thickBot="1" x14ac:dyDescent="0.3">
      <c r="C8" s="519" t="s">
        <v>78</v>
      </c>
      <c r="D8" s="520"/>
      <c r="E8" s="44" t="s">
        <v>268</v>
      </c>
      <c r="F8" s="45"/>
      <c r="G8" s="46" t="s">
        <v>79</v>
      </c>
      <c r="K8" s="521"/>
      <c r="L8" s="522"/>
      <c r="M8" s="511" t="s">
        <v>80</v>
      </c>
      <c r="N8" s="512"/>
      <c r="O8" s="512"/>
      <c r="P8" s="512"/>
      <c r="Q8" s="512"/>
      <c r="R8" s="512"/>
      <c r="S8" s="512"/>
      <c r="T8" s="512"/>
      <c r="U8" s="512"/>
      <c r="V8" s="512"/>
      <c r="W8" s="512"/>
      <c r="X8" s="512"/>
      <c r="Y8" s="512"/>
      <c r="Z8" s="512"/>
      <c r="AA8" s="512"/>
      <c r="AB8" s="512"/>
      <c r="AC8" s="512"/>
      <c r="AD8" s="512"/>
      <c r="AE8" s="512"/>
      <c r="AF8" s="513"/>
      <c r="AG8" s="506" t="s">
        <v>81</v>
      </c>
      <c r="AH8" s="507"/>
      <c r="AI8" s="507"/>
      <c r="AJ8" s="507"/>
      <c r="AK8" s="507"/>
      <c r="AL8" s="507"/>
      <c r="AM8" s="507"/>
      <c r="AN8" s="507"/>
      <c r="AO8" s="507"/>
      <c r="AP8" s="507"/>
      <c r="AQ8" s="507"/>
      <c r="AR8" s="507"/>
      <c r="AS8" s="507"/>
      <c r="AT8" s="507"/>
      <c r="AU8" s="507"/>
      <c r="AV8" s="507"/>
      <c r="AW8" s="507"/>
      <c r="AX8" s="507"/>
      <c r="AY8" s="507"/>
      <c r="AZ8" s="508"/>
      <c r="BA8" s="506" t="s">
        <v>116</v>
      </c>
      <c r="BB8" s="507"/>
      <c r="BC8" s="507"/>
      <c r="BD8" s="507"/>
      <c r="BE8" s="507"/>
      <c r="BF8" s="507"/>
      <c r="BG8" s="507"/>
      <c r="BH8" s="507"/>
      <c r="BI8" s="507"/>
      <c r="BJ8" s="507"/>
      <c r="BK8" s="507"/>
      <c r="BL8" s="507"/>
      <c r="BM8" s="507"/>
      <c r="BN8" s="507"/>
      <c r="BO8" s="507"/>
      <c r="BP8" s="507"/>
      <c r="BQ8" s="507"/>
      <c r="BR8" s="507"/>
      <c r="BS8" s="507"/>
      <c r="BT8" s="508"/>
      <c r="BU8" s="354" t="s">
        <v>269</v>
      </c>
    </row>
    <row r="9" spans="2:234" ht="15.75" thickBot="1" x14ac:dyDescent="0.3">
      <c r="C9" s="47" t="s">
        <v>82</v>
      </c>
      <c r="D9" s="48">
        <v>7.2999999999999995E-2</v>
      </c>
      <c r="E9" s="49">
        <f>SUM(E10:E12)</f>
        <v>149167702</v>
      </c>
      <c r="G9" s="50">
        <f>'Thai input'!O3</f>
        <v>7.2982349189696913E-2</v>
      </c>
      <c r="K9" s="509" t="s">
        <v>52</v>
      </c>
      <c r="L9" s="510"/>
      <c r="M9" s="110" t="s">
        <v>59</v>
      </c>
      <c r="N9" s="111" t="s">
        <v>60</v>
      </c>
      <c r="O9" s="111" t="s">
        <v>62</v>
      </c>
      <c r="P9" s="111" t="s">
        <v>61</v>
      </c>
      <c r="Q9" s="111" t="s">
        <v>17</v>
      </c>
      <c r="R9" s="111" t="s">
        <v>18</v>
      </c>
      <c r="S9" s="112" t="s">
        <v>63</v>
      </c>
      <c r="T9" s="111" t="s">
        <v>64</v>
      </c>
      <c r="U9" s="111" t="s">
        <v>22</v>
      </c>
      <c r="V9" s="113" t="s">
        <v>70</v>
      </c>
      <c r="W9" s="110" t="s">
        <v>65</v>
      </c>
      <c r="X9" s="111" t="s">
        <v>66</v>
      </c>
      <c r="Y9" s="111" t="s">
        <v>35</v>
      </c>
      <c r="Z9" s="111" t="s">
        <v>36</v>
      </c>
      <c r="AA9" s="111" t="s">
        <v>37</v>
      </c>
      <c r="AB9" s="111" t="s">
        <v>39</v>
      </c>
      <c r="AC9" s="112" t="s">
        <v>42</v>
      </c>
      <c r="AD9" s="111" t="s">
        <v>67</v>
      </c>
      <c r="AE9" s="111" t="s">
        <v>68</v>
      </c>
      <c r="AF9" s="114" t="s">
        <v>69</v>
      </c>
      <c r="AG9" s="110" t="s">
        <v>59</v>
      </c>
      <c r="AH9" s="111" t="s">
        <v>60</v>
      </c>
      <c r="AI9" s="111" t="s">
        <v>62</v>
      </c>
      <c r="AJ9" s="111" t="s">
        <v>61</v>
      </c>
      <c r="AK9" s="111" t="s">
        <v>17</v>
      </c>
      <c r="AL9" s="111" t="s">
        <v>18</v>
      </c>
      <c r="AM9" s="112" t="s">
        <v>63</v>
      </c>
      <c r="AN9" s="111" t="s">
        <v>64</v>
      </c>
      <c r="AO9" s="111" t="s">
        <v>22</v>
      </c>
      <c r="AP9" s="113" t="s">
        <v>70</v>
      </c>
      <c r="AQ9" s="110" t="s">
        <v>65</v>
      </c>
      <c r="AR9" s="111" t="s">
        <v>66</v>
      </c>
      <c r="AS9" s="111" t="s">
        <v>35</v>
      </c>
      <c r="AT9" s="111" t="s">
        <v>36</v>
      </c>
      <c r="AU9" s="111" t="s">
        <v>37</v>
      </c>
      <c r="AV9" s="111" t="s">
        <v>39</v>
      </c>
      <c r="AW9" s="112" t="s">
        <v>42</v>
      </c>
      <c r="AX9" s="111" t="s">
        <v>67</v>
      </c>
      <c r="AY9" s="111" t="s">
        <v>68</v>
      </c>
      <c r="AZ9" s="114" t="s">
        <v>69</v>
      </c>
      <c r="BA9" s="110" t="s">
        <v>59</v>
      </c>
      <c r="BB9" s="111" t="s">
        <v>60</v>
      </c>
      <c r="BC9" s="111" t="s">
        <v>62</v>
      </c>
      <c r="BD9" s="111" t="s">
        <v>61</v>
      </c>
      <c r="BE9" s="111" t="s">
        <v>17</v>
      </c>
      <c r="BF9" s="111" t="s">
        <v>18</v>
      </c>
      <c r="BG9" s="112" t="s">
        <v>63</v>
      </c>
      <c r="BH9" s="111" t="s">
        <v>64</v>
      </c>
      <c r="BI9" s="111" t="s">
        <v>22</v>
      </c>
      <c r="BJ9" s="113" t="s">
        <v>70</v>
      </c>
      <c r="BK9" s="110" t="s">
        <v>65</v>
      </c>
      <c r="BL9" s="111" t="s">
        <v>66</v>
      </c>
      <c r="BM9" s="111" t="s">
        <v>35</v>
      </c>
      <c r="BN9" s="111" t="s">
        <v>36</v>
      </c>
      <c r="BO9" s="111" t="s">
        <v>37</v>
      </c>
      <c r="BP9" s="111" t="s">
        <v>39</v>
      </c>
      <c r="BQ9" s="112" t="s">
        <v>42</v>
      </c>
      <c r="BR9" s="111" t="s">
        <v>67</v>
      </c>
      <c r="BS9" s="111" t="s">
        <v>68</v>
      </c>
      <c r="BT9" s="114" t="s">
        <v>69</v>
      </c>
    </row>
    <row r="10" spans="2:234" ht="15" customHeight="1" x14ac:dyDescent="0.25">
      <c r="C10" s="51" t="s">
        <v>12</v>
      </c>
      <c r="D10" s="52">
        <v>4.2999999999999997E-2</v>
      </c>
      <c r="E10" s="53">
        <f>'Thai input'!F25</f>
        <v>134633606</v>
      </c>
      <c r="G10" s="54">
        <f>'Table Format Calculations'!AL29</f>
        <v>4.2999999994898057E-2</v>
      </c>
      <c r="H10" s="3"/>
      <c r="I10" s="446"/>
      <c r="J10" s="3"/>
      <c r="K10" s="493" t="s">
        <v>124</v>
      </c>
      <c r="L10" s="494"/>
      <c r="M10" s="494"/>
      <c r="N10" s="494"/>
      <c r="O10" s="494"/>
      <c r="P10" s="494"/>
      <c r="Q10" s="494"/>
      <c r="R10" s="494"/>
      <c r="S10" s="494"/>
      <c r="T10" s="494"/>
      <c r="U10" s="494"/>
      <c r="V10" s="494"/>
      <c r="W10" s="494"/>
      <c r="X10" s="494"/>
      <c r="Y10" s="494"/>
      <c r="Z10" s="494"/>
      <c r="AA10" s="494"/>
      <c r="AB10" s="494"/>
      <c r="AC10" s="494"/>
      <c r="AD10" s="494"/>
      <c r="AE10" s="494"/>
      <c r="AF10" s="494"/>
      <c r="AG10" s="494"/>
      <c r="AH10" s="494"/>
      <c r="AI10" s="494"/>
      <c r="AJ10" s="494"/>
      <c r="AK10" s="494"/>
      <c r="AL10" s="494"/>
      <c r="AM10" s="494"/>
      <c r="AN10" s="494"/>
      <c r="AO10" s="494"/>
      <c r="AP10" s="494"/>
      <c r="AQ10" s="494"/>
      <c r="AR10" s="494"/>
      <c r="AS10" s="494"/>
      <c r="AT10" s="494"/>
      <c r="AU10" s="494"/>
      <c r="AV10" s="494"/>
      <c r="AW10" s="494"/>
      <c r="AX10" s="494"/>
      <c r="AY10" s="494"/>
      <c r="AZ10" s="494"/>
      <c r="BA10" s="494"/>
      <c r="BB10" s="494"/>
      <c r="BC10" s="494"/>
      <c r="BD10" s="494"/>
      <c r="BE10" s="494"/>
      <c r="BF10" s="494"/>
      <c r="BG10" s="494"/>
      <c r="BH10" s="494"/>
      <c r="BI10" s="494"/>
      <c r="BJ10" s="494"/>
      <c r="BK10" s="494"/>
      <c r="BL10" s="494"/>
      <c r="BM10" s="494"/>
      <c r="BN10" s="494"/>
      <c r="BO10" s="494"/>
      <c r="BP10" s="494"/>
      <c r="BQ10" s="494"/>
      <c r="BR10" s="494"/>
      <c r="BS10" s="494"/>
      <c r="BT10" s="495"/>
    </row>
    <row r="11" spans="2:234" ht="15" customHeight="1" x14ac:dyDescent="0.25">
      <c r="C11" s="51" t="s">
        <v>30</v>
      </c>
      <c r="D11" s="52">
        <v>0.20799999999999999</v>
      </c>
      <c r="E11" s="53">
        <f>'Thai input'!F26</f>
        <v>7665660</v>
      </c>
      <c r="G11" s="54">
        <f>'Table Format Calculations'!AL30</f>
        <v>0.20800000004328734</v>
      </c>
      <c r="H11" s="3"/>
      <c r="I11" s="446"/>
      <c r="J11" s="3"/>
      <c r="K11" s="496"/>
      <c r="L11" s="497"/>
      <c r="M11" s="497"/>
      <c r="N11" s="497"/>
      <c r="O11" s="497"/>
      <c r="P11" s="497"/>
      <c r="Q11" s="497"/>
      <c r="R11" s="497"/>
      <c r="S11" s="497"/>
      <c r="T11" s="497"/>
      <c r="U11" s="497"/>
      <c r="V11" s="497"/>
      <c r="W11" s="497"/>
      <c r="X11" s="497"/>
      <c r="Y11" s="497"/>
      <c r="Z11" s="497"/>
      <c r="AA11" s="497"/>
      <c r="AB11" s="497"/>
      <c r="AC11" s="497"/>
      <c r="AD11" s="497"/>
      <c r="AE11" s="497"/>
      <c r="AF11" s="497"/>
      <c r="AG11" s="497"/>
      <c r="AH11" s="497"/>
      <c r="AI11" s="497"/>
      <c r="AJ11" s="497"/>
      <c r="AK11" s="497"/>
      <c r="AL11" s="497"/>
      <c r="AM11" s="497"/>
      <c r="AN11" s="497"/>
      <c r="AO11" s="497"/>
      <c r="AP11" s="497"/>
      <c r="AQ11" s="497"/>
      <c r="AR11" s="497"/>
      <c r="AS11" s="497"/>
      <c r="AT11" s="497"/>
      <c r="AU11" s="497"/>
      <c r="AV11" s="497"/>
      <c r="AW11" s="497"/>
      <c r="AX11" s="497"/>
      <c r="AY11" s="497"/>
      <c r="AZ11" s="497"/>
      <c r="BA11" s="497"/>
      <c r="BB11" s="497"/>
      <c r="BC11" s="497"/>
      <c r="BD11" s="497"/>
      <c r="BE11" s="497"/>
      <c r="BF11" s="497"/>
      <c r="BG11" s="497"/>
      <c r="BH11" s="497"/>
      <c r="BI11" s="497"/>
      <c r="BJ11" s="497"/>
      <c r="BK11" s="497"/>
      <c r="BL11" s="497"/>
      <c r="BM11" s="497"/>
      <c r="BN11" s="497"/>
      <c r="BO11" s="497"/>
      <c r="BP11" s="497"/>
      <c r="BQ11" s="497"/>
      <c r="BR11" s="497"/>
      <c r="BS11" s="497"/>
      <c r="BT11" s="498"/>
    </row>
    <row r="12" spans="2:234" ht="15" customHeight="1" thickBot="1" x14ac:dyDescent="0.3">
      <c r="C12" s="51" t="s">
        <v>38</v>
      </c>
      <c r="D12" s="52">
        <v>0.51</v>
      </c>
      <c r="E12" s="53">
        <f>'Thai input'!F27</f>
        <v>6868436</v>
      </c>
      <c r="G12" s="54">
        <f>'Table Format Calculations'!AL31</f>
        <v>0.51000067228459522</v>
      </c>
      <c r="H12" s="3"/>
      <c r="I12" s="446"/>
      <c r="J12" s="3"/>
      <c r="K12" s="499"/>
      <c r="L12" s="500"/>
      <c r="M12" s="500"/>
      <c r="N12" s="500"/>
      <c r="O12" s="500"/>
      <c r="P12" s="500"/>
      <c r="Q12" s="500"/>
      <c r="R12" s="500"/>
      <c r="S12" s="500"/>
      <c r="T12" s="500"/>
      <c r="U12" s="500"/>
      <c r="V12" s="500"/>
      <c r="W12" s="500"/>
      <c r="X12" s="500"/>
      <c r="Y12" s="500"/>
      <c r="Z12" s="500"/>
      <c r="AA12" s="500"/>
      <c r="AB12" s="500"/>
      <c r="AC12" s="500"/>
      <c r="AD12" s="500"/>
      <c r="AE12" s="500"/>
      <c r="AF12" s="500"/>
      <c r="AG12" s="500"/>
      <c r="AH12" s="500"/>
      <c r="AI12" s="500"/>
      <c r="AJ12" s="500"/>
      <c r="AK12" s="500"/>
      <c r="AL12" s="500"/>
      <c r="AM12" s="500"/>
      <c r="AN12" s="500"/>
      <c r="AO12" s="500"/>
      <c r="AP12" s="500"/>
      <c r="AQ12" s="500"/>
      <c r="AR12" s="500"/>
      <c r="AS12" s="500"/>
      <c r="AT12" s="500"/>
      <c r="AU12" s="500"/>
      <c r="AV12" s="500"/>
      <c r="AW12" s="500"/>
      <c r="AX12" s="500"/>
      <c r="AY12" s="500"/>
      <c r="AZ12" s="500"/>
      <c r="BA12" s="500"/>
      <c r="BB12" s="500"/>
      <c r="BC12" s="500"/>
      <c r="BD12" s="500"/>
      <c r="BE12" s="500"/>
      <c r="BF12" s="500"/>
      <c r="BG12" s="500"/>
      <c r="BH12" s="500"/>
      <c r="BI12" s="500"/>
      <c r="BJ12" s="500"/>
      <c r="BK12" s="500"/>
      <c r="BL12" s="500"/>
      <c r="BM12" s="500"/>
      <c r="BN12" s="500"/>
      <c r="BO12" s="500"/>
      <c r="BP12" s="500"/>
      <c r="BQ12" s="500"/>
      <c r="BR12" s="500"/>
      <c r="BS12" s="500"/>
      <c r="BT12" s="501"/>
    </row>
    <row r="13" spans="2:234" ht="15.75" thickBot="1" x14ac:dyDescent="0.3">
      <c r="C13" s="476" t="s">
        <v>347</v>
      </c>
      <c r="D13" s="472">
        <f>'Thai input'!O183</f>
        <v>5.1888548307761573E-2</v>
      </c>
      <c r="E13" s="474">
        <f>SUM(E10:E11)</f>
        <v>142299266</v>
      </c>
      <c r="F13" s="90"/>
      <c r="G13" s="475">
        <f>'Thai input'!O7</f>
        <v>5.1888548305266263E-2</v>
      </c>
      <c r="H13" s="3"/>
      <c r="I13" s="3"/>
      <c r="J13" s="3"/>
      <c r="K13" s="95" t="s">
        <v>115</v>
      </c>
      <c r="L13" s="96" t="s">
        <v>117</v>
      </c>
      <c r="M13" s="97">
        <v>39.775852379323055</v>
      </c>
      <c r="N13" s="97">
        <v>30.880153762112659</v>
      </c>
      <c r="O13" s="97">
        <v>26.415966518519792</v>
      </c>
      <c r="P13" s="97">
        <v>28.2555412866942</v>
      </c>
      <c r="Q13" s="97">
        <v>26.932342207540607</v>
      </c>
      <c r="R13" s="97">
        <v>17.05862825600072</v>
      </c>
      <c r="S13" s="97">
        <v>15.183203044049282</v>
      </c>
      <c r="T13" s="97">
        <v>14.322983319748673</v>
      </c>
      <c r="U13" s="291"/>
      <c r="V13" s="97">
        <v>11.83129331148055</v>
      </c>
      <c r="W13" s="97">
        <v>18.925041170451312</v>
      </c>
      <c r="X13" s="291"/>
      <c r="Y13" s="291"/>
      <c r="Z13" s="97">
        <v>14.123777398502911</v>
      </c>
      <c r="AA13" s="291"/>
      <c r="AB13" s="291"/>
      <c r="AC13" s="291"/>
      <c r="AD13" s="291"/>
      <c r="AE13" s="291"/>
      <c r="AF13" s="291"/>
      <c r="AG13" s="98">
        <v>39.775852379323055</v>
      </c>
      <c r="AH13" s="98">
        <v>30.880153762112659</v>
      </c>
      <c r="AI13" s="98">
        <v>26.415966518519792</v>
      </c>
      <c r="AJ13" s="98">
        <v>28.2555412866942</v>
      </c>
      <c r="AK13" s="98">
        <v>26.932342207540607</v>
      </c>
      <c r="AL13" s="98">
        <v>17.05862825600072</v>
      </c>
      <c r="AM13" s="98">
        <v>15.183203044049282</v>
      </c>
      <c r="AN13" s="98">
        <v>14.322983319748673</v>
      </c>
      <c r="AO13" s="294"/>
      <c r="AP13" s="98">
        <v>11.83129331148055</v>
      </c>
      <c r="AQ13" s="98">
        <v>18.925041170451312</v>
      </c>
      <c r="AR13" s="294"/>
      <c r="AS13" s="294"/>
      <c r="AT13" s="98">
        <v>14.123777398502911</v>
      </c>
      <c r="AU13" s="294"/>
      <c r="AV13" s="294"/>
      <c r="AW13" s="294"/>
      <c r="AX13" s="294"/>
      <c r="AY13" s="294"/>
      <c r="AZ13" s="294"/>
      <c r="BA13" s="115">
        <v>0</v>
      </c>
      <c r="BB13" s="115">
        <v>0</v>
      </c>
      <c r="BC13" s="115">
        <v>0</v>
      </c>
      <c r="BD13" s="115">
        <v>0</v>
      </c>
      <c r="BE13" s="115">
        <v>0</v>
      </c>
      <c r="BF13" s="115">
        <v>0</v>
      </c>
      <c r="BG13" s="115">
        <v>0</v>
      </c>
      <c r="BH13" s="115">
        <v>0</v>
      </c>
      <c r="BI13" s="115">
        <v>0</v>
      </c>
      <c r="BJ13" s="115">
        <v>0</v>
      </c>
      <c r="BK13" s="115">
        <v>0</v>
      </c>
      <c r="BL13" s="115">
        <v>0</v>
      </c>
      <c r="BM13" s="115">
        <v>0</v>
      </c>
      <c r="BN13" s="115">
        <v>0</v>
      </c>
      <c r="BO13" s="115">
        <v>0</v>
      </c>
      <c r="BP13" s="115">
        <v>0</v>
      </c>
      <c r="BQ13" s="115">
        <v>0</v>
      </c>
      <c r="BR13" s="115">
        <v>0</v>
      </c>
      <c r="BS13" s="115">
        <v>0</v>
      </c>
      <c r="BT13" s="115">
        <v>0</v>
      </c>
      <c r="BU13" s="351">
        <v>0</v>
      </c>
    </row>
    <row r="14" spans="2:234" ht="15" x14ac:dyDescent="0.25">
      <c r="K14" s="85" t="s">
        <v>75</v>
      </c>
      <c r="L14" s="55" t="s">
        <v>117</v>
      </c>
      <c r="M14" s="86">
        <v>24</v>
      </c>
      <c r="N14" s="86">
        <v>36</v>
      </c>
      <c r="O14" s="86">
        <v>20</v>
      </c>
      <c r="P14" s="86">
        <v>29</v>
      </c>
      <c r="Q14" s="86">
        <v>39</v>
      </c>
      <c r="R14" s="86">
        <v>20</v>
      </c>
      <c r="S14" s="86">
        <v>17</v>
      </c>
      <c r="T14" s="86">
        <v>27</v>
      </c>
      <c r="U14" s="292"/>
      <c r="V14" s="86">
        <v>46</v>
      </c>
      <c r="W14" s="86">
        <v>33</v>
      </c>
      <c r="X14" s="292"/>
      <c r="Y14" s="292"/>
      <c r="Z14" s="86">
        <v>40</v>
      </c>
      <c r="AA14" s="292"/>
      <c r="AB14" s="292"/>
      <c r="AC14" s="292"/>
      <c r="AD14" s="292"/>
      <c r="AE14" s="292"/>
      <c r="AF14" s="292"/>
      <c r="AG14" s="56">
        <v>24.48</v>
      </c>
      <c r="AH14" s="56">
        <v>36.72</v>
      </c>
      <c r="AI14" s="56">
        <v>20.399999999999999</v>
      </c>
      <c r="AJ14" s="56">
        <v>29.580000000000002</v>
      </c>
      <c r="AK14" s="56">
        <v>39.78</v>
      </c>
      <c r="AL14" s="56">
        <v>20.399999999999999</v>
      </c>
      <c r="AM14" s="56">
        <v>17.34</v>
      </c>
      <c r="AN14" s="56">
        <v>27</v>
      </c>
      <c r="AO14" s="289"/>
      <c r="AP14" s="56">
        <v>46.92</v>
      </c>
      <c r="AQ14" s="56">
        <v>33</v>
      </c>
      <c r="AR14" s="289"/>
      <c r="AS14" s="289"/>
      <c r="AT14" s="56">
        <v>40.799999999999997</v>
      </c>
      <c r="AU14" s="289"/>
      <c r="AV14" s="289"/>
      <c r="AW14" s="289"/>
      <c r="AX14" s="289"/>
      <c r="AY14" s="289"/>
      <c r="AZ14" s="289"/>
      <c r="BA14" s="19">
        <v>144515.476203453</v>
      </c>
      <c r="BB14" s="19">
        <v>722455.50946296495</v>
      </c>
      <c r="BC14" s="19">
        <v>245102.42371804232</v>
      </c>
      <c r="BD14" s="19">
        <v>732252.42955445603</v>
      </c>
      <c r="BE14" s="19">
        <v>78842.859268962828</v>
      </c>
      <c r="BF14" s="19">
        <v>349303.64306036074</v>
      </c>
      <c r="BG14" s="19">
        <v>205793.10622100253</v>
      </c>
      <c r="BH14" s="19">
        <v>0</v>
      </c>
      <c r="BI14" s="19">
        <v>0</v>
      </c>
      <c r="BJ14" s="19">
        <v>2397174.1024210909</v>
      </c>
      <c r="BK14" s="19">
        <v>0</v>
      </c>
      <c r="BL14" s="19">
        <v>0</v>
      </c>
      <c r="BM14" s="19">
        <v>0</v>
      </c>
      <c r="BN14" s="19">
        <v>289771.28879352717</v>
      </c>
      <c r="BO14" s="19">
        <v>0</v>
      </c>
      <c r="BP14" s="19">
        <v>0</v>
      </c>
      <c r="BQ14" s="19">
        <v>0</v>
      </c>
      <c r="BR14" s="19">
        <v>0</v>
      </c>
      <c r="BS14" s="19">
        <v>0</v>
      </c>
      <c r="BT14" s="19">
        <v>0</v>
      </c>
      <c r="BU14" s="16">
        <v>5165210.8387038605</v>
      </c>
    </row>
    <row r="15" spans="2:234" ht="15" customHeight="1" thickBot="1" x14ac:dyDescent="0.3">
      <c r="C15" s="527" t="s">
        <v>84</v>
      </c>
      <c r="D15" s="528"/>
      <c r="E15" s="528"/>
      <c r="F15" s="528"/>
      <c r="G15" s="529"/>
      <c r="K15" s="87" t="s">
        <v>89</v>
      </c>
      <c r="L15" s="88" t="s">
        <v>117</v>
      </c>
      <c r="M15" s="287">
        <v>3.7770214377778756E-2</v>
      </c>
      <c r="N15" s="287">
        <v>0.12369779215889336</v>
      </c>
      <c r="O15" s="287">
        <v>0.11462304153112879</v>
      </c>
      <c r="P15" s="287">
        <v>0.13489455907899689</v>
      </c>
      <c r="Q15" s="287">
        <v>8.2007509833558728E-2</v>
      </c>
      <c r="R15" s="287">
        <v>6.184283662063611E-2</v>
      </c>
      <c r="S15" s="287">
        <v>7.2658352285372804E-2</v>
      </c>
      <c r="T15" s="287">
        <v>2.7561448399859235E-2</v>
      </c>
      <c r="U15" s="293"/>
      <c r="V15" s="287">
        <v>0.29713616682902</v>
      </c>
      <c r="W15" s="287">
        <v>2.2757812427783075E-2</v>
      </c>
      <c r="X15" s="293"/>
      <c r="Y15" s="293"/>
      <c r="Z15" s="287">
        <v>1.7707779074481352E-2</v>
      </c>
      <c r="AA15" s="293"/>
      <c r="AB15" s="293"/>
      <c r="AC15" s="293"/>
      <c r="AD15" s="293"/>
      <c r="AE15" s="293"/>
      <c r="AF15" s="293"/>
      <c r="AG15" s="287">
        <v>3.7770214377778756E-2</v>
      </c>
      <c r="AH15" s="287">
        <v>0.12369779215889336</v>
      </c>
      <c r="AI15" s="287">
        <v>0.11462304153112879</v>
      </c>
      <c r="AJ15" s="287">
        <v>0.13489455907899689</v>
      </c>
      <c r="AK15" s="287">
        <v>8.2007509833558728E-2</v>
      </c>
      <c r="AL15" s="287">
        <v>6.184283662063611E-2</v>
      </c>
      <c r="AM15" s="287">
        <v>7.2658352285372804E-2</v>
      </c>
      <c r="AN15" s="287">
        <v>2.7561448399859235E-2</v>
      </c>
      <c r="AO15" s="293"/>
      <c r="AP15" s="287">
        <v>0.29713616682902</v>
      </c>
      <c r="AQ15" s="287">
        <v>2.2757812427783075E-2</v>
      </c>
      <c r="AR15" s="293"/>
      <c r="AS15" s="293"/>
      <c r="AT15" s="287">
        <v>1.7707779074481352E-2</v>
      </c>
      <c r="AU15" s="289"/>
      <c r="AV15" s="289"/>
      <c r="AW15" s="289"/>
      <c r="AX15" s="289"/>
      <c r="AY15" s="290"/>
      <c r="AZ15" s="290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6"/>
    </row>
    <row r="16" spans="2:234" ht="15.75" thickBot="1" x14ac:dyDescent="0.3">
      <c r="K16" s="486" t="s">
        <v>90</v>
      </c>
      <c r="L16" s="487"/>
      <c r="M16" s="295">
        <v>0.16847315958333334</v>
      </c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296">
        <v>0.16847315958333334</v>
      </c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6">
        <v>0</v>
      </c>
      <c r="BV16" s="4"/>
    </row>
    <row r="17" spans="3:74" ht="15" customHeight="1" x14ac:dyDescent="0.25">
      <c r="C17" s="83" t="s">
        <v>86</v>
      </c>
      <c r="D17" s="198"/>
      <c r="E17" s="84" t="s">
        <v>399</v>
      </c>
      <c r="G17" s="58" t="s">
        <v>87</v>
      </c>
      <c r="K17" s="488" t="s">
        <v>94</v>
      </c>
      <c r="L17" s="89" t="s">
        <v>389</v>
      </c>
      <c r="M17" s="104">
        <v>72860750</v>
      </c>
      <c r="N17" s="462" t="s">
        <v>391</v>
      </c>
      <c r="O17" s="104">
        <v>22556750</v>
      </c>
      <c r="P17" s="289"/>
      <c r="Q17" s="289"/>
      <c r="R17" s="289"/>
      <c r="S17" s="289"/>
      <c r="T17" s="289"/>
      <c r="U17" s="289"/>
      <c r="V17" s="289"/>
      <c r="W17" s="289"/>
      <c r="X17" s="289"/>
      <c r="Y17" s="289"/>
      <c r="Z17" s="289"/>
      <c r="AA17" s="289"/>
      <c r="AB17" s="289"/>
      <c r="AC17" s="289"/>
      <c r="AD17" s="289"/>
      <c r="AE17" s="289"/>
      <c r="AF17" s="89" t="s">
        <v>389</v>
      </c>
      <c r="AG17" s="305">
        <v>65653775</v>
      </c>
      <c r="AH17" s="462" t="s">
        <v>391</v>
      </c>
      <c r="AI17" s="305">
        <v>25861526.026785713</v>
      </c>
      <c r="AJ17" s="289"/>
      <c r="AK17" s="289"/>
      <c r="AL17" s="289"/>
      <c r="AM17" s="289"/>
      <c r="AN17" s="289"/>
      <c r="AO17" s="289"/>
      <c r="AP17" s="289"/>
      <c r="AQ17" s="289"/>
      <c r="AR17" s="289"/>
      <c r="AS17" s="289"/>
      <c r="AT17" s="289"/>
      <c r="AU17" s="289"/>
      <c r="AV17" s="289"/>
      <c r="AW17" s="289"/>
      <c r="AX17" s="289"/>
      <c r="AY17" s="290"/>
      <c r="AZ17" s="290"/>
      <c r="BA17" s="290"/>
      <c r="BB17" s="290"/>
      <c r="BC17" s="290"/>
      <c r="BD17" s="290"/>
      <c r="BE17" s="290"/>
      <c r="BF17" s="290"/>
      <c r="BG17" s="290"/>
      <c r="BH17" s="290"/>
      <c r="BI17" s="290"/>
      <c r="BJ17" s="290"/>
      <c r="BK17" s="290"/>
      <c r="BL17" s="290"/>
      <c r="BM17" s="290"/>
      <c r="BN17" s="290"/>
      <c r="BO17" s="290"/>
      <c r="BP17" s="290"/>
      <c r="BQ17" s="290"/>
      <c r="BR17" s="290"/>
      <c r="BS17" s="290"/>
      <c r="BT17" s="290"/>
      <c r="BU17" s="352"/>
      <c r="BV17" s="4"/>
    </row>
    <row r="18" spans="3:74" ht="15" x14ac:dyDescent="0.25">
      <c r="C18" s="199" t="s">
        <v>88</v>
      </c>
      <c r="D18" s="59" t="s">
        <v>12</v>
      </c>
      <c r="E18" s="414">
        <v>0.18</v>
      </c>
      <c r="G18" s="60">
        <f>'Table Format Calculations'!H29</f>
        <v>0.16847315958333334</v>
      </c>
      <c r="K18" s="489"/>
      <c r="L18" s="65" t="s">
        <v>390</v>
      </c>
      <c r="M18" s="86">
        <v>4644</v>
      </c>
      <c r="N18" s="462" t="s">
        <v>392</v>
      </c>
      <c r="O18" s="86">
        <v>1952.57</v>
      </c>
      <c r="P18" s="289"/>
      <c r="Q18" s="289"/>
      <c r="R18" s="289"/>
      <c r="S18" s="289"/>
      <c r="T18" s="289"/>
      <c r="U18" s="289"/>
      <c r="V18" s="289"/>
      <c r="W18" s="289"/>
      <c r="X18" s="289"/>
      <c r="Y18" s="289"/>
      <c r="Z18" s="289"/>
      <c r="AA18" s="289"/>
      <c r="AB18" s="289"/>
      <c r="AC18" s="289"/>
      <c r="AD18" s="289"/>
      <c r="AE18" s="289"/>
      <c r="AF18" s="65" t="s">
        <v>390</v>
      </c>
      <c r="AG18" s="297">
        <v>4189.8999999999996</v>
      </c>
      <c r="AH18" s="462" t="s">
        <v>392</v>
      </c>
      <c r="AI18" s="297">
        <v>2325</v>
      </c>
      <c r="AJ18" s="289"/>
      <c r="AK18" s="289"/>
      <c r="AL18" s="289"/>
      <c r="AM18" s="289"/>
      <c r="AN18" s="289"/>
      <c r="AO18" s="289"/>
      <c r="AP18" s="289"/>
      <c r="AQ18" s="289"/>
      <c r="AR18" s="289"/>
      <c r="AS18" s="289"/>
      <c r="AT18" s="289"/>
      <c r="AU18" s="289"/>
      <c r="AV18" s="289"/>
      <c r="AW18" s="289"/>
      <c r="AX18" s="289"/>
      <c r="AY18" s="290"/>
      <c r="AZ18" s="290"/>
      <c r="BA18" s="290"/>
      <c r="BB18" s="290"/>
      <c r="BC18" s="290"/>
      <c r="BD18" s="290"/>
      <c r="BE18" s="290"/>
      <c r="BF18" s="290"/>
      <c r="BG18" s="290"/>
      <c r="BH18" s="290"/>
      <c r="BI18" s="290"/>
      <c r="BJ18" s="290"/>
      <c r="BK18" s="290"/>
      <c r="BL18" s="290"/>
      <c r="BM18" s="290"/>
      <c r="BN18" s="290"/>
      <c r="BO18" s="290"/>
      <c r="BP18" s="290"/>
      <c r="BQ18" s="290"/>
      <c r="BR18" s="290"/>
      <c r="BS18" s="290"/>
      <c r="BT18" s="290"/>
      <c r="BU18" s="352"/>
      <c r="BV18" s="4"/>
    </row>
    <row r="19" spans="3:74" ht="15" x14ac:dyDescent="0.25">
      <c r="C19" s="200"/>
      <c r="D19" s="59" t="s">
        <v>30</v>
      </c>
      <c r="E19" s="414">
        <v>0.18</v>
      </c>
      <c r="G19" s="60">
        <f>'Table Format Calculations'!H30</f>
        <v>0.16677894466666668</v>
      </c>
      <c r="K19" s="489"/>
      <c r="L19" s="71" t="s">
        <v>97</v>
      </c>
      <c r="M19" s="86">
        <v>1606</v>
      </c>
      <c r="N19" s="289"/>
      <c r="O19" s="289"/>
      <c r="P19" s="289"/>
      <c r="Q19" s="289"/>
      <c r="R19" s="289"/>
      <c r="S19" s="289"/>
      <c r="T19" s="289"/>
      <c r="U19" s="289"/>
      <c r="V19" s="289"/>
      <c r="W19" s="289"/>
      <c r="X19" s="289"/>
      <c r="Y19" s="289"/>
      <c r="Z19" s="289"/>
      <c r="AA19" s="289"/>
      <c r="AB19" s="289"/>
      <c r="AC19" s="289"/>
      <c r="AD19" s="289"/>
      <c r="AE19" s="289"/>
      <c r="AF19" s="289"/>
      <c r="AG19" s="297">
        <v>1445.4</v>
      </c>
      <c r="AH19" s="289"/>
      <c r="AI19" s="289"/>
      <c r="AJ19" s="289"/>
      <c r="AK19" s="289"/>
      <c r="AL19" s="289"/>
      <c r="AM19" s="289"/>
      <c r="AN19" s="289"/>
      <c r="AO19" s="289"/>
      <c r="AP19" s="289"/>
      <c r="AQ19" s="289"/>
      <c r="AR19" s="289"/>
      <c r="AS19" s="289"/>
      <c r="AT19" s="289"/>
      <c r="AU19" s="289"/>
      <c r="AV19" s="289"/>
      <c r="AW19" s="289"/>
      <c r="AX19" s="289"/>
      <c r="AY19" s="290"/>
      <c r="AZ19" s="290"/>
      <c r="BA19" s="290"/>
      <c r="BB19" s="290"/>
      <c r="BC19" s="290"/>
      <c r="BD19" s="290"/>
      <c r="BE19" s="290"/>
      <c r="BF19" s="290"/>
      <c r="BG19" s="290"/>
      <c r="BH19" s="290"/>
      <c r="BI19" s="290"/>
      <c r="BJ19" s="290"/>
      <c r="BK19" s="290"/>
      <c r="BL19" s="290"/>
      <c r="BM19" s="290"/>
      <c r="BN19" s="290"/>
      <c r="BO19" s="290"/>
      <c r="BP19" s="290"/>
      <c r="BQ19" s="290"/>
      <c r="BR19" s="290"/>
      <c r="BS19" s="290"/>
      <c r="BT19" s="290"/>
      <c r="BU19" s="352">
        <v>-53479.799999999988</v>
      </c>
      <c r="BV19" s="4"/>
    </row>
    <row r="20" spans="3:74" ht="15" x14ac:dyDescent="0.25">
      <c r="C20" s="200"/>
      <c r="D20" s="39" t="s">
        <v>38</v>
      </c>
      <c r="E20" s="414">
        <v>0.2</v>
      </c>
      <c r="G20" s="60">
        <f>'Table Format Calculations'!H31</f>
        <v>0.16734845875000001</v>
      </c>
      <c r="K20" s="489"/>
      <c r="L20" s="71" t="s">
        <v>98</v>
      </c>
      <c r="M20" s="86">
        <v>791</v>
      </c>
      <c r="N20" s="289"/>
      <c r="O20" s="289"/>
      <c r="P20" s="289"/>
      <c r="Q20" s="289"/>
      <c r="R20" s="289"/>
      <c r="S20" s="289"/>
      <c r="T20" s="289"/>
      <c r="U20" s="289"/>
      <c r="V20" s="289"/>
      <c r="W20" s="289"/>
      <c r="X20" s="289"/>
      <c r="Y20" s="289"/>
      <c r="Z20" s="289"/>
      <c r="AA20" s="289"/>
      <c r="AB20" s="289"/>
      <c r="AC20" s="289"/>
      <c r="AD20" s="289"/>
      <c r="AE20" s="289"/>
      <c r="AF20" s="289"/>
      <c r="AG20" s="297">
        <v>711.9</v>
      </c>
      <c r="AH20" s="289"/>
      <c r="AI20" s="289"/>
      <c r="AJ20" s="289"/>
      <c r="AK20" s="289"/>
      <c r="AL20" s="289"/>
      <c r="AM20" s="289"/>
      <c r="AN20" s="289"/>
      <c r="AO20" s="289"/>
      <c r="AP20" s="289"/>
      <c r="AQ20" s="289"/>
      <c r="AR20" s="289"/>
      <c r="AS20" s="289"/>
      <c r="AT20" s="289"/>
      <c r="AU20" s="289"/>
      <c r="AV20" s="289"/>
      <c r="AW20" s="289"/>
      <c r="AX20" s="289"/>
      <c r="AY20" s="290"/>
      <c r="AZ20" s="290"/>
      <c r="BA20" s="290"/>
      <c r="BB20" s="290"/>
      <c r="BC20" s="290"/>
      <c r="BD20" s="290"/>
      <c r="BE20" s="290"/>
      <c r="BF20" s="290"/>
      <c r="BG20" s="290"/>
      <c r="BH20" s="290"/>
      <c r="BI20" s="290"/>
      <c r="BJ20" s="290"/>
      <c r="BK20" s="290"/>
      <c r="BL20" s="290"/>
      <c r="BM20" s="290"/>
      <c r="BN20" s="290"/>
      <c r="BO20" s="290"/>
      <c r="BP20" s="290"/>
      <c r="BQ20" s="290"/>
      <c r="BR20" s="290"/>
      <c r="BS20" s="290"/>
      <c r="BT20" s="290"/>
      <c r="BU20" s="352">
        <v>-31007.200000000012</v>
      </c>
      <c r="BV20" s="4"/>
    </row>
    <row r="21" spans="3:74" ht="15" customHeight="1" x14ac:dyDescent="0.25">
      <c r="C21" s="201"/>
      <c r="D21" s="39"/>
      <c r="E21" s="70"/>
      <c r="G21" s="60"/>
      <c r="K21" s="489"/>
      <c r="L21" s="71" t="s">
        <v>114</v>
      </c>
      <c r="M21" s="86">
        <v>1084</v>
      </c>
      <c r="N21" s="289"/>
      <c r="O21" s="289"/>
      <c r="P21" s="289"/>
      <c r="Q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  <c r="AF21" s="289"/>
      <c r="AG21" s="297">
        <v>975.6</v>
      </c>
      <c r="AH21" s="289"/>
      <c r="AI21" s="289"/>
      <c r="AJ21" s="289"/>
      <c r="AK21" s="289"/>
      <c r="AL21" s="289"/>
      <c r="AM21" s="289"/>
      <c r="AN21" s="289"/>
      <c r="AO21" s="289"/>
      <c r="AP21" s="289"/>
      <c r="AQ21" s="289"/>
      <c r="AR21" s="289"/>
      <c r="AS21" s="289"/>
      <c r="AT21" s="289"/>
      <c r="AU21" s="289"/>
      <c r="AV21" s="289"/>
      <c r="AW21" s="289"/>
      <c r="AX21" s="289"/>
      <c r="AY21" s="290"/>
      <c r="AZ21" s="290"/>
      <c r="BA21" s="290"/>
      <c r="BB21" s="290"/>
      <c r="BC21" s="290"/>
      <c r="BD21" s="290"/>
      <c r="BE21" s="290"/>
      <c r="BF21" s="290"/>
      <c r="BG21" s="290"/>
      <c r="BH21" s="290"/>
      <c r="BI21" s="290"/>
      <c r="BJ21" s="290"/>
      <c r="BK21" s="290"/>
      <c r="BL21" s="290"/>
      <c r="BM21" s="290"/>
      <c r="BN21" s="290"/>
      <c r="BO21" s="290"/>
      <c r="BP21" s="290"/>
      <c r="BQ21" s="290"/>
      <c r="BR21" s="290"/>
      <c r="BS21" s="290"/>
      <c r="BT21" s="290"/>
      <c r="BU21" s="352">
        <v>-45419.599999999977</v>
      </c>
      <c r="BV21" s="4"/>
    </row>
    <row r="22" spans="3:74" ht="15" customHeight="1" x14ac:dyDescent="0.25">
      <c r="K22" s="489"/>
      <c r="L22" s="71" t="s">
        <v>100</v>
      </c>
      <c r="M22" s="86">
        <v>775</v>
      </c>
      <c r="N22" s="289"/>
      <c r="O22" s="289"/>
      <c r="P22" s="289"/>
      <c r="Q22" s="289"/>
      <c r="R22" s="289"/>
      <c r="S22" s="289"/>
      <c r="T22" s="289"/>
      <c r="U22" s="289"/>
      <c r="V22" s="289"/>
      <c r="W22" s="289"/>
      <c r="X22" s="289"/>
      <c r="Y22" s="289"/>
      <c r="Z22" s="289"/>
      <c r="AA22" s="289"/>
      <c r="AB22" s="289"/>
      <c r="AC22" s="289"/>
      <c r="AD22" s="289"/>
      <c r="AE22" s="289"/>
      <c r="AF22" s="289"/>
      <c r="AG22" s="297">
        <v>697.5</v>
      </c>
      <c r="AH22" s="289"/>
      <c r="AI22" s="289"/>
      <c r="AJ22" s="289"/>
      <c r="AK22" s="289"/>
      <c r="AL22" s="289"/>
      <c r="AM22" s="289"/>
      <c r="AN22" s="289"/>
      <c r="AO22" s="289"/>
      <c r="AP22" s="289"/>
      <c r="AQ22" s="289"/>
      <c r="AR22" s="289"/>
      <c r="AS22" s="289"/>
      <c r="AT22" s="289"/>
      <c r="AU22" s="289"/>
      <c r="AV22" s="289"/>
      <c r="AW22" s="289"/>
      <c r="AX22" s="289"/>
      <c r="AY22" s="290"/>
      <c r="AZ22" s="290"/>
      <c r="BA22" s="290"/>
      <c r="BB22" s="290"/>
      <c r="BC22" s="290"/>
      <c r="BD22" s="290"/>
      <c r="BE22" s="290"/>
      <c r="BF22" s="290"/>
      <c r="BG22" s="290"/>
      <c r="BH22" s="290"/>
      <c r="BI22" s="290"/>
      <c r="BJ22" s="290"/>
      <c r="BK22" s="290"/>
      <c r="BL22" s="290"/>
      <c r="BM22" s="290"/>
      <c r="BN22" s="290"/>
      <c r="BO22" s="290"/>
      <c r="BP22" s="290"/>
      <c r="BQ22" s="290"/>
      <c r="BR22" s="290"/>
      <c r="BS22" s="290"/>
      <c r="BT22" s="290"/>
      <c r="BU22" s="352">
        <v>-50840</v>
      </c>
      <c r="BV22" s="4"/>
    </row>
    <row r="23" spans="3:74" ht="15.75" x14ac:dyDescent="0.25">
      <c r="C23" s="58" t="s">
        <v>91</v>
      </c>
      <c r="D23" s="64" t="s">
        <v>92</v>
      </c>
      <c r="E23" s="64" t="s">
        <v>93</v>
      </c>
      <c r="K23" s="489"/>
      <c r="L23" s="71" t="s">
        <v>118</v>
      </c>
      <c r="M23" s="86">
        <v>285</v>
      </c>
      <c r="N23" s="289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  <c r="AF23" s="289"/>
      <c r="AG23" s="297">
        <v>256.5</v>
      </c>
      <c r="AH23" s="289"/>
      <c r="AI23" s="289"/>
      <c r="AJ23" s="289"/>
      <c r="AK23" s="289"/>
      <c r="AL23" s="289"/>
      <c r="AM23" s="289"/>
      <c r="AN23" s="289"/>
      <c r="AO23" s="289"/>
      <c r="AP23" s="289"/>
      <c r="AQ23" s="289"/>
      <c r="AR23" s="289"/>
      <c r="AS23" s="289"/>
      <c r="AT23" s="289"/>
      <c r="AU23" s="289"/>
      <c r="AV23" s="289"/>
      <c r="AW23" s="289"/>
      <c r="AX23" s="289"/>
      <c r="AY23" s="290"/>
      <c r="AZ23" s="290"/>
      <c r="BA23" s="290"/>
      <c r="BB23" s="290"/>
      <c r="BC23" s="290"/>
      <c r="BD23" s="290"/>
      <c r="BE23" s="290"/>
      <c r="BF23" s="290"/>
      <c r="BG23" s="290"/>
      <c r="BH23" s="290"/>
      <c r="BI23" s="290"/>
      <c r="BJ23" s="290"/>
      <c r="BK23" s="290"/>
      <c r="BL23" s="290"/>
      <c r="BM23" s="290"/>
      <c r="BN23" s="290"/>
      <c r="BO23" s="290"/>
      <c r="BP23" s="290"/>
      <c r="BQ23" s="290"/>
      <c r="BR23" s="290"/>
      <c r="BS23" s="290"/>
      <c r="BT23" s="290"/>
      <c r="BU23" s="352">
        <v>-39358.5</v>
      </c>
      <c r="BV23" s="4"/>
    </row>
    <row r="24" spans="3:74" ht="15.75" thickBot="1" x14ac:dyDescent="0.3">
      <c r="C24" s="66" t="s">
        <v>12</v>
      </c>
      <c r="D24" s="67">
        <v>30</v>
      </c>
      <c r="E24" s="67">
        <v>175</v>
      </c>
      <c r="K24" s="490"/>
      <c r="L24" s="73" t="s">
        <v>105</v>
      </c>
      <c r="M24" s="86">
        <v>103</v>
      </c>
      <c r="N24" s="289"/>
      <c r="O24" s="289"/>
      <c r="P24" s="289"/>
      <c r="Q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  <c r="AF24" s="289"/>
      <c r="AG24" s="297">
        <v>103</v>
      </c>
      <c r="AH24" s="289"/>
      <c r="AI24" s="289"/>
      <c r="AJ24" s="289"/>
      <c r="AK24" s="289"/>
      <c r="AL24" s="289"/>
      <c r="AM24" s="289"/>
      <c r="AN24" s="289"/>
      <c r="AO24" s="289"/>
      <c r="AP24" s="289"/>
      <c r="AQ24" s="289"/>
      <c r="AR24" s="289"/>
      <c r="AS24" s="289"/>
      <c r="AT24" s="289"/>
      <c r="AU24" s="289"/>
      <c r="AV24" s="289"/>
      <c r="AW24" s="289"/>
      <c r="AX24" s="289"/>
      <c r="AY24" s="290"/>
      <c r="AZ24" s="290"/>
      <c r="BA24" s="290"/>
      <c r="BB24" s="290"/>
      <c r="BC24" s="290"/>
      <c r="BD24" s="290"/>
      <c r="BE24" s="290"/>
      <c r="BF24" s="290"/>
      <c r="BG24" s="290"/>
      <c r="BH24" s="290"/>
      <c r="BI24" s="290"/>
      <c r="BJ24" s="290"/>
      <c r="BK24" s="290"/>
      <c r="BL24" s="290"/>
      <c r="BM24" s="290"/>
      <c r="BN24" s="290"/>
      <c r="BO24" s="290"/>
      <c r="BP24" s="290"/>
      <c r="BQ24" s="290"/>
      <c r="BR24" s="290"/>
      <c r="BS24" s="290"/>
      <c r="BT24" s="290"/>
      <c r="BU24" s="352">
        <v>0</v>
      </c>
      <c r="BV24" s="4"/>
    </row>
    <row r="25" spans="3:74" ht="15" customHeight="1" x14ac:dyDescent="0.25">
      <c r="C25" s="66" t="s">
        <v>30</v>
      </c>
      <c r="D25" s="67">
        <v>15</v>
      </c>
      <c r="E25" s="67">
        <v>155</v>
      </c>
      <c r="K25" s="483" t="s">
        <v>107</v>
      </c>
      <c r="L25" s="89" t="s">
        <v>108</v>
      </c>
      <c r="M25" s="104">
        <v>37920644.719999999</v>
      </c>
      <c r="N25" s="289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89"/>
      <c r="AE25" s="289"/>
      <c r="AF25" s="289"/>
      <c r="AG25" s="305">
        <v>44054715.860698104</v>
      </c>
      <c r="AH25" s="289"/>
      <c r="AI25" s="289"/>
      <c r="AJ25" s="289"/>
      <c r="AK25" s="289"/>
      <c r="AL25" s="289"/>
      <c r="AM25" s="289"/>
      <c r="AN25" s="289"/>
      <c r="AO25" s="289"/>
      <c r="AP25" s="289"/>
      <c r="AQ25" s="289"/>
      <c r="AR25" s="289"/>
      <c r="AS25" s="289"/>
      <c r="AT25" s="289"/>
      <c r="AU25" s="289"/>
      <c r="AV25" s="289"/>
      <c r="AW25" s="289"/>
      <c r="AX25" s="289"/>
      <c r="AY25" s="290"/>
      <c r="AZ25" s="290"/>
      <c r="BA25" s="290"/>
      <c r="BB25" s="290"/>
      <c r="BC25" s="290"/>
      <c r="BD25" s="290"/>
      <c r="BE25" s="290"/>
      <c r="BF25" s="290"/>
      <c r="BG25" s="290"/>
      <c r="BH25" s="290"/>
      <c r="BI25" s="290"/>
      <c r="BJ25" s="290"/>
      <c r="BK25" s="290"/>
      <c r="BL25" s="290"/>
      <c r="BM25" s="290"/>
      <c r="BN25" s="290"/>
      <c r="BO25" s="290"/>
      <c r="BP25" s="290"/>
      <c r="BQ25" s="290"/>
      <c r="BR25" s="290"/>
      <c r="BS25" s="290"/>
      <c r="BT25" s="290"/>
      <c r="BU25" s="352"/>
      <c r="BV25" s="4"/>
    </row>
    <row r="26" spans="3:74" ht="15.75" customHeight="1" x14ac:dyDescent="0.25">
      <c r="C26" s="66" t="s">
        <v>38</v>
      </c>
      <c r="D26" s="67">
        <v>15</v>
      </c>
      <c r="E26" s="67">
        <v>120</v>
      </c>
      <c r="K26" s="484"/>
      <c r="L26" s="71" t="s">
        <v>110</v>
      </c>
      <c r="M26" s="104">
        <v>17408673.990000002</v>
      </c>
      <c r="N26" s="289"/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9"/>
      <c r="AA26" s="289"/>
      <c r="AB26" s="289"/>
      <c r="AC26" s="289"/>
      <c r="AD26" s="289"/>
      <c r="AE26" s="289"/>
      <c r="AF26" s="289"/>
      <c r="AG26" s="305">
        <v>22426672.797939125</v>
      </c>
      <c r="AH26" s="289"/>
      <c r="AI26" s="289"/>
      <c r="AJ26" s="289"/>
      <c r="AK26" s="289"/>
      <c r="AL26" s="289"/>
      <c r="AM26" s="289"/>
      <c r="AN26" s="289"/>
      <c r="AO26" s="289"/>
      <c r="AP26" s="289"/>
      <c r="AQ26" s="289"/>
      <c r="AR26" s="289"/>
      <c r="AS26" s="289"/>
      <c r="AT26" s="289"/>
      <c r="AU26" s="289"/>
      <c r="AV26" s="289"/>
      <c r="AW26" s="289"/>
      <c r="AX26" s="289"/>
      <c r="AY26" s="290"/>
      <c r="AZ26" s="290"/>
      <c r="BA26" s="290"/>
      <c r="BB26" s="290"/>
      <c r="BC26" s="290"/>
      <c r="BD26" s="290"/>
      <c r="BE26" s="290"/>
      <c r="BF26" s="290"/>
      <c r="BG26" s="290"/>
      <c r="BH26" s="290"/>
      <c r="BI26" s="290"/>
      <c r="BJ26" s="290"/>
      <c r="BK26" s="290"/>
      <c r="BL26" s="290"/>
      <c r="BM26" s="290"/>
      <c r="BN26" s="290"/>
      <c r="BO26" s="290"/>
      <c r="BP26" s="290"/>
      <c r="BQ26" s="290"/>
      <c r="BR26" s="290"/>
      <c r="BS26" s="290"/>
      <c r="BT26" s="290"/>
      <c r="BU26" s="352">
        <v>95355.701627283721</v>
      </c>
      <c r="BV26" s="4"/>
    </row>
    <row r="27" spans="3:74" ht="15" customHeight="1" x14ac:dyDescent="0.25">
      <c r="K27" s="484"/>
      <c r="L27" s="71" t="s">
        <v>204</v>
      </c>
      <c r="M27" s="104">
        <v>6755882.290000001</v>
      </c>
      <c r="N27" s="289"/>
      <c r="O27" s="289"/>
      <c r="P27" s="289"/>
      <c r="Q27" s="289"/>
      <c r="R27" s="289"/>
      <c r="S27" s="289"/>
      <c r="T27" s="289"/>
      <c r="U27" s="289"/>
      <c r="V27" s="289"/>
      <c r="W27" s="289"/>
      <c r="X27" s="289"/>
      <c r="Y27" s="289"/>
      <c r="Z27" s="289"/>
      <c r="AA27" s="289"/>
      <c r="AB27" s="289"/>
      <c r="AC27" s="289"/>
      <c r="AD27" s="289"/>
      <c r="AE27" s="289"/>
      <c r="AF27" s="289"/>
      <c r="AG27" s="305">
        <v>6755882.2900222782</v>
      </c>
      <c r="AH27" s="289"/>
      <c r="AI27" s="289"/>
      <c r="AJ27" s="289"/>
      <c r="AK27" s="289"/>
      <c r="AL27" s="289"/>
      <c r="AM27" s="289"/>
      <c r="AN27" s="289"/>
      <c r="AO27" s="289"/>
      <c r="AP27" s="289"/>
      <c r="AQ27" s="289"/>
      <c r="AR27" s="289"/>
      <c r="AS27" s="289"/>
      <c r="AT27" s="289"/>
      <c r="AU27" s="289"/>
      <c r="AV27" s="289"/>
      <c r="AW27" s="289"/>
      <c r="AX27" s="289"/>
      <c r="AY27" s="290"/>
      <c r="AZ27" s="290"/>
      <c r="BA27" s="290"/>
      <c r="BB27" s="290"/>
      <c r="BC27" s="290"/>
      <c r="BD27" s="290"/>
      <c r="BE27" s="290"/>
      <c r="BF27" s="290"/>
      <c r="BG27" s="290"/>
      <c r="BH27" s="290"/>
      <c r="BI27" s="290"/>
      <c r="BJ27" s="290"/>
      <c r="BK27" s="290"/>
      <c r="BL27" s="290"/>
      <c r="BM27" s="290"/>
      <c r="BN27" s="290"/>
      <c r="BO27" s="290"/>
      <c r="BP27" s="290"/>
      <c r="BQ27" s="290"/>
      <c r="BR27" s="290"/>
      <c r="BS27" s="290"/>
      <c r="BT27" s="290"/>
      <c r="BU27" s="352">
        <v>5.3130013791520583E-7</v>
      </c>
      <c r="BV27" s="4"/>
    </row>
    <row r="28" spans="3:74" ht="15" x14ac:dyDescent="0.25">
      <c r="C28" s="435" t="s">
        <v>341</v>
      </c>
      <c r="D28" s="436" t="s">
        <v>12</v>
      </c>
      <c r="E28" s="436" t="s">
        <v>30</v>
      </c>
      <c r="G28" s="19" t="s">
        <v>38</v>
      </c>
      <c r="K28" s="484"/>
      <c r="L28" s="71" t="s">
        <v>205</v>
      </c>
      <c r="M28" s="104">
        <v>1912075.4900000002</v>
      </c>
      <c r="N28" s="289"/>
      <c r="O28" s="289"/>
      <c r="P28" s="289"/>
      <c r="Q28" s="289"/>
      <c r="R28" s="289"/>
      <c r="S28" s="289"/>
      <c r="T28" s="289"/>
      <c r="U28" s="289"/>
      <c r="V28" s="289"/>
      <c r="W28" s="289"/>
      <c r="X28" s="289"/>
      <c r="Y28" s="289"/>
      <c r="Z28" s="289"/>
      <c r="AA28" s="289"/>
      <c r="AB28" s="289"/>
      <c r="AC28" s="289"/>
      <c r="AD28" s="289"/>
      <c r="AE28" s="289"/>
      <c r="AF28" s="289"/>
      <c r="AG28" s="305">
        <v>1912075.49</v>
      </c>
      <c r="AH28" s="289"/>
      <c r="AI28" s="289"/>
      <c r="AJ28" s="289"/>
      <c r="AK28" s="289"/>
      <c r="AL28" s="289"/>
      <c r="AM28" s="289"/>
      <c r="AN28" s="289"/>
      <c r="AO28" s="289"/>
      <c r="AP28" s="289"/>
      <c r="AQ28" s="289"/>
      <c r="AR28" s="289"/>
      <c r="AS28" s="289"/>
      <c r="AT28" s="289"/>
      <c r="AU28" s="289"/>
      <c r="AV28" s="289"/>
      <c r="AW28" s="289"/>
      <c r="AX28" s="289"/>
      <c r="AY28" s="290"/>
      <c r="AZ28" s="290"/>
      <c r="BA28" s="290"/>
      <c r="BB28" s="290"/>
      <c r="BC28" s="290"/>
      <c r="BD28" s="290"/>
      <c r="BE28" s="290"/>
      <c r="BF28" s="290"/>
      <c r="BG28" s="290"/>
      <c r="BH28" s="290"/>
      <c r="BI28" s="290"/>
      <c r="BJ28" s="290"/>
      <c r="BK28" s="290"/>
      <c r="BL28" s="290"/>
      <c r="BM28" s="290"/>
      <c r="BN28" s="290"/>
      <c r="BO28" s="290"/>
      <c r="BP28" s="290"/>
      <c r="BQ28" s="290"/>
      <c r="BR28" s="290"/>
      <c r="BS28" s="290"/>
      <c r="BT28" s="290"/>
      <c r="BU28" s="352">
        <v>0</v>
      </c>
      <c r="BV28" s="4"/>
    </row>
    <row r="29" spans="3:74" ht="15" customHeight="1" thickBot="1" x14ac:dyDescent="0.3">
      <c r="C29" s="69" t="s">
        <v>97</v>
      </c>
      <c r="D29" s="329">
        <v>22600.249066002492</v>
      </c>
      <c r="E29" s="329">
        <v>18926.115241635689</v>
      </c>
      <c r="G29" s="329">
        <v>19010.761589403974</v>
      </c>
      <c r="K29" s="485"/>
      <c r="L29" s="344" t="s">
        <v>106</v>
      </c>
      <c r="M29" s="104">
        <v>11844012.949999999</v>
      </c>
      <c r="N29" s="289"/>
      <c r="O29" s="289"/>
      <c r="P29" s="289"/>
      <c r="Q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  <c r="AF29" s="289"/>
      <c r="AG29" s="305">
        <v>12960085.282736696</v>
      </c>
      <c r="AH29" s="289"/>
      <c r="AI29" s="289"/>
      <c r="AJ29" s="289"/>
      <c r="AK29" s="289"/>
      <c r="AL29" s="289"/>
      <c r="AM29" s="289"/>
      <c r="AN29" s="289"/>
      <c r="AO29" s="289"/>
      <c r="AP29" s="289"/>
      <c r="AQ29" s="289"/>
      <c r="AR29" s="289"/>
      <c r="AS29" s="289"/>
      <c r="AT29" s="289"/>
      <c r="AU29" s="289"/>
      <c r="AV29" s="289"/>
      <c r="AW29" s="289"/>
      <c r="AX29" s="289"/>
      <c r="AY29" s="290"/>
      <c r="AZ29" s="290"/>
      <c r="BA29" s="290"/>
      <c r="BB29" s="290"/>
      <c r="BC29" s="290"/>
      <c r="BD29" s="290"/>
      <c r="BE29" s="290"/>
      <c r="BF29" s="290"/>
      <c r="BG29" s="290"/>
      <c r="BH29" s="290"/>
      <c r="BI29" s="290"/>
      <c r="BJ29" s="290"/>
      <c r="BK29" s="290"/>
      <c r="BL29" s="290"/>
      <c r="BM29" s="290"/>
      <c r="BN29" s="290"/>
      <c r="BO29" s="290"/>
      <c r="BP29" s="290"/>
      <c r="BQ29" s="290"/>
      <c r="BR29" s="290"/>
      <c r="BS29" s="290"/>
      <c r="BT29" s="290"/>
      <c r="BU29" s="352">
        <v>32540.271573491609</v>
      </c>
      <c r="BV29" s="4"/>
    </row>
    <row r="30" spans="3:74" ht="15.75" customHeight="1" x14ac:dyDescent="0.25">
      <c r="C30" s="69" t="s">
        <v>98</v>
      </c>
      <c r="D30" s="329">
        <v>17168.141592920354</v>
      </c>
      <c r="E30" s="329">
        <v>13580.696202531646</v>
      </c>
      <c r="G30" s="329">
        <v>14746.113989637306</v>
      </c>
      <c r="K30" s="480" t="s">
        <v>400</v>
      </c>
      <c r="L30" s="19" t="s">
        <v>232</v>
      </c>
      <c r="M30" s="104">
        <v>8575566.7899999991</v>
      </c>
      <c r="N30" s="290"/>
      <c r="O30" s="290"/>
      <c r="P30" s="290"/>
      <c r="Q30" s="290"/>
      <c r="R30" s="290"/>
      <c r="S30" s="290"/>
      <c r="T30" s="290"/>
      <c r="U30" s="290"/>
      <c r="V30" s="290"/>
      <c r="W30" s="290"/>
      <c r="X30" s="290"/>
      <c r="Y30" s="290"/>
      <c r="Z30" s="290"/>
      <c r="AA30" s="290"/>
      <c r="AB30" s="290"/>
      <c r="AC30" s="290"/>
      <c r="AD30" s="290"/>
      <c r="AE30" s="290"/>
      <c r="AF30" s="290"/>
      <c r="AG30" s="305">
        <v>8575566.7899999991</v>
      </c>
      <c r="AH30" s="290"/>
      <c r="AI30" s="290"/>
      <c r="AJ30" s="290"/>
      <c r="AK30" s="290"/>
      <c r="AL30" s="290"/>
      <c r="AM30" s="290"/>
      <c r="AN30" s="290"/>
      <c r="AO30" s="290"/>
      <c r="AP30" s="290"/>
      <c r="AQ30" s="290"/>
      <c r="AR30" s="290"/>
      <c r="AS30" s="290"/>
      <c r="AT30" s="290"/>
      <c r="AU30" s="290"/>
      <c r="AV30" s="290"/>
      <c r="AW30" s="290"/>
      <c r="AX30" s="290"/>
      <c r="AY30" s="290"/>
      <c r="AZ30" s="290"/>
      <c r="BA30" s="290"/>
      <c r="BB30" s="290"/>
      <c r="BC30" s="290"/>
      <c r="BD30" s="290"/>
      <c r="BE30" s="290"/>
      <c r="BF30" s="290"/>
      <c r="BG30" s="290"/>
      <c r="BH30" s="290"/>
      <c r="BI30" s="290"/>
      <c r="BJ30" s="290"/>
      <c r="BK30" s="290"/>
      <c r="BL30" s="290"/>
      <c r="BM30" s="290"/>
      <c r="BN30" s="290"/>
      <c r="BO30" s="290"/>
      <c r="BP30" s="290"/>
      <c r="BQ30" s="290"/>
      <c r="BR30" s="290"/>
      <c r="BS30" s="290"/>
      <c r="BT30" s="290"/>
      <c r="BU30" s="352">
        <v>0</v>
      </c>
      <c r="BV30" s="4"/>
    </row>
    <row r="31" spans="3:74" ht="15" customHeight="1" x14ac:dyDescent="0.25">
      <c r="C31" s="69" t="s">
        <v>100</v>
      </c>
      <c r="D31" s="329">
        <v>12882.903225806451</v>
      </c>
      <c r="E31" s="329">
        <v>12025.096525096526</v>
      </c>
      <c r="G31" s="329">
        <v>11228.070175438597</v>
      </c>
      <c r="K31" s="481"/>
      <c r="L31" s="19" t="s">
        <v>119</v>
      </c>
      <c r="M31" s="104">
        <v>5641800</v>
      </c>
      <c r="N31" s="290"/>
      <c r="O31" s="290"/>
      <c r="P31" s="290"/>
      <c r="Q31" s="290"/>
      <c r="R31" s="290"/>
      <c r="S31" s="290"/>
      <c r="T31" s="290"/>
      <c r="U31" s="290"/>
      <c r="V31" s="290"/>
      <c r="W31" s="290"/>
      <c r="X31" s="290"/>
      <c r="Y31" s="290"/>
      <c r="Z31" s="290"/>
      <c r="AA31" s="290"/>
      <c r="AB31" s="290"/>
      <c r="AC31" s="290"/>
      <c r="AD31" s="290"/>
      <c r="AE31" s="290"/>
      <c r="AF31" s="290"/>
      <c r="AG31" s="305">
        <v>5641800</v>
      </c>
      <c r="AH31" s="290"/>
      <c r="AI31" s="290"/>
      <c r="AJ31" s="290"/>
      <c r="AK31" s="290"/>
      <c r="AL31" s="290"/>
      <c r="AM31" s="290"/>
      <c r="AN31" s="290"/>
      <c r="AO31" s="290"/>
      <c r="AP31" s="290"/>
      <c r="AQ31" s="290"/>
      <c r="AR31" s="290"/>
      <c r="AS31" s="290"/>
      <c r="AT31" s="290"/>
      <c r="AU31" s="290"/>
      <c r="AV31" s="290"/>
      <c r="AW31" s="290"/>
      <c r="AX31" s="290"/>
      <c r="AY31" s="290"/>
      <c r="AZ31" s="290"/>
      <c r="BA31" s="290"/>
      <c r="BB31" s="290"/>
      <c r="BC31" s="290"/>
      <c r="BD31" s="290"/>
      <c r="BE31" s="290"/>
      <c r="BF31" s="290"/>
      <c r="BG31" s="290"/>
      <c r="BH31" s="290"/>
      <c r="BI31" s="290"/>
      <c r="BJ31" s="290"/>
      <c r="BK31" s="290"/>
      <c r="BL31" s="290"/>
      <c r="BM31" s="290"/>
      <c r="BN31" s="290"/>
      <c r="BO31" s="290"/>
      <c r="BP31" s="290"/>
      <c r="BQ31" s="290"/>
      <c r="BR31" s="290"/>
      <c r="BS31" s="290"/>
      <c r="BT31" s="290"/>
      <c r="BU31" s="352">
        <v>0</v>
      </c>
      <c r="BV31" s="4"/>
    </row>
    <row r="32" spans="3:74" ht="15" customHeight="1" x14ac:dyDescent="0.25">
      <c r="C32" s="69" t="s">
        <v>114</v>
      </c>
      <c r="D32" s="329">
        <v>7596.4022140221405</v>
      </c>
      <c r="E32" s="329">
        <v>4900.651465798046</v>
      </c>
      <c r="G32" s="329">
        <v>6641.8918918918916</v>
      </c>
      <c r="K32" s="481"/>
      <c r="L32" s="19" t="s">
        <v>233</v>
      </c>
      <c r="M32" s="104">
        <v>797400</v>
      </c>
      <c r="N32" s="290"/>
      <c r="O32" s="290"/>
      <c r="P32" s="290"/>
      <c r="Q32" s="290"/>
      <c r="R32" s="290"/>
      <c r="S32" s="290"/>
      <c r="T32" s="290"/>
      <c r="U32" s="290"/>
      <c r="V32" s="290"/>
      <c r="W32" s="290"/>
      <c r="X32" s="290"/>
      <c r="Y32" s="290"/>
      <c r="Z32" s="290"/>
      <c r="AA32" s="290"/>
      <c r="AB32" s="290"/>
      <c r="AC32" s="290"/>
      <c r="AD32" s="290"/>
      <c r="AE32" s="290"/>
      <c r="AF32" s="290"/>
      <c r="AG32" s="305">
        <v>797400</v>
      </c>
      <c r="AH32" s="290"/>
      <c r="AI32" s="290"/>
      <c r="AJ32" s="290"/>
      <c r="AK32" s="290"/>
      <c r="AL32" s="290"/>
      <c r="AM32" s="290"/>
      <c r="AN32" s="290"/>
      <c r="AO32" s="290"/>
      <c r="AP32" s="290"/>
      <c r="AQ32" s="290"/>
      <c r="AR32" s="290"/>
      <c r="AS32" s="290"/>
      <c r="AT32" s="290"/>
      <c r="AU32" s="290"/>
      <c r="AV32" s="290"/>
      <c r="AW32" s="290"/>
      <c r="AX32" s="290"/>
      <c r="AY32" s="290"/>
      <c r="AZ32" s="290"/>
      <c r="BA32" s="290"/>
      <c r="BB32" s="290"/>
      <c r="BC32" s="290"/>
      <c r="BD32" s="290"/>
      <c r="BE32" s="290"/>
      <c r="BF32" s="290"/>
      <c r="BG32" s="290"/>
      <c r="BH32" s="290"/>
      <c r="BI32" s="290"/>
      <c r="BJ32" s="290"/>
      <c r="BK32" s="290"/>
      <c r="BL32" s="290"/>
      <c r="BM32" s="290"/>
      <c r="BN32" s="290"/>
      <c r="BO32" s="290"/>
      <c r="BP32" s="290"/>
      <c r="BQ32" s="290"/>
      <c r="BR32" s="290"/>
      <c r="BS32" s="290"/>
      <c r="BT32" s="290"/>
      <c r="BU32" s="352">
        <v>0</v>
      </c>
      <c r="BV32" s="4"/>
    </row>
    <row r="33" spans="3:234" ht="15.75" customHeight="1" thickBot="1" x14ac:dyDescent="0.3">
      <c r="C33" s="69" t="s">
        <v>118</v>
      </c>
      <c r="D33" s="329">
        <v>13947.368421052632</v>
      </c>
      <c r="E33" s="329">
        <v>9840.7738095238092</v>
      </c>
      <c r="G33" s="329">
        <v>11166.666666666666</v>
      </c>
      <c r="K33" s="482"/>
      <c r="L33" s="19" t="s">
        <v>120</v>
      </c>
      <c r="M33" s="104">
        <v>17309220</v>
      </c>
      <c r="N33" s="290"/>
      <c r="O33" s="290"/>
      <c r="P33" s="290"/>
      <c r="Q33" s="290"/>
      <c r="R33" s="290"/>
      <c r="S33" s="290"/>
      <c r="T33" s="290"/>
      <c r="U33" s="290"/>
      <c r="V33" s="290"/>
      <c r="W33" s="290"/>
      <c r="X33" s="290"/>
      <c r="Y33" s="290"/>
      <c r="Z33" s="290"/>
      <c r="AA33" s="290"/>
      <c r="AB33" s="290"/>
      <c r="AC33" s="290"/>
      <c r="AD33" s="290"/>
      <c r="AE33" s="290"/>
      <c r="AF33" s="290"/>
      <c r="AG33" s="305">
        <v>17309220</v>
      </c>
      <c r="AH33" s="290"/>
      <c r="AI33" s="290"/>
      <c r="AJ33" s="290"/>
      <c r="AK33" s="290"/>
      <c r="AL33" s="290"/>
      <c r="AM33" s="290"/>
      <c r="AN33" s="290"/>
      <c r="AO33" s="290"/>
      <c r="AP33" s="290"/>
      <c r="AQ33" s="290"/>
      <c r="AR33" s="290"/>
      <c r="AS33" s="290"/>
      <c r="AT33" s="290"/>
      <c r="AU33" s="290"/>
      <c r="AV33" s="290"/>
      <c r="AW33" s="290"/>
      <c r="AX33" s="290"/>
      <c r="AY33" s="290"/>
      <c r="AZ33" s="290"/>
      <c r="BA33" s="290"/>
      <c r="BB33" s="290"/>
      <c r="BC33" s="290"/>
      <c r="BD33" s="290"/>
      <c r="BE33" s="290"/>
      <c r="BF33" s="290"/>
      <c r="BG33" s="290"/>
      <c r="BH33" s="290"/>
      <c r="BI33" s="290"/>
      <c r="BJ33" s="290"/>
      <c r="BK33" s="290"/>
      <c r="BL33" s="290"/>
      <c r="BM33" s="290"/>
      <c r="BN33" s="290"/>
      <c r="BO33" s="290"/>
      <c r="BP33" s="290"/>
      <c r="BQ33" s="290"/>
      <c r="BR33" s="290"/>
      <c r="BS33" s="290"/>
      <c r="BT33" s="290"/>
      <c r="BU33" s="352">
        <v>0</v>
      </c>
      <c r="BV33" s="4"/>
    </row>
    <row r="34" spans="3:234" ht="15.75" thickBot="1" x14ac:dyDescent="0.3">
      <c r="K34" s="320" t="s">
        <v>264</v>
      </c>
      <c r="L34" s="20" t="s">
        <v>252</v>
      </c>
      <c r="M34" s="104">
        <v>75869258.460000008</v>
      </c>
      <c r="N34" s="290"/>
      <c r="O34" s="290"/>
      <c r="P34" s="290"/>
      <c r="Q34" s="290"/>
      <c r="R34" s="290"/>
      <c r="S34" s="290"/>
      <c r="T34" s="290"/>
      <c r="U34" s="290"/>
      <c r="V34" s="290"/>
      <c r="W34" s="290"/>
      <c r="X34" s="290"/>
      <c r="Y34" s="290"/>
      <c r="Z34" s="290"/>
      <c r="AA34" s="290"/>
      <c r="AB34" s="290"/>
      <c r="AC34" s="290"/>
      <c r="AD34" s="290"/>
      <c r="AE34" s="290"/>
      <c r="AF34" s="290"/>
      <c r="AG34" s="305">
        <v>75869258.460000008</v>
      </c>
      <c r="AH34" s="290"/>
      <c r="AI34" s="290"/>
      <c r="AJ34" s="290"/>
      <c r="AK34" s="290"/>
      <c r="AL34" s="290"/>
      <c r="AM34" s="290"/>
      <c r="AN34" s="290"/>
      <c r="AO34" s="290"/>
      <c r="AP34" s="290"/>
      <c r="AQ34" s="290"/>
      <c r="AR34" s="290"/>
      <c r="AS34" s="290"/>
      <c r="AT34" s="290"/>
      <c r="AU34" s="290"/>
      <c r="AV34" s="290"/>
      <c r="AW34" s="290"/>
      <c r="AX34" s="290"/>
      <c r="AY34" s="290"/>
      <c r="AZ34" s="290"/>
      <c r="BA34" s="290"/>
      <c r="BB34" s="290"/>
      <c r="BC34" s="290"/>
      <c r="BD34" s="290"/>
      <c r="BE34" s="290"/>
      <c r="BF34" s="290"/>
      <c r="BG34" s="290"/>
      <c r="BH34" s="290"/>
      <c r="BI34" s="290"/>
      <c r="BJ34" s="290"/>
      <c r="BK34" s="290"/>
      <c r="BL34" s="290"/>
      <c r="BM34" s="290"/>
      <c r="BN34" s="290"/>
      <c r="BO34" s="290"/>
      <c r="BP34" s="290"/>
      <c r="BQ34" s="290"/>
      <c r="BR34" s="290"/>
      <c r="BS34" s="290"/>
      <c r="BT34" s="290"/>
      <c r="BU34" s="352">
        <v>0</v>
      </c>
      <c r="BV34" s="4"/>
    </row>
    <row r="35" spans="3:234" ht="15.75" thickBot="1" x14ac:dyDescent="0.3">
      <c r="C35" s="314" t="s">
        <v>99</v>
      </c>
      <c r="D35" s="314"/>
      <c r="E35" s="312">
        <v>0.3</v>
      </c>
      <c r="G35" s="312">
        <v>0.3</v>
      </c>
      <c r="H35">
        <v>20</v>
      </c>
      <c r="I35" s="312">
        <v>0.5</v>
      </c>
    </row>
    <row r="36" spans="3:234" ht="15.75" customHeight="1" thickBot="1" x14ac:dyDescent="0.3">
      <c r="C36" s="525" t="s">
        <v>101</v>
      </c>
      <c r="D36" s="526"/>
      <c r="E36" s="313" t="s">
        <v>12</v>
      </c>
      <c r="G36" s="64" t="s">
        <v>30</v>
      </c>
      <c r="I36" s="64" t="s">
        <v>38</v>
      </c>
    </row>
    <row r="37" spans="3:234" ht="15.75" customHeight="1" x14ac:dyDescent="0.25">
      <c r="C37" s="477" t="s">
        <v>103</v>
      </c>
      <c r="D37" s="315" t="s">
        <v>104</v>
      </c>
      <c r="E37" s="70">
        <v>2.5319217683916206E-2</v>
      </c>
      <c r="G37" s="70">
        <v>1.6018600522454657E-2</v>
      </c>
      <c r="I37" s="70">
        <v>2.1876040052405701E-2</v>
      </c>
      <c r="K37" s="493" t="s">
        <v>122</v>
      </c>
      <c r="L37" s="494"/>
      <c r="M37" s="494"/>
      <c r="N37" s="494"/>
      <c r="O37" s="494"/>
      <c r="P37" s="494"/>
      <c r="Q37" s="494"/>
      <c r="R37" s="494"/>
      <c r="S37" s="494"/>
      <c r="T37" s="494"/>
      <c r="U37" s="494"/>
      <c r="V37" s="494"/>
      <c r="W37" s="494"/>
      <c r="X37" s="494"/>
      <c r="Y37" s="494"/>
      <c r="Z37" s="494"/>
      <c r="AA37" s="494"/>
      <c r="AB37" s="494"/>
      <c r="AC37" s="494"/>
      <c r="AD37" s="494"/>
      <c r="AE37" s="494"/>
      <c r="AF37" s="494"/>
      <c r="AG37" s="494"/>
      <c r="AH37" s="494"/>
      <c r="AI37" s="494"/>
      <c r="AJ37" s="494"/>
      <c r="AK37" s="494"/>
      <c r="AL37" s="494"/>
      <c r="AM37" s="494"/>
      <c r="AN37" s="494"/>
      <c r="AO37" s="494"/>
      <c r="AP37" s="494"/>
      <c r="AQ37" s="494"/>
      <c r="AR37" s="494"/>
      <c r="AS37" s="494"/>
      <c r="AT37" s="494"/>
      <c r="AU37" s="494"/>
      <c r="AV37" s="494"/>
      <c r="AW37" s="494"/>
      <c r="AX37" s="494"/>
      <c r="AY37" s="494"/>
      <c r="AZ37" s="494"/>
      <c r="BA37" s="494"/>
      <c r="BB37" s="494"/>
      <c r="BC37" s="494"/>
      <c r="BD37" s="494"/>
      <c r="BE37" s="494"/>
      <c r="BF37" s="494"/>
      <c r="BG37" s="494"/>
      <c r="BH37" s="494"/>
      <c r="BI37" s="494"/>
      <c r="BJ37" s="494"/>
      <c r="BK37" s="494"/>
      <c r="BL37" s="494"/>
      <c r="BM37" s="494"/>
      <c r="BN37" s="494"/>
      <c r="BO37" s="494"/>
      <c r="BP37" s="494"/>
      <c r="BQ37" s="494"/>
      <c r="BR37" s="494"/>
      <c r="BS37" s="494"/>
      <c r="BT37" s="495"/>
      <c r="BU37" s="514" t="s">
        <v>269</v>
      </c>
    </row>
    <row r="38" spans="3:234" ht="15" customHeight="1" x14ac:dyDescent="0.25">
      <c r="C38" s="478"/>
      <c r="D38" s="108" t="s">
        <v>106</v>
      </c>
      <c r="E38" s="70">
        <v>2.5019347143833089E-2</v>
      </c>
      <c r="G38" s="70">
        <v>3.4728323102035219E-2</v>
      </c>
      <c r="I38" s="70">
        <v>7.8215985700524262E-3</v>
      </c>
      <c r="K38" s="496"/>
      <c r="L38" s="497"/>
      <c r="M38" s="497"/>
      <c r="N38" s="497"/>
      <c r="O38" s="497"/>
      <c r="P38" s="497"/>
      <c r="Q38" s="497"/>
      <c r="R38" s="497"/>
      <c r="S38" s="497"/>
      <c r="T38" s="497"/>
      <c r="U38" s="497"/>
      <c r="V38" s="497"/>
      <c r="W38" s="497"/>
      <c r="X38" s="497"/>
      <c r="Y38" s="497"/>
      <c r="Z38" s="497"/>
      <c r="AA38" s="497"/>
      <c r="AB38" s="497"/>
      <c r="AC38" s="497"/>
      <c r="AD38" s="497"/>
      <c r="AE38" s="497"/>
      <c r="AF38" s="497"/>
      <c r="AG38" s="497"/>
      <c r="AH38" s="497"/>
      <c r="AI38" s="497"/>
      <c r="AJ38" s="497"/>
      <c r="AK38" s="497"/>
      <c r="AL38" s="497"/>
      <c r="AM38" s="497"/>
      <c r="AN38" s="497"/>
      <c r="AO38" s="497"/>
      <c r="AP38" s="497"/>
      <c r="AQ38" s="497"/>
      <c r="AR38" s="497"/>
      <c r="AS38" s="497"/>
      <c r="AT38" s="497"/>
      <c r="AU38" s="497"/>
      <c r="AV38" s="497"/>
      <c r="AW38" s="497"/>
      <c r="AX38" s="497"/>
      <c r="AY38" s="497"/>
      <c r="AZ38" s="497"/>
      <c r="BA38" s="497"/>
      <c r="BB38" s="497"/>
      <c r="BC38" s="497"/>
      <c r="BD38" s="497"/>
      <c r="BE38" s="497"/>
      <c r="BF38" s="497"/>
      <c r="BG38" s="497"/>
      <c r="BH38" s="497"/>
      <c r="BI38" s="497"/>
      <c r="BJ38" s="497"/>
      <c r="BK38" s="497"/>
      <c r="BL38" s="497"/>
      <c r="BM38" s="497"/>
      <c r="BN38" s="497"/>
      <c r="BO38" s="497"/>
      <c r="BP38" s="497"/>
      <c r="BQ38" s="497"/>
      <c r="BR38" s="497"/>
      <c r="BS38" s="497"/>
      <c r="BT38" s="498"/>
      <c r="BU38" s="515"/>
    </row>
    <row r="39" spans="3:234" ht="15" customHeight="1" thickBot="1" x14ac:dyDescent="0.3">
      <c r="C39" s="478"/>
      <c r="D39" s="108" t="s">
        <v>109</v>
      </c>
      <c r="E39" s="70">
        <v>9.8614418321418498E-2</v>
      </c>
      <c r="G39" s="70">
        <v>0.17696028092771701</v>
      </c>
      <c r="I39" s="70">
        <v>0.18407802986902216</v>
      </c>
      <c r="K39" s="499"/>
      <c r="L39" s="500"/>
      <c r="M39" s="500"/>
      <c r="N39" s="500"/>
      <c r="O39" s="500"/>
      <c r="P39" s="500"/>
      <c r="Q39" s="500"/>
      <c r="R39" s="500"/>
      <c r="S39" s="500"/>
      <c r="T39" s="500"/>
      <c r="U39" s="500"/>
      <c r="V39" s="500"/>
      <c r="W39" s="500"/>
      <c r="X39" s="500"/>
      <c r="Y39" s="500"/>
      <c r="Z39" s="500"/>
      <c r="AA39" s="500"/>
      <c r="AB39" s="500"/>
      <c r="AC39" s="500"/>
      <c r="AD39" s="500"/>
      <c r="AE39" s="500"/>
      <c r="AF39" s="500"/>
      <c r="AG39" s="500"/>
      <c r="AH39" s="500"/>
      <c r="AI39" s="500"/>
      <c r="AJ39" s="500"/>
      <c r="AK39" s="500"/>
      <c r="AL39" s="500"/>
      <c r="AM39" s="500"/>
      <c r="AN39" s="500"/>
      <c r="AO39" s="500"/>
      <c r="AP39" s="500"/>
      <c r="AQ39" s="500"/>
      <c r="AR39" s="500"/>
      <c r="AS39" s="500"/>
      <c r="AT39" s="500"/>
      <c r="AU39" s="500"/>
      <c r="AV39" s="500"/>
      <c r="AW39" s="500"/>
      <c r="AX39" s="500"/>
      <c r="AY39" s="500"/>
      <c r="AZ39" s="500"/>
      <c r="BA39" s="500"/>
      <c r="BB39" s="500"/>
      <c r="BC39" s="500"/>
      <c r="BD39" s="500"/>
      <c r="BE39" s="500"/>
      <c r="BF39" s="500"/>
      <c r="BG39" s="500"/>
      <c r="BH39" s="500"/>
      <c r="BI39" s="500"/>
      <c r="BJ39" s="500"/>
      <c r="BK39" s="500"/>
      <c r="BL39" s="500"/>
      <c r="BM39" s="500"/>
      <c r="BN39" s="500"/>
      <c r="BO39" s="500"/>
      <c r="BP39" s="500"/>
      <c r="BQ39" s="500"/>
      <c r="BR39" s="500"/>
      <c r="BS39" s="500"/>
      <c r="BT39" s="501"/>
      <c r="BU39" s="515"/>
    </row>
    <row r="40" spans="3:234" ht="15.75" customHeight="1" x14ac:dyDescent="0.25">
      <c r="C40" s="478"/>
      <c r="D40" s="108" t="s">
        <v>111</v>
      </c>
      <c r="E40" s="70">
        <v>4.3182938651888207E-2</v>
      </c>
      <c r="G40" s="21"/>
      <c r="I40" s="70">
        <v>6.4901662630651141E-2</v>
      </c>
      <c r="K40" s="109" t="s">
        <v>115</v>
      </c>
      <c r="L40" s="101" t="s">
        <v>117</v>
      </c>
      <c r="M40" s="298"/>
      <c r="N40" s="298"/>
      <c r="O40" s="105">
        <v>28.926823216031032</v>
      </c>
      <c r="P40" s="298"/>
      <c r="Q40" s="298"/>
      <c r="R40" s="298"/>
      <c r="S40" s="298"/>
      <c r="T40" s="298"/>
      <c r="U40" s="298"/>
      <c r="V40" s="105">
        <v>10.077486339993728</v>
      </c>
      <c r="W40" s="105">
        <v>18.4945796448972</v>
      </c>
      <c r="X40" s="105">
        <v>14.13137292017319</v>
      </c>
      <c r="Y40" s="105">
        <v>15.967553528361877</v>
      </c>
      <c r="Z40" s="105">
        <v>14.626126006371658</v>
      </c>
      <c r="AA40" s="105">
        <v>10.367940728580532</v>
      </c>
      <c r="AB40" s="298"/>
      <c r="AC40" s="298"/>
      <c r="AD40" s="298"/>
      <c r="AE40" s="298"/>
      <c r="AF40" s="298"/>
      <c r="AG40" s="294"/>
      <c r="AH40" s="294"/>
      <c r="AI40" s="106">
        <v>28.926823216031032</v>
      </c>
      <c r="AJ40" s="294"/>
      <c r="AK40" s="294"/>
      <c r="AL40" s="294"/>
      <c r="AM40" s="294"/>
      <c r="AN40" s="294"/>
      <c r="AO40" s="294"/>
      <c r="AP40" s="106">
        <v>10.077486339993728</v>
      </c>
      <c r="AQ40" s="106">
        <v>18.4945796448972</v>
      </c>
      <c r="AR40" s="106">
        <v>14.13137292017319</v>
      </c>
      <c r="AS40" s="106">
        <v>15.967553528361877</v>
      </c>
      <c r="AT40" s="106">
        <v>14.626126006371658</v>
      </c>
      <c r="AU40" s="106">
        <v>10.367940728580532</v>
      </c>
      <c r="AV40" s="294"/>
      <c r="AW40" s="294"/>
      <c r="AX40" s="294"/>
      <c r="AY40" s="294"/>
      <c r="AZ40" s="294"/>
      <c r="BA40" s="116">
        <v>0</v>
      </c>
      <c r="BB40" s="116">
        <v>0</v>
      </c>
      <c r="BC40" s="116">
        <v>0</v>
      </c>
      <c r="BD40" s="116">
        <v>0</v>
      </c>
      <c r="BE40" s="116">
        <v>0</v>
      </c>
      <c r="BF40" s="116">
        <v>0</v>
      </c>
      <c r="BG40" s="116">
        <v>0</v>
      </c>
      <c r="BH40" s="116">
        <v>0</v>
      </c>
      <c r="BI40" s="116">
        <v>0</v>
      </c>
      <c r="BJ40" s="116">
        <v>0</v>
      </c>
      <c r="BK40" s="116">
        <v>0</v>
      </c>
      <c r="BL40" s="116">
        <v>0</v>
      </c>
      <c r="BM40" s="116">
        <v>0</v>
      </c>
      <c r="BN40" s="116">
        <v>0</v>
      </c>
      <c r="BO40" s="116">
        <v>0</v>
      </c>
      <c r="BP40" s="116">
        <v>0</v>
      </c>
      <c r="BQ40" s="116">
        <v>0</v>
      </c>
      <c r="BR40" s="116">
        <v>0</v>
      </c>
      <c r="BS40" s="116">
        <v>0</v>
      </c>
      <c r="BT40" s="116">
        <v>0</v>
      </c>
      <c r="BU40" s="353">
        <v>0</v>
      </c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  <c r="HA40" s="90"/>
      <c r="HB40" s="90"/>
      <c r="HC40" s="90"/>
      <c r="HD40" s="90"/>
      <c r="HE40" s="90"/>
      <c r="HF40" s="90"/>
      <c r="HG40" s="90"/>
      <c r="HH40" s="90"/>
      <c r="HI40" s="90"/>
      <c r="HJ40" s="90"/>
      <c r="HK40" s="90"/>
      <c r="HL40" s="90"/>
      <c r="HM40" s="90"/>
      <c r="HN40" s="90"/>
      <c r="HO40" s="90"/>
      <c r="HP40" s="90"/>
      <c r="HQ40" s="90"/>
      <c r="HR40" s="90"/>
      <c r="HS40" s="90"/>
      <c r="HT40" s="90"/>
      <c r="HU40" s="90"/>
      <c r="HV40" s="90"/>
      <c r="HW40" s="90"/>
      <c r="HX40" s="90"/>
      <c r="HY40" s="90"/>
      <c r="HZ40" s="90"/>
    </row>
    <row r="41" spans="3:234" ht="15" x14ac:dyDescent="0.25">
      <c r="C41" s="478"/>
      <c r="D41" s="108" t="s">
        <v>121</v>
      </c>
      <c r="E41" s="21"/>
      <c r="F41" s="17"/>
      <c r="G41" s="21"/>
      <c r="I41" s="70">
        <v>2.6290601191449499E-2</v>
      </c>
      <c r="K41" s="99" t="s">
        <v>75</v>
      </c>
      <c r="L41" s="102" t="s">
        <v>117</v>
      </c>
      <c r="M41" s="299"/>
      <c r="N41" s="299"/>
      <c r="O41" s="92">
        <v>31</v>
      </c>
      <c r="P41" s="299"/>
      <c r="Q41" s="299"/>
      <c r="R41" s="299"/>
      <c r="S41" s="299"/>
      <c r="T41" s="299"/>
      <c r="U41" s="299"/>
      <c r="V41" s="92">
        <v>7</v>
      </c>
      <c r="W41" s="92">
        <v>32</v>
      </c>
      <c r="X41" s="92">
        <v>19</v>
      </c>
      <c r="Y41" s="92">
        <v>16</v>
      </c>
      <c r="Z41" s="92">
        <v>30</v>
      </c>
      <c r="AA41" s="92">
        <v>2</v>
      </c>
      <c r="AB41" s="299"/>
      <c r="AC41" s="299"/>
      <c r="AD41" s="299"/>
      <c r="AE41" s="299"/>
      <c r="AF41" s="299"/>
      <c r="AG41" s="299"/>
      <c r="AH41" s="299"/>
      <c r="AI41" s="92">
        <v>34.410000000000004</v>
      </c>
      <c r="AJ41" s="299"/>
      <c r="AK41" s="299"/>
      <c r="AL41" s="299"/>
      <c r="AM41" s="299"/>
      <c r="AN41" s="299"/>
      <c r="AO41" s="299"/>
      <c r="AP41" s="92">
        <v>7.7700000000000005</v>
      </c>
      <c r="AQ41" s="92">
        <v>35.520000000000003</v>
      </c>
      <c r="AR41" s="92">
        <v>21.090000000000003</v>
      </c>
      <c r="AS41" s="92">
        <v>16</v>
      </c>
      <c r="AT41" s="92">
        <v>33.300000000000004</v>
      </c>
      <c r="AU41" s="92">
        <v>2.2200000000000002</v>
      </c>
      <c r="AV41" s="299"/>
      <c r="AW41" s="299"/>
      <c r="AX41" s="299"/>
      <c r="AY41" s="299"/>
      <c r="AZ41" s="299"/>
      <c r="BA41" s="20">
        <v>0</v>
      </c>
      <c r="BB41" s="20">
        <v>0</v>
      </c>
      <c r="BC41" s="20">
        <v>812178.15840032103</v>
      </c>
      <c r="BD41" s="20">
        <v>0</v>
      </c>
      <c r="BE41" s="20">
        <v>0</v>
      </c>
      <c r="BF41" s="20">
        <v>0</v>
      </c>
      <c r="BG41" s="20">
        <v>0</v>
      </c>
      <c r="BH41" s="20">
        <v>0</v>
      </c>
      <c r="BI41" s="20">
        <v>0</v>
      </c>
      <c r="BJ41" s="20">
        <v>71691.416454764156</v>
      </c>
      <c r="BK41" s="20">
        <v>158344.74799340701</v>
      </c>
      <c r="BL41" s="20">
        <v>105270.87957793026</v>
      </c>
      <c r="BM41" s="20">
        <v>0</v>
      </c>
      <c r="BN41" s="20">
        <v>201049.00090990949</v>
      </c>
      <c r="BO41" s="20">
        <v>24370.717889755091</v>
      </c>
      <c r="BP41" s="20">
        <v>0</v>
      </c>
      <c r="BQ41" s="20">
        <v>0</v>
      </c>
      <c r="BR41" s="20">
        <v>0</v>
      </c>
      <c r="BS41" s="20">
        <v>0</v>
      </c>
      <c r="BT41" s="20">
        <v>0</v>
      </c>
      <c r="BU41" s="23">
        <v>1372904.921226087</v>
      </c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  <c r="HA41" s="90"/>
      <c r="HB41" s="90"/>
      <c r="HC41" s="90"/>
      <c r="HD41" s="90"/>
      <c r="HE41" s="90"/>
      <c r="HF41" s="90"/>
      <c r="HG41" s="90"/>
      <c r="HH41" s="90"/>
      <c r="HI41" s="90"/>
      <c r="HJ41" s="90"/>
      <c r="HK41" s="90"/>
      <c r="HL41" s="90"/>
      <c r="HM41" s="90"/>
      <c r="HN41" s="90"/>
      <c r="HO41" s="90"/>
      <c r="HP41" s="90"/>
      <c r="HQ41" s="90"/>
      <c r="HR41" s="90"/>
      <c r="HS41" s="90"/>
      <c r="HT41" s="90"/>
      <c r="HU41" s="90"/>
      <c r="HV41" s="90"/>
      <c r="HW41" s="90"/>
      <c r="HX41" s="90"/>
      <c r="HY41" s="90"/>
      <c r="HZ41" s="90"/>
    </row>
    <row r="42" spans="3:234" ht="15.75" thickBot="1" x14ac:dyDescent="0.3">
      <c r="C42" s="479"/>
      <c r="D42" s="108" t="s">
        <v>211</v>
      </c>
      <c r="E42" s="21">
        <v>0.21610399648286818</v>
      </c>
      <c r="F42" s="17"/>
      <c r="G42" s="70">
        <v>0.21610399648286818</v>
      </c>
      <c r="I42" s="21"/>
      <c r="K42" s="99" t="s">
        <v>89</v>
      </c>
      <c r="L42" s="103" t="s">
        <v>117</v>
      </c>
      <c r="M42" s="301"/>
      <c r="N42" s="301"/>
      <c r="O42" s="302">
        <v>0.47005590082062448</v>
      </c>
      <c r="P42" s="301"/>
      <c r="Q42" s="301"/>
      <c r="R42" s="301"/>
      <c r="S42" s="301"/>
      <c r="T42" s="301"/>
      <c r="U42" s="301"/>
      <c r="V42" s="302">
        <v>0.12064974320179786</v>
      </c>
      <c r="W42" s="302">
        <v>0.20498499749127483</v>
      </c>
      <c r="X42" s="302">
        <v>7.1002459990541056E-2</v>
      </c>
      <c r="Y42" s="302">
        <v>3.6286798789166297E-2</v>
      </c>
      <c r="Z42" s="302">
        <v>9.4757816644865309E-2</v>
      </c>
      <c r="AA42" s="63">
        <v>2.2622830617301452E-3</v>
      </c>
      <c r="AB42" s="301"/>
      <c r="AC42" s="301"/>
      <c r="AD42" s="301"/>
      <c r="AE42" s="301"/>
      <c r="AF42" s="301"/>
      <c r="AG42" s="301"/>
      <c r="AH42" s="301"/>
      <c r="AI42" s="302">
        <v>0.47005590082062448</v>
      </c>
      <c r="AJ42" s="301"/>
      <c r="AK42" s="301"/>
      <c r="AL42" s="301"/>
      <c r="AM42" s="301"/>
      <c r="AN42" s="301"/>
      <c r="AO42" s="301"/>
      <c r="AP42" s="302">
        <v>0.12064974320179786</v>
      </c>
      <c r="AQ42" s="302">
        <v>0.20498499749127483</v>
      </c>
      <c r="AR42" s="302">
        <v>7.1002459990541056E-2</v>
      </c>
      <c r="AS42" s="302">
        <v>3.6286798789166297E-2</v>
      </c>
      <c r="AT42" s="302">
        <v>9.4757816644865309E-2</v>
      </c>
      <c r="AU42" s="302">
        <v>2.2622830617301452E-3</v>
      </c>
      <c r="AV42" s="301"/>
      <c r="AW42" s="301"/>
      <c r="AX42" s="301"/>
      <c r="AY42" s="301"/>
      <c r="AZ42" s="301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3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  <c r="HA42" s="90"/>
      <c r="HB42" s="90"/>
      <c r="HC42" s="90"/>
      <c r="HD42" s="90"/>
      <c r="HE42" s="90"/>
      <c r="HF42" s="90"/>
      <c r="HG42" s="90"/>
      <c r="HH42" s="90"/>
      <c r="HI42" s="90"/>
      <c r="HJ42" s="90"/>
      <c r="HK42" s="90"/>
      <c r="HL42" s="90"/>
      <c r="HM42" s="90"/>
      <c r="HN42" s="90"/>
      <c r="HO42" s="90"/>
      <c r="HP42" s="90"/>
      <c r="HQ42" s="90"/>
      <c r="HR42" s="90"/>
      <c r="HS42" s="90"/>
      <c r="HT42" s="90"/>
      <c r="HU42" s="90"/>
      <c r="HV42" s="90"/>
      <c r="HW42" s="90"/>
      <c r="HX42" s="90"/>
      <c r="HY42" s="90"/>
      <c r="HZ42" s="90"/>
    </row>
    <row r="43" spans="3:234" ht="15.75" thickBot="1" x14ac:dyDescent="0.3">
      <c r="K43" s="504" t="s">
        <v>90</v>
      </c>
      <c r="L43" s="505"/>
      <c r="M43" s="63">
        <v>0.16677894466666668</v>
      </c>
      <c r="N43" s="303"/>
      <c r="O43" s="303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299"/>
      <c r="AB43" s="299"/>
      <c r="AC43" s="299"/>
      <c r="AD43" s="299"/>
      <c r="AE43" s="299"/>
      <c r="AF43" s="299"/>
      <c r="AG43" s="63">
        <v>0.18</v>
      </c>
      <c r="AH43" s="299"/>
      <c r="AI43" s="299"/>
      <c r="AJ43" s="299"/>
      <c r="AK43" s="299"/>
      <c r="AL43" s="299"/>
      <c r="AM43" s="299"/>
      <c r="AN43" s="299"/>
      <c r="AO43" s="299"/>
      <c r="AP43" s="299"/>
      <c r="AQ43" s="299"/>
      <c r="AR43" s="299"/>
      <c r="AS43" s="299"/>
      <c r="AT43" s="299"/>
      <c r="AU43" s="290"/>
      <c r="AV43" s="290"/>
      <c r="AW43" s="290"/>
      <c r="AX43" s="290"/>
      <c r="AY43" s="290"/>
      <c r="AZ43" s="290"/>
      <c r="BA43" s="290"/>
      <c r="BB43" s="290"/>
      <c r="BC43" s="290"/>
      <c r="BD43" s="290"/>
      <c r="BE43" s="290"/>
      <c r="BF43" s="290"/>
      <c r="BG43" s="290"/>
      <c r="BH43" s="290"/>
      <c r="BI43" s="290"/>
      <c r="BJ43" s="290"/>
      <c r="BK43" s="290"/>
      <c r="BL43" s="290"/>
      <c r="BM43" s="290"/>
      <c r="BN43" s="290"/>
      <c r="BO43" s="290"/>
      <c r="BP43" s="290"/>
      <c r="BQ43" s="290"/>
      <c r="BR43" s="290"/>
      <c r="BS43" s="290"/>
      <c r="BT43" s="290"/>
      <c r="BU43" s="352">
        <v>60767.931604963393</v>
      </c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  <c r="HA43" s="90"/>
      <c r="HB43" s="90"/>
      <c r="HC43" s="90"/>
      <c r="HD43" s="90"/>
      <c r="HE43" s="90"/>
      <c r="HF43" s="90"/>
      <c r="HG43" s="90"/>
      <c r="HH43" s="90"/>
      <c r="HI43" s="90"/>
      <c r="HJ43" s="90"/>
      <c r="HK43" s="90"/>
      <c r="HL43" s="90"/>
      <c r="HM43" s="90"/>
      <c r="HN43" s="90"/>
      <c r="HO43" s="90"/>
      <c r="HP43" s="90"/>
      <c r="HQ43" s="90"/>
      <c r="HR43" s="90"/>
      <c r="HS43" s="90"/>
      <c r="HT43" s="90"/>
      <c r="HU43" s="90"/>
      <c r="HV43" s="90"/>
      <c r="HW43" s="90"/>
      <c r="HX43" s="90"/>
      <c r="HY43" s="90"/>
      <c r="HZ43" s="90"/>
    </row>
    <row r="44" spans="3:234" ht="15" customHeight="1" thickBot="1" x14ac:dyDescent="0.3">
      <c r="C44" s="314"/>
      <c r="D44" s="314"/>
      <c r="K44" s="502" t="s">
        <v>94</v>
      </c>
      <c r="L44" s="68" t="s">
        <v>95</v>
      </c>
      <c r="M44" s="104">
        <v>22556750</v>
      </c>
      <c r="N44" s="462" t="s">
        <v>391</v>
      </c>
      <c r="O44" s="104">
        <v>72860750</v>
      </c>
      <c r="P44" s="299"/>
      <c r="Q44" s="299"/>
      <c r="R44" s="299"/>
      <c r="S44" s="299"/>
      <c r="T44" s="299"/>
      <c r="U44" s="299"/>
      <c r="V44" s="299"/>
      <c r="W44" s="299"/>
      <c r="X44" s="299"/>
      <c r="Y44" s="299"/>
      <c r="Z44" s="299"/>
      <c r="AA44" s="299"/>
      <c r="AB44" s="299"/>
      <c r="AC44" s="299"/>
      <c r="AD44" s="299"/>
      <c r="AE44" s="299"/>
      <c r="AF44" s="89" t="s">
        <v>389</v>
      </c>
      <c r="AG44" s="305">
        <v>25861526.026785713</v>
      </c>
      <c r="AH44" s="462" t="s">
        <v>391</v>
      </c>
      <c r="AI44" s="305">
        <v>65653775</v>
      </c>
      <c r="AJ44" s="299"/>
      <c r="AK44" s="299"/>
      <c r="AL44" s="299"/>
      <c r="AM44" s="299"/>
      <c r="AN44" s="299"/>
      <c r="AO44" s="299"/>
      <c r="AP44" s="299"/>
      <c r="AQ44" s="299"/>
      <c r="AR44" s="299"/>
      <c r="AS44" s="299"/>
      <c r="AT44" s="299"/>
      <c r="AU44" s="290"/>
      <c r="AV44" s="290"/>
      <c r="AW44" s="290"/>
      <c r="AX44" s="290"/>
      <c r="AY44" s="290"/>
      <c r="AZ44" s="290"/>
      <c r="BA44" s="290"/>
      <c r="BB44" s="290"/>
      <c r="BC44" s="290"/>
      <c r="BD44" s="290"/>
      <c r="BE44" s="290"/>
      <c r="BF44" s="290"/>
      <c r="BG44" s="290"/>
      <c r="BH44" s="290"/>
      <c r="BI44" s="290"/>
      <c r="BJ44" s="290"/>
      <c r="BK44" s="290"/>
      <c r="BL44" s="290"/>
      <c r="BM44" s="290"/>
      <c r="BN44" s="290"/>
      <c r="BO44" s="290"/>
      <c r="BP44" s="290"/>
      <c r="BQ44" s="290"/>
      <c r="BR44" s="290"/>
      <c r="BS44" s="290"/>
      <c r="BT44" s="290"/>
      <c r="BU44" s="352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  <c r="EH44" s="90"/>
      <c r="EI44" s="90"/>
      <c r="EJ44" s="90"/>
      <c r="EK44" s="90"/>
      <c r="EL44" s="90"/>
      <c r="EM44" s="90"/>
      <c r="EN44" s="90"/>
      <c r="EO44" s="90"/>
      <c r="EP44" s="90"/>
      <c r="EQ44" s="90"/>
      <c r="ER44" s="90"/>
      <c r="ES44" s="90"/>
      <c r="ET44" s="90"/>
      <c r="EU44" s="90"/>
      <c r="EV44" s="90"/>
      <c r="EW44" s="90"/>
      <c r="EX44" s="90"/>
      <c r="EY44" s="90"/>
      <c r="EZ44" s="90"/>
      <c r="FA44" s="90"/>
      <c r="FB44" s="90"/>
      <c r="FC44" s="90"/>
      <c r="FD44" s="90"/>
      <c r="FE44" s="90"/>
      <c r="FF44" s="90"/>
      <c r="FG44" s="90"/>
      <c r="FH44" s="90"/>
      <c r="FI44" s="90"/>
      <c r="FJ44" s="90"/>
      <c r="FK44" s="90"/>
      <c r="FL44" s="90"/>
      <c r="FM44" s="90"/>
      <c r="FN44" s="90"/>
      <c r="FO44" s="90"/>
      <c r="FP44" s="90"/>
      <c r="FQ44" s="90"/>
      <c r="FR44" s="90"/>
      <c r="FS44" s="90"/>
      <c r="FT44" s="90"/>
      <c r="FU44" s="90"/>
      <c r="FV44" s="90"/>
      <c r="FW44" s="90"/>
      <c r="FX44" s="90"/>
      <c r="FY44" s="90"/>
      <c r="FZ44" s="90"/>
      <c r="GA44" s="90"/>
      <c r="GB44" s="90"/>
      <c r="GC44" s="90"/>
      <c r="GD44" s="90"/>
      <c r="GE44" s="90"/>
      <c r="GF44" s="90"/>
      <c r="GG44" s="90"/>
      <c r="GH44" s="90"/>
      <c r="GI44" s="90"/>
      <c r="GJ44" s="90"/>
      <c r="GK44" s="90"/>
      <c r="GL44" s="90"/>
      <c r="GM44" s="90"/>
      <c r="GN44" s="90"/>
      <c r="GO44" s="90"/>
      <c r="GP44" s="90"/>
      <c r="GQ44" s="90"/>
      <c r="GR44" s="90"/>
      <c r="GS44" s="90"/>
      <c r="GT44" s="90"/>
      <c r="GU44" s="90"/>
      <c r="GV44" s="90"/>
      <c r="GW44" s="90"/>
      <c r="GX44" s="90"/>
      <c r="GY44" s="90"/>
      <c r="GZ44" s="90"/>
      <c r="HA44" s="90"/>
      <c r="HB44" s="90"/>
      <c r="HC44" s="90"/>
      <c r="HD44" s="90"/>
      <c r="HE44" s="90"/>
      <c r="HF44" s="90"/>
      <c r="HG44" s="90"/>
      <c r="HH44" s="90"/>
      <c r="HI44" s="90"/>
      <c r="HJ44" s="90"/>
      <c r="HK44" s="90"/>
      <c r="HL44" s="90"/>
      <c r="HM44" s="90"/>
      <c r="HN44" s="90"/>
      <c r="HO44" s="90"/>
      <c r="HP44" s="90"/>
      <c r="HQ44" s="90"/>
      <c r="HR44" s="90"/>
      <c r="HS44" s="90"/>
      <c r="HT44" s="90"/>
      <c r="HU44" s="90"/>
      <c r="HV44" s="90"/>
      <c r="HW44" s="90"/>
      <c r="HX44" s="90"/>
      <c r="HY44" s="90"/>
      <c r="HZ44" s="90"/>
    </row>
    <row r="45" spans="3:234" ht="15" customHeight="1" thickBot="1" x14ac:dyDescent="0.3">
      <c r="C45" s="525" t="s">
        <v>245</v>
      </c>
      <c r="D45" s="526"/>
      <c r="E45" s="313" t="s">
        <v>12</v>
      </c>
      <c r="G45" s="64" t="s">
        <v>38</v>
      </c>
      <c r="K45" s="503"/>
      <c r="L45" s="68" t="s">
        <v>96</v>
      </c>
      <c r="M45" s="57">
        <v>1952.57</v>
      </c>
      <c r="N45" s="462" t="s">
        <v>392</v>
      </c>
      <c r="O45" s="86">
        <v>4644</v>
      </c>
      <c r="P45" s="299"/>
      <c r="Q45" s="299"/>
      <c r="R45" s="299"/>
      <c r="S45" s="299"/>
      <c r="T45" s="299"/>
      <c r="U45" s="299"/>
      <c r="V45" s="299"/>
      <c r="W45" s="299"/>
      <c r="X45" s="299"/>
      <c r="Y45" s="299"/>
      <c r="Z45" s="299"/>
      <c r="AA45" s="299"/>
      <c r="AB45" s="299"/>
      <c r="AC45" s="299"/>
      <c r="AD45" s="299"/>
      <c r="AE45" s="299"/>
      <c r="AF45" s="65" t="s">
        <v>390</v>
      </c>
      <c r="AG45" s="297">
        <v>2325.0000000000005</v>
      </c>
      <c r="AH45" s="462" t="s">
        <v>392</v>
      </c>
      <c r="AI45" s="297">
        <v>4189.8999999999996</v>
      </c>
      <c r="AJ45" s="299"/>
      <c r="AK45" s="299"/>
      <c r="AL45" s="299"/>
      <c r="AM45" s="299"/>
      <c r="AN45" s="299"/>
      <c r="AO45" s="299"/>
      <c r="AP45" s="299"/>
      <c r="AQ45" s="299"/>
      <c r="AR45" s="299"/>
      <c r="AS45" s="299"/>
      <c r="AT45" s="299"/>
      <c r="AU45" s="290"/>
      <c r="AV45" s="290"/>
      <c r="AW45" s="290"/>
      <c r="AX45" s="290"/>
      <c r="AY45" s="290"/>
      <c r="AZ45" s="290"/>
      <c r="BA45" s="290"/>
      <c r="BB45" s="290"/>
      <c r="BC45" s="290"/>
      <c r="BD45" s="290"/>
      <c r="BE45" s="290"/>
      <c r="BF45" s="290"/>
      <c r="BG45" s="290"/>
      <c r="BH45" s="290"/>
      <c r="BI45" s="290"/>
      <c r="BJ45" s="290"/>
      <c r="BK45" s="290"/>
      <c r="BL45" s="290"/>
      <c r="BM45" s="290"/>
      <c r="BN45" s="290"/>
      <c r="BO45" s="290"/>
      <c r="BP45" s="290"/>
      <c r="BQ45" s="290"/>
      <c r="BR45" s="290"/>
      <c r="BS45" s="290"/>
      <c r="BT45" s="290"/>
      <c r="BU45" s="352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  <c r="EH45" s="90"/>
      <c r="EI45" s="90"/>
      <c r="EJ45" s="90"/>
      <c r="EK45" s="90"/>
      <c r="EL45" s="90"/>
      <c r="EM45" s="90"/>
      <c r="EN45" s="90"/>
      <c r="EO45" s="90"/>
      <c r="EP45" s="90"/>
      <c r="EQ45" s="90"/>
      <c r="ER45" s="90"/>
      <c r="ES45" s="90"/>
      <c r="ET45" s="90"/>
      <c r="EU45" s="90"/>
      <c r="EV45" s="90"/>
      <c r="EW45" s="90"/>
      <c r="EX45" s="90"/>
      <c r="EY45" s="90"/>
      <c r="EZ45" s="90"/>
      <c r="FA45" s="90"/>
      <c r="FB45" s="90"/>
      <c r="FC45" s="90"/>
      <c r="FD45" s="90"/>
      <c r="FE45" s="90"/>
      <c r="FF45" s="90"/>
      <c r="FG45" s="90"/>
      <c r="FH45" s="90"/>
      <c r="FI45" s="90"/>
      <c r="FJ45" s="90"/>
      <c r="FK45" s="90"/>
      <c r="FL45" s="90"/>
      <c r="FM45" s="90"/>
      <c r="FN45" s="90"/>
      <c r="FO45" s="90"/>
      <c r="FP45" s="90"/>
      <c r="FQ45" s="90"/>
      <c r="FR45" s="90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90"/>
      <c r="GD45" s="90"/>
      <c r="GE45" s="90"/>
      <c r="GF45" s="90"/>
      <c r="GG45" s="90"/>
      <c r="GH45" s="90"/>
      <c r="GI45" s="90"/>
      <c r="GJ45" s="90"/>
      <c r="GK45" s="90"/>
      <c r="GL45" s="90"/>
      <c r="GM45" s="90"/>
      <c r="GN45" s="90"/>
      <c r="GO45" s="90"/>
      <c r="GP45" s="90"/>
      <c r="GQ45" s="90"/>
      <c r="GR45" s="90"/>
      <c r="GS45" s="90"/>
      <c r="GT45" s="90"/>
      <c r="GU45" s="90"/>
      <c r="GV45" s="90"/>
      <c r="GW45" s="90"/>
      <c r="GX45" s="90"/>
      <c r="GY45" s="90"/>
      <c r="GZ45" s="90"/>
      <c r="HA45" s="90"/>
      <c r="HB45" s="90"/>
      <c r="HC45" s="90"/>
      <c r="HD45" s="90"/>
      <c r="HE45" s="90"/>
      <c r="HF45" s="90"/>
      <c r="HG45" s="90"/>
      <c r="HH45" s="90"/>
      <c r="HI45" s="90"/>
      <c r="HJ45" s="90"/>
      <c r="HK45" s="90"/>
      <c r="HL45" s="90"/>
      <c r="HM45" s="90"/>
      <c r="HN45" s="90"/>
      <c r="HO45" s="90"/>
      <c r="HP45" s="90"/>
      <c r="HQ45" s="90"/>
      <c r="HR45" s="90"/>
      <c r="HS45" s="90"/>
      <c r="HT45" s="90"/>
      <c r="HU45" s="90"/>
      <c r="HV45" s="90"/>
      <c r="HW45" s="90"/>
      <c r="HX45" s="90"/>
      <c r="HY45" s="90"/>
      <c r="HZ45" s="90"/>
    </row>
    <row r="46" spans="3:234" ht="15" x14ac:dyDescent="0.25">
      <c r="C46" s="477" t="s">
        <v>95</v>
      </c>
      <c r="D46" s="315" t="s">
        <v>232</v>
      </c>
      <c r="E46" s="329">
        <v>8575566.7899999991</v>
      </c>
      <c r="F46" s="4"/>
      <c r="G46" s="329">
        <v>4296500</v>
      </c>
      <c r="K46" s="503"/>
      <c r="L46" s="69" t="s">
        <v>97</v>
      </c>
      <c r="M46" s="57">
        <v>538</v>
      </c>
      <c r="N46" s="299"/>
      <c r="O46" s="299"/>
      <c r="P46" s="299"/>
      <c r="Q46" s="299"/>
      <c r="R46" s="299"/>
      <c r="S46" s="299"/>
      <c r="T46" s="299"/>
      <c r="U46" s="299"/>
      <c r="V46" s="299"/>
      <c r="W46" s="299"/>
      <c r="X46" s="299"/>
      <c r="Y46" s="299"/>
      <c r="Z46" s="299"/>
      <c r="AA46" s="299"/>
      <c r="AB46" s="299"/>
      <c r="AC46" s="299"/>
      <c r="AD46" s="299"/>
      <c r="AE46" s="299"/>
      <c r="AF46" s="299"/>
      <c r="AG46" s="297">
        <v>484.2</v>
      </c>
      <c r="AH46" s="299"/>
      <c r="AI46" s="299"/>
      <c r="AJ46" s="299"/>
      <c r="AK46" s="299"/>
      <c r="AL46" s="299"/>
      <c r="AM46" s="299"/>
      <c r="AN46" s="299"/>
      <c r="AO46" s="299"/>
      <c r="AP46" s="299"/>
      <c r="AQ46" s="299"/>
      <c r="AR46" s="299"/>
      <c r="AS46" s="299"/>
      <c r="AT46" s="299"/>
      <c r="AU46" s="290"/>
      <c r="AV46" s="290"/>
      <c r="AW46" s="290"/>
      <c r="AX46" s="290"/>
      <c r="AY46" s="290"/>
      <c r="AZ46" s="290"/>
      <c r="BA46" s="290"/>
      <c r="BB46" s="290"/>
      <c r="BC46" s="290"/>
      <c r="BD46" s="290"/>
      <c r="BE46" s="290"/>
      <c r="BF46" s="290"/>
      <c r="BG46" s="290"/>
      <c r="BH46" s="290"/>
      <c r="BI46" s="290"/>
      <c r="BJ46" s="290"/>
      <c r="BK46" s="290"/>
      <c r="BL46" s="290"/>
      <c r="BM46" s="290"/>
      <c r="BN46" s="290"/>
      <c r="BO46" s="290"/>
      <c r="BP46" s="290"/>
      <c r="BQ46" s="290"/>
      <c r="BR46" s="290"/>
      <c r="BS46" s="290"/>
      <c r="BT46" s="290"/>
      <c r="BU46" s="352">
        <v>-4250.2000000000044</v>
      </c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  <c r="EH46" s="90"/>
      <c r="EI46" s="90"/>
      <c r="EJ46" s="90"/>
      <c r="EK46" s="90"/>
      <c r="EL46" s="90"/>
      <c r="EM46" s="90"/>
      <c r="EN46" s="90"/>
      <c r="EO46" s="90"/>
      <c r="EP46" s="90"/>
      <c r="EQ46" s="90"/>
      <c r="ER46" s="90"/>
      <c r="ES46" s="90"/>
      <c r="ET46" s="90"/>
      <c r="EU46" s="90"/>
      <c r="EV46" s="90"/>
      <c r="EW46" s="90"/>
      <c r="EX46" s="90"/>
      <c r="EY46" s="90"/>
      <c r="EZ46" s="90"/>
      <c r="FA46" s="90"/>
      <c r="FB46" s="90"/>
      <c r="FC46" s="90"/>
      <c r="FD46" s="90"/>
      <c r="FE46" s="90"/>
      <c r="FF46" s="90"/>
      <c r="FG46" s="90"/>
      <c r="FH46" s="90"/>
      <c r="FI46" s="90"/>
      <c r="FJ46" s="90"/>
      <c r="FK46" s="90"/>
      <c r="FL46" s="90"/>
      <c r="FM46" s="90"/>
      <c r="FN46" s="90"/>
      <c r="FO46" s="90"/>
      <c r="FP46" s="90"/>
      <c r="FQ46" s="90"/>
      <c r="FR46" s="90"/>
      <c r="FS46" s="90"/>
      <c r="FT46" s="90"/>
      <c r="FU46" s="90"/>
      <c r="FV46" s="90"/>
      <c r="FW46" s="90"/>
      <c r="FX46" s="90"/>
      <c r="FY46" s="90"/>
      <c r="FZ46" s="90"/>
      <c r="GA46" s="90"/>
      <c r="GB46" s="90"/>
      <c r="GC46" s="90"/>
      <c r="GD46" s="90"/>
      <c r="GE46" s="90"/>
      <c r="GF46" s="90"/>
      <c r="GG46" s="90"/>
      <c r="GH46" s="90"/>
      <c r="GI46" s="90"/>
      <c r="GJ46" s="90"/>
      <c r="GK46" s="90"/>
      <c r="GL46" s="90"/>
      <c r="GM46" s="90"/>
      <c r="GN46" s="90"/>
      <c r="GO46" s="90"/>
      <c r="GP46" s="90"/>
      <c r="GQ46" s="90"/>
      <c r="GR46" s="90"/>
      <c r="GS46" s="90"/>
      <c r="GT46" s="90"/>
      <c r="GU46" s="90"/>
      <c r="GV46" s="90"/>
      <c r="GW46" s="90"/>
      <c r="GX46" s="90"/>
      <c r="GY46" s="90"/>
      <c r="GZ46" s="90"/>
      <c r="HA46" s="90"/>
      <c r="HB46" s="90"/>
      <c r="HC46" s="90"/>
      <c r="HD46" s="90"/>
      <c r="HE46" s="90"/>
      <c r="HF46" s="90"/>
      <c r="HG46" s="90"/>
      <c r="HH46" s="90"/>
      <c r="HI46" s="90"/>
      <c r="HJ46" s="90"/>
      <c r="HK46" s="90"/>
      <c r="HL46" s="90"/>
      <c r="HM46" s="90"/>
      <c r="HN46" s="90"/>
      <c r="HO46" s="90"/>
      <c r="HP46" s="90"/>
      <c r="HQ46" s="90"/>
      <c r="HR46" s="90"/>
      <c r="HS46" s="90"/>
      <c r="HT46" s="90"/>
      <c r="HU46" s="90"/>
      <c r="HV46" s="90"/>
      <c r="HW46" s="90"/>
      <c r="HX46" s="90"/>
      <c r="HY46" s="90"/>
      <c r="HZ46" s="90"/>
    </row>
    <row r="47" spans="3:234" ht="15" x14ac:dyDescent="0.25">
      <c r="C47" s="478"/>
      <c r="D47" s="108" t="s">
        <v>119</v>
      </c>
      <c r="E47" s="329">
        <v>5641800</v>
      </c>
      <c r="F47" s="4"/>
      <c r="G47" s="330"/>
      <c r="K47" s="503"/>
      <c r="L47" s="69" t="s">
        <v>98</v>
      </c>
      <c r="M47" s="57">
        <v>316</v>
      </c>
      <c r="N47" s="299"/>
      <c r="O47" s="299"/>
      <c r="P47" s="299"/>
      <c r="Q47" s="299"/>
      <c r="R47" s="299"/>
      <c r="S47" s="299"/>
      <c r="T47" s="299"/>
      <c r="U47" s="299"/>
      <c r="V47" s="299"/>
      <c r="W47" s="299"/>
      <c r="X47" s="299"/>
      <c r="Y47" s="299"/>
      <c r="Z47" s="299"/>
      <c r="AA47" s="299"/>
      <c r="AB47" s="299"/>
      <c r="AC47" s="299"/>
      <c r="AD47" s="299"/>
      <c r="AE47" s="299"/>
      <c r="AF47" s="299"/>
      <c r="AG47" s="297">
        <v>284.40000000000003</v>
      </c>
      <c r="AH47" s="299"/>
      <c r="AI47" s="299"/>
      <c r="AJ47" s="299"/>
      <c r="AK47" s="299"/>
      <c r="AL47" s="299"/>
      <c r="AM47" s="299"/>
      <c r="AN47" s="299"/>
      <c r="AO47" s="299"/>
      <c r="AP47" s="299"/>
      <c r="AQ47" s="299"/>
      <c r="AR47" s="299"/>
      <c r="AS47" s="299"/>
      <c r="AT47" s="299"/>
      <c r="AU47" s="290"/>
      <c r="AV47" s="290"/>
      <c r="AW47" s="290"/>
      <c r="AX47" s="290"/>
      <c r="AY47" s="290"/>
      <c r="AZ47" s="290"/>
      <c r="BA47" s="290"/>
      <c r="BB47" s="290"/>
      <c r="BC47" s="290"/>
      <c r="BD47" s="290"/>
      <c r="BE47" s="290"/>
      <c r="BF47" s="290"/>
      <c r="BG47" s="290"/>
      <c r="BH47" s="290"/>
      <c r="BI47" s="290"/>
      <c r="BJ47" s="290"/>
      <c r="BK47" s="290"/>
      <c r="BL47" s="290"/>
      <c r="BM47" s="290"/>
      <c r="BN47" s="290"/>
      <c r="BO47" s="290"/>
      <c r="BP47" s="290"/>
      <c r="BQ47" s="290"/>
      <c r="BR47" s="290"/>
      <c r="BS47" s="290"/>
      <c r="BT47" s="290"/>
      <c r="BU47" s="352">
        <v>-3602.3999999999978</v>
      </c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  <c r="EH47" s="90"/>
      <c r="EI47" s="90"/>
      <c r="EJ47" s="90"/>
      <c r="EK47" s="90"/>
      <c r="EL47" s="90"/>
      <c r="EM47" s="90"/>
      <c r="EN47" s="90"/>
      <c r="EO47" s="90"/>
      <c r="EP47" s="90"/>
      <c r="EQ47" s="90"/>
      <c r="ER47" s="90"/>
      <c r="ES47" s="90"/>
      <c r="ET47" s="90"/>
      <c r="EU47" s="90"/>
      <c r="EV47" s="90"/>
      <c r="EW47" s="90"/>
      <c r="EX47" s="90"/>
      <c r="EY47" s="90"/>
      <c r="EZ47" s="90"/>
      <c r="FA47" s="90"/>
      <c r="FB47" s="90"/>
      <c r="FC47" s="90"/>
      <c r="FD47" s="90"/>
      <c r="FE47" s="90"/>
      <c r="FF47" s="90"/>
      <c r="FG47" s="90"/>
      <c r="FH47" s="90"/>
      <c r="FI47" s="90"/>
      <c r="FJ47" s="90"/>
      <c r="FK47" s="90"/>
      <c r="FL47" s="90"/>
      <c r="FM47" s="90"/>
      <c r="FN47" s="90"/>
      <c r="FO47" s="90"/>
      <c r="FP47" s="90"/>
      <c r="FQ47" s="90"/>
      <c r="FR47" s="90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90"/>
      <c r="GD47" s="90"/>
      <c r="GE47" s="90"/>
      <c r="GF47" s="90"/>
      <c r="GG47" s="90"/>
      <c r="GH47" s="90"/>
      <c r="GI47" s="90"/>
      <c r="GJ47" s="90"/>
      <c r="GK47" s="90"/>
      <c r="GL47" s="90"/>
      <c r="GM47" s="90"/>
      <c r="GN47" s="90"/>
      <c r="GO47" s="90"/>
      <c r="GP47" s="90"/>
      <c r="GQ47" s="90"/>
      <c r="GR47" s="90"/>
      <c r="GS47" s="90"/>
      <c r="GT47" s="90"/>
      <c r="GU47" s="90"/>
      <c r="GV47" s="90"/>
      <c r="GW47" s="90"/>
      <c r="GX47" s="90"/>
      <c r="GY47" s="90"/>
      <c r="GZ47" s="90"/>
      <c r="HA47" s="90"/>
      <c r="HB47" s="90"/>
      <c r="HC47" s="90"/>
      <c r="HD47" s="90"/>
      <c r="HE47" s="90"/>
      <c r="HF47" s="90"/>
      <c r="HG47" s="90"/>
      <c r="HH47" s="90"/>
      <c r="HI47" s="90"/>
      <c r="HJ47" s="90"/>
      <c r="HK47" s="90"/>
      <c r="HL47" s="90"/>
      <c r="HM47" s="90"/>
      <c r="HN47" s="90"/>
      <c r="HO47" s="90"/>
      <c r="HP47" s="90"/>
      <c r="HQ47" s="90"/>
      <c r="HR47" s="90"/>
      <c r="HS47" s="90"/>
      <c r="HT47" s="90"/>
      <c r="HU47" s="90"/>
      <c r="HV47" s="90"/>
      <c r="HW47" s="90"/>
      <c r="HX47" s="90"/>
      <c r="HY47" s="90"/>
      <c r="HZ47" s="90"/>
    </row>
    <row r="48" spans="3:234" ht="15" x14ac:dyDescent="0.25">
      <c r="C48" s="478"/>
      <c r="D48" s="108" t="s">
        <v>233</v>
      </c>
      <c r="E48" s="329">
        <v>797400</v>
      </c>
      <c r="F48" s="4"/>
      <c r="G48" s="330"/>
      <c r="K48" s="503"/>
      <c r="L48" s="69" t="s">
        <v>114</v>
      </c>
      <c r="M48" s="57">
        <v>614</v>
      </c>
      <c r="N48" s="299"/>
      <c r="O48" s="299"/>
      <c r="P48" s="299"/>
      <c r="Q48" s="299"/>
      <c r="R48" s="299"/>
      <c r="S48" s="299"/>
      <c r="T48" s="299"/>
      <c r="U48" s="299"/>
      <c r="V48" s="299"/>
      <c r="W48" s="299"/>
      <c r="X48" s="299"/>
      <c r="Y48" s="299"/>
      <c r="Z48" s="299"/>
      <c r="AA48" s="299"/>
      <c r="AB48" s="299"/>
      <c r="AC48" s="299"/>
      <c r="AD48" s="299"/>
      <c r="AE48" s="299"/>
      <c r="AF48" s="299"/>
      <c r="AG48" s="297">
        <v>552.6</v>
      </c>
      <c r="AH48" s="299"/>
      <c r="AI48" s="299"/>
      <c r="AJ48" s="299"/>
      <c r="AK48" s="299"/>
      <c r="AL48" s="299"/>
      <c r="AM48" s="299"/>
      <c r="AN48" s="299"/>
      <c r="AO48" s="299"/>
      <c r="AP48" s="299"/>
      <c r="AQ48" s="299"/>
      <c r="AR48" s="299"/>
      <c r="AS48" s="299"/>
      <c r="AT48" s="299"/>
      <c r="AU48" s="290"/>
      <c r="AV48" s="290"/>
      <c r="AW48" s="290"/>
      <c r="AX48" s="290"/>
      <c r="AY48" s="290"/>
      <c r="AZ48" s="290"/>
      <c r="BA48" s="290"/>
      <c r="BB48" s="290"/>
      <c r="BC48" s="290"/>
      <c r="BD48" s="290"/>
      <c r="BE48" s="290"/>
      <c r="BF48" s="290"/>
      <c r="BG48" s="290"/>
      <c r="BH48" s="290"/>
      <c r="BI48" s="290"/>
      <c r="BJ48" s="290"/>
      <c r="BK48" s="290"/>
      <c r="BL48" s="290"/>
      <c r="BM48" s="290"/>
      <c r="BN48" s="290"/>
      <c r="BO48" s="290"/>
      <c r="BP48" s="290"/>
      <c r="BQ48" s="290"/>
      <c r="BR48" s="290"/>
      <c r="BS48" s="290"/>
      <c r="BT48" s="290"/>
      <c r="BU48" s="352">
        <v>-4236.5999999999985</v>
      </c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  <c r="EH48" s="90"/>
      <c r="EI48" s="90"/>
      <c r="EJ48" s="90"/>
      <c r="EK48" s="90"/>
      <c r="EL48" s="90"/>
      <c r="EM48" s="90"/>
      <c r="EN48" s="90"/>
      <c r="EO48" s="90"/>
      <c r="EP48" s="90"/>
      <c r="EQ48" s="90"/>
      <c r="ER48" s="90"/>
      <c r="ES48" s="90"/>
      <c r="ET48" s="90"/>
      <c r="EU48" s="90"/>
      <c r="EV48" s="90"/>
      <c r="EW48" s="90"/>
      <c r="EX48" s="90"/>
      <c r="EY48" s="90"/>
      <c r="EZ48" s="90"/>
      <c r="FA48" s="90"/>
      <c r="FB48" s="90"/>
      <c r="FC48" s="90"/>
      <c r="FD48" s="90"/>
      <c r="FE48" s="90"/>
      <c r="FF48" s="90"/>
      <c r="FG48" s="90"/>
      <c r="FH48" s="90"/>
      <c r="FI48" s="90"/>
      <c r="FJ48" s="90"/>
      <c r="FK48" s="90"/>
      <c r="FL48" s="90"/>
      <c r="FM48" s="90"/>
      <c r="FN48" s="90"/>
      <c r="FO48" s="90"/>
      <c r="FP48" s="90"/>
      <c r="FQ48" s="90"/>
      <c r="FR48" s="90"/>
      <c r="FS48" s="90"/>
      <c r="FT48" s="90"/>
      <c r="FU48" s="90"/>
      <c r="FV48" s="90"/>
      <c r="FW48" s="90"/>
      <c r="FX48" s="90"/>
      <c r="FY48" s="90"/>
      <c r="FZ48" s="90"/>
      <c r="GA48" s="90"/>
      <c r="GB48" s="90"/>
      <c r="GC48" s="90"/>
      <c r="GD48" s="90"/>
      <c r="GE48" s="90"/>
      <c r="GF48" s="90"/>
      <c r="GG48" s="90"/>
      <c r="GH48" s="90"/>
      <c r="GI48" s="90"/>
      <c r="GJ48" s="90"/>
      <c r="GK48" s="90"/>
      <c r="GL48" s="90"/>
      <c r="GM48" s="90"/>
      <c r="GN48" s="90"/>
      <c r="GO48" s="90"/>
      <c r="GP48" s="90"/>
      <c r="GQ48" s="90"/>
      <c r="GR48" s="90"/>
      <c r="GS48" s="90"/>
      <c r="GT48" s="90"/>
      <c r="GU48" s="90"/>
      <c r="GV48" s="90"/>
      <c r="GW48" s="90"/>
      <c r="GX48" s="90"/>
      <c r="GY48" s="90"/>
      <c r="GZ48" s="90"/>
      <c r="HA48" s="90"/>
      <c r="HB48" s="90"/>
      <c r="HC48" s="90"/>
      <c r="HD48" s="90"/>
      <c r="HE48" s="90"/>
      <c r="HF48" s="90"/>
      <c r="HG48" s="90"/>
      <c r="HH48" s="90"/>
      <c r="HI48" s="90"/>
      <c r="HJ48" s="90"/>
      <c r="HK48" s="90"/>
      <c r="HL48" s="90"/>
      <c r="HM48" s="90"/>
      <c r="HN48" s="90"/>
      <c r="HO48" s="90"/>
      <c r="HP48" s="90"/>
      <c r="HQ48" s="90"/>
      <c r="HR48" s="90"/>
      <c r="HS48" s="90"/>
      <c r="HT48" s="90"/>
      <c r="HU48" s="90"/>
      <c r="HV48" s="90"/>
      <c r="HW48" s="90"/>
      <c r="HX48" s="90"/>
      <c r="HY48" s="90"/>
      <c r="HZ48" s="90"/>
    </row>
    <row r="49" spans="3:234" ht="15.75" thickBot="1" x14ac:dyDescent="0.3">
      <c r="C49" s="479"/>
      <c r="D49" s="108" t="s">
        <v>120</v>
      </c>
      <c r="E49" s="329">
        <v>17309220</v>
      </c>
      <c r="F49" s="4"/>
      <c r="G49" s="330"/>
      <c r="K49" s="503"/>
      <c r="L49" s="69" t="s">
        <v>100</v>
      </c>
      <c r="M49" s="57">
        <v>259</v>
      </c>
      <c r="N49" s="299"/>
      <c r="O49" s="299"/>
      <c r="P49" s="299"/>
      <c r="Q49" s="299"/>
      <c r="R49" s="299"/>
      <c r="S49" s="299"/>
      <c r="T49" s="299"/>
      <c r="U49" s="299"/>
      <c r="V49" s="299"/>
      <c r="W49" s="299"/>
      <c r="X49" s="299"/>
      <c r="Y49" s="299"/>
      <c r="Z49" s="299"/>
      <c r="AA49" s="299"/>
      <c r="AB49" s="299"/>
      <c r="AC49" s="299"/>
      <c r="AD49" s="299"/>
      <c r="AE49" s="299"/>
      <c r="AF49" s="299"/>
      <c r="AG49" s="297">
        <v>233.1</v>
      </c>
      <c r="AH49" s="299"/>
      <c r="AI49" s="299"/>
      <c r="AJ49" s="299"/>
      <c r="AK49" s="299"/>
      <c r="AL49" s="299"/>
      <c r="AM49" s="299"/>
      <c r="AN49" s="299"/>
      <c r="AO49" s="299"/>
      <c r="AP49" s="299"/>
      <c r="AQ49" s="299"/>
      <c r="AR49" s="299"/>
      <c r="AS49" s="299"/>
      <c r="AT49" s="299"/>
      <c r="AU49" s="290"/>
      <c r="AV49" s="290"/>
      <c r="AW49" s="290"/>
      <c r="AX49" s="290"/>
      <c r="AY49" s="290"/>
      <c r="AZ49" s="290"/>
      <c r="BA49" s="290"/>
      <c r="BB49" s="290"/>
      <c r="BC49" s="290"/>
      <c r="BD49" s="290"/>
      <c r="BE49" s="290"/>
      <c r="BF49" s="290"/>
      <c r="BG49" s="290"/>
      <c r="BH49" s="290"/>
      <c r="BI49" s="290"/>
      <c r="BJ49" s="290"/>
      <c r="BK49" s="290"/>
      <c r="BL49" s="290"/>
      <c r="BM49" s="290"/>
      <c r="BN49" s="290"/>
      <c r="BO49" s="290"/>
      <c r="BP49" s="290"/>
      <c r="BQ49" s="290"/>
      <c r="BR49" s="290"/>
      <c r="BS49" s="290"/>
      <c r="BT49" s="290"/>
      <c r="BU49" s="352">
        <v>-4351.2000000000044</v>
      </c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  <c r="EH49" s="90"/>
      <c r="EI49" s="90"/>
      <c r="EJ49" s="90"/>
      <c r="EK49" s="90"/>
      <c r="EL49" s="90"/>
      <c r="EM49" s="90"/>
      <c r="EN49" s="90"/>
      <c r="EO49" s="90"/>
      <c r="EP49" s="90"/>
      <c r="EQ49" s="90"/>
      <c r="ER49" s="90"/>
      <c r="ES49" s="90"/>
      <c r="ET49" s="90"/>
      <c r="EU49" s="90"/>
      <c r="EV49" s="90"/>
      <c r="EW49" s="90"/>
      <c r="EX49" s="90"/>
      <c r="EY49" s="90"/>
      <c r="EZ49" s="90"/>
      <c r="FA49" s="90"/>
      <c r="FB49" s="90"/>
      <c r="FC49" s="90"/>
      <c r="FD49" s="90"/>
      <c r="FE49" s="90"/>
      <c r="FF49" s="90"/>
      <c r="FG49" s="90"/>
      <c r="FH49" s="90"/>
      <c r="FI49" s="90"/>
      <c r="FJ49" s="90"/>
      <c r="FK49" s="90"/>
      <c r="FL49" s="90"/>
      <c r="FM49" s="90"/>
      <c r="FN49" s="90"/>
      <c r="FO49" s="90"/>
      <c r="FP49" s="90"/>
      <c r="FQ49" s="90"/>
      <c r="FR49" s="90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90"/>
      <c r="GD49" s="90"/>
      <c r="GE49" s="90"/>
      <c r="GF49" s="90"/>
      <c r="GG49" s="90"/>
      <c r="GH49" s="90"/>
      <c r="GI49" s="90"/>
      <c r="GJ49" s="90"/>
      <c r="GK49" s="90"/>
      <c r="GL49" s="90"/>
      <c r="GM49" s="90"/>
      <c r="GN49" s="90"/>
      <c r="GO49" s="90"/>
      <c r="GP49" s="90"/>
      <c r="GQ49" s="90"/>
      <c r="GR49" s="90"/>
      <c r="GS49" s="90"/>
      <c r="GT49" s="90"/>
      <c r="GU49" s="90"/>
      <c r="GV49" s="90"/>
      <c r="GW49" s="90"/>
      <c r="GX49" s="90"/>
      <c r="GY49" s="90"/>
      <c r="GZ49" s="90"/>
      <c r="HA49" s="90"/>
      <c r="HB49" s="90"/>
      <c r="HC49" s="90"/>
      <c r="HD49" s="90"/>
      <c r="HE49" s="90"/>
      <c r="HF49" s="90"/>
      <c r="HG49" s="90"/>
      <c r="HH49" s="90"/>
      <c r="HI49" s="90"/>
      <c r="HJ49" s="90"/>
      <c r="HK49" s="90"/>
      <c r="HL49" s="90"/>
      <c r="HM49" s="90"/>
      <c r="HN49" s="90"/>
      <c r="HO49" s="90"/>
      <c r="HP49" s="90"/>
      <c r="HQ49" s="90"/>
      <c r="HR49" s="90"/>
      <c r="HS49" s="90"/>
      <c r="HT49" s="90"/>
      <c r="HU49" s="90"/>
      <c r="HV49" s="90"/>
      <c r="HW49" s="90"/>
      <c r="HX49" s="90"/>
      <c r="HY49" s="90"/>
      <c r="HZ49" s="90"/>
    </row>
    <row r="50" spans="3:234" ht="15" x14ac:dyDescent="0.25">
      <c r="K50" s="503"/>
      <c r="L50" s="69" t="s">
        <v>102</v>
      </c>
      <c r="M50" s="57">
        <v>168</v>
      </c>
      <c r="N50" s="299"/>
      <c r="O50" s="299"/>
      <c r="P50" s="299"/>
      <c r="Q50" s="299"/>
      <c r="R50" s="299"/>
      <c r="S50" s="299"/>
      <c r="T50" s="299"/>
      <c r="U50" s="299"/>
      <c r="V50" s="299"/>
      <c r="W50" s="299"/>
      <c r="X50" s="299"/>
      <c r="Y50" s="299"/>
      <c r="Z50" s="299"/>
      <c r="AA50" s="299"/>
      <c r="AB50" s="299"/>
      <c r="AC50" s="299"/>
      <c r="AD50" s="299"/>
      <c r="AE50" s="299"/>
      <c r="AF50" s="299"/>
      <c r="AG50" s="297">
        <v>713.12999999999988</v>
      </c>
      <c r="AH50" s="299"/>
      <c r="AI50" s="299"/>
      <c r="AJ50" s="299"/>
      <c r="AK50" s="299"/>
      <c r="AL50" s="299"/>
      <c r="AM50" s="299"/>
      <c r="AN50" s="299"/>
      <c r="AO50" s="299"/>
      <c r="AP50" s="299"/>
      <c r="AQ50" s="299"/>
      <c r="AR50" s="299"/>
      <c r="AS50" s="299"/>
      <c r="AT50" s="299"/>
      <c r="AU50" s="290"/>
      <c r="AV50" s="290"/>
      <c r="AW50" s="290"/>
      <c r="AX50" s="290"/>
      <c r="AY50" s="290"/>
      <c r="AZ50" s="290"/>
      <c r="BA50" s="290"/>
      <c r="BB50" s="290"/>
      <c r="BC50" s="290"/>
      <c r="BD50" s="290"/>
      <c r="BE50" s="290"/>
      <c r="BF50" s="290"/>
      <c r="BG50" s="290"/>
      <c r="BH50" s="290"/>
      <c r="BI50" s="290"/>
      <c r="BJ50" s="290"/>
      <c r="BK50" s="290"/>
      <c r="BL50" s="290"/>
      <c r="BM50" s="290"/>
      <c r="BN50" s="290"/>
      <c r="BO50" s="290"/>
      <c r="BP50" s="290"/>
      <c r="BQ50" s="290"/>
      <c r="BR50" s="290"/>
      <c r="BS50" s="290"/>
      <c r="BT50" s="290"/>
      <c r="BU50" s="352">
        <v>119928.59999999998</v>
      </c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  <c r="EH50" s="90"/>
      <c r="EI50" s="90"/>
      <c r="EJ50" s="90"/>
      <c r="EK50" s="90"/>
      <c r="EL50" s="90"/>
      <c r="EM50" s="90"/>
      <c r="EN50" s="90"/>
      <c r="EO50" s="90"/>
      <c r="EP50" s="90"/>
      <c r="EQ50" s="90"/>
      <c r="ER50" s="90"/>
      <c r="ES50" s="90"/>
      <c r="ET50" s="90"/>
      <c r="EU50" s="90"/>
      <c r="EV50" s="90"/>
      <c r="EW50" s="90"/>
      <c r="EX50" s="90"/>
      <c r="EY50" s="90"/>
      <c r="EZ50" s="90"/>
      <c r="FA50" s="90"/>
      <c r="FB50" s="90"/>
      <c r="FC50" s="90"/>
      <c r="FD50" s="90"/>
      <c r="FE50" s="90"/>
      <c r="FF50" s="90"/>
      <c r="FG50" s="90"/>
      <c r="FH50" s="90"/>
      <c r="FI50" s="90"/>
      <c r="FJ50" s="90"/>
      <c r="FK50" s="90"/>
      <c r="FL50" s="90"/>
      <c r="FM50" s="90"/>
      <c r="FN50" s="90"/>
      <c r="FO50" s="90"/>
      <c r="FP50" s="90"/>
      <c r="FQ50" s="90"/>
      <c r="FR50" s="90"/>
      <c r="FS50" s="90"/>
      <c r="FT50" s="90"/>
      <c r="FU50" s="90"/>
      <c r="FV50" s="90"/>
      <c r="FW50" s="90"/>
      <c r="FX50" s="90"/>
      <c r="FY50" s="90"/>
      <c r="FZ50" s="90"/>
      <c r="GA50" s="90"/>
      <c r="GB50" s="90"/>
      <c r="GC50" s="90"/>
      <c r="GD50" s="90"/>
      <c r="GE50" s="90"/>
      <c r="GF50" s="90"/>
      <c r="GG50" s="90"/>
      <c r="GH50" s="90"/>
      <c r="GI50" s="90"/>
      <c r="GJ50" s="90"/>
      <c r="GK50" s="90"/>
      <c r="GL50" s="90"/>
      <c r="GM50" s="90"/>
      <c r="GN50" s="90"/>
      <c r="GO50" s="90"/>
      <c r="GP50" s="90"/>
      <c r="GQ50" s="90"/>
      <c r="GR50" s="90"/>
      <c r="GS50" s="90"/>
      <c r="GT50" s="90"/>
      <c r="GU50" s="90"/>
      <c r="GV50" s="90"/>
      <c r="GW50" s="90"/>
      <c r="GX50" s="90"/>
      <c r="GY50" s="90"/>
      <c r="GZ50" s="90"/>
      <c r="HA50" s="90"/>
      <c r="HB50" s="90"/>
      <c r="HC50" s="90"/>
      <c r="HD50" s="90"/>
      <c r="HE50" s="90"/>
      <c r="HF50" s="90"/>
      <c r="HG50" s="90"/>
      <c r="HH50" s="90"/>
      <c r="HI50" s="90"/>
      <c r="HJ50" s="90"/>
      <c r="HK50" s="90"/>
      <c r="HL50" s="90"/>
      <c r="HM50" s="90"/>
      <c r="HN50" s="90"/>
      <c r="HO50" s="90"/>
      <c r="HP50" s="90"/>
      <c r="HQ50" s="90"/>
      <c r="HR50" s="90"/>
      <c r="HS50" s="90"/>
      <c r="HT50" s="90"/>
      <c r="HU50" s="90"/>
      <c r="HV50" s="90"/>
      <c r="HW50" s="90"/>
      <c r="HX50" s="90"/>
      <c r="HY50" s="90"/>
      <c r="HZ50" s="90"/>
    </row>
    <row r="51" spans="3:234" ht="14.25" customHeight="1" thickBot="1" x14ac:dyDescent="0.3">
      <c r="E51" t="s">
        <v>257</v>
      </c>
      <c r="G51" t="s">
        <v>257</v>
      </c>
      <c r="K51" s="503"/>
      <c r="L51" s="69" t="s">
        <v>105</v>
      </c>
      <c r="M51" s="57">
        <v>57.569999999999993</v>
      </c>
      <c r="N51" s="299"/>
      <c r="O51" s="299"/>
      <c r="P51" s="299"/>
      <c r="Q51" s="299"/>
      <c r="R51" s="299"/>
      <c r="S51" s="299"/>
      <c r="T51" s="299"/>
      <c r="U51" s="299"/>
      <c r="V51" s="299"/>
      <c r="W51" s="299"/>
      <c r="X51" s="299"/>
      <c r="Y51" s="299"/>
      <c r="Z51" s="299"/>
      <c r="AA51" s="299"/>
      <c r="AB51" s="299"/>
      <c r="AC51" s="299"/>
      <c r="AD51" s="299"/>
      <c r="AE51" s="299"/>
      <c r="AF51" s="299"/>
      <c r="AG51" s="297">
        <v>57.569999999999993</v>
      </c>
      <c r="AH51" s="299"/>
      <c r="AI51" s="299"/>
      <c r="AJ51" s="299"/>
      <c r="AK51" s="299"/>
      <c r="AL51" s="299"/>
      <c r="AM51" s="299"/>
      <c r="AN51" s="299"/>
      <c r="AO51" s="299"/>
      <c r="AP51" s="299"/>
      <c r="AQ51" s="299"/>
      <c r="AR51" s="299"/>
      <c r="AS51" s="299"/>
      <c r="AT51" s="299"/>
      <c r="AU51" s="290"/>
      <c r="AV51" s="290"/>
      <c r="AW51" s="290"/>
      <c r="AX51" s="290"/>
      <c r="AY51" s="290"/>
      <c r="AZ51" s="290"/>
      <c r="BA51" s="290"/>
      <c r="BB51" s="290"/>
      <c r="BC51" s="290"/>
      <c r="BD51" s="290"/>
      <c r="BE51" s="290"/>
      <c r="BF51" s="290"/>
      <c r="BG51" s="290"/>
      <c r="BH51" s="290"/>
      <c r="BI51" s="290"/>
      <c r="BJ51" s="290"/>
      <c r="BK51" s="290"/>
      <c r="BL51" s="290"/>
      <c r="BM51" s="290"/>
      <c r="BN51" s="290"/>
      <c r="BO51" s="290"/>
      <c r="BP51" s="290"/>
      <c r="BQ51" s="290"/>
      <c r="BR51" s="290"/>
      <c r="BS51" s="290"/>
      <c r="BT51" s="290"/>
      <c r="BU51" s="352">
        <v>0</v>
      </c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  <c r="EH51" s="90"/>
      <c r="EI51" s="90"/>
      <c r="EJ51" s="90"/>
      <c r="EK51" s="90"/>
      <c r="EL51" s="90"/>
      <c r="EM51" s="90"/>
      <c r="EN51" s="90"/>
      <c r="EO51" s="90"/>
      <c r="EP51" s="90"/>
      <c r="EQ51" s="90"/>
      <c r="ER51" s="90"/>
      <c r="ES51" s="90"/>
      <c r="ET51" s="90"/>
      <c r="EU51" s="90"/>
      <c r="EV51" s="90"/>
      <c r="EW51" s="90"/>
      <c r="EX51" s="90"/>
      <c r="EY51" s="90"/>
      <c r="EZ51" s="90"/>
      <c r="FA51" s="90"/>
      <c r="FB51" s="90"/>
      <c r="FC51" s="90"/>
      <c r="FD51" s="90"/>
      <c r="FE51" s="90"/>
      <c r="FF51" s="90"/>
      <c r="FG51" s="90"/>
      <c r="FH51" s="90"/>
      <c r="FI51" s="90"/>
      <c r="FJ51" s="90"/>
      <c r="FK51" s="90"/>
      <c r="FL51" s="90"/>
      <c r="FM51" s="90"/>
      <c r="FN51" s="90"/>
      <c r="FO51" s="90"/>
      <c r="FP51" s="90"/>
      <c r="FQ51" s="90"/>
      <c r="FR51" s="90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90"/>
      <c r="GD51" s="90"/>
      <c r="GE51" s="90"/>
      <c r="GF51" s="90"/>
      <c r="GG51" s="90"/>
      <c r="GH51" s="90"/>
      <c r="GI51" s="90"/>
      <c r="GJ51" s="90"/>
      <c r="GK51" s="90"/>
      <c r="GL51" s="90"/>
      <c r="GM51" s="90"/>
      <c r="GN51" s="90"/>
      <c r="GO51" s="90"/>
      <c r="GP51" s="90"/>
      <c r="GQ51" s="90"/>
      <c r="GR51" s="90"/>
      <c r="GS51" s="90"/>
      <c r="GT51" s="90"/>
      <c r="GU51" s="90"/>
      <c r="GV51" s="90"/>
      <c r="GW51" s="90"/>
      <c r="GX51" s="90"/>
      <c r="GY51" s="90"/>
      <c r="GZ51" s="90"/>
      <c r="HA51" s="90"/>
      <c r="HB51" s="90"/>
      <c r="HC51" s="90"/>
      <c r="HD51" s="90"/>
      <c r="HE51" s="90"/>
      <c r="HF51" s="90"/>
      <c r="HG51" s="90"/>
      <c r="HH51" s="90"/>
      <c r="HI51" s="90"/>
      <c r="HJ51" s="90"/>
      <c r="HK51" s="90"/>
      <c r="HL51" s="90"/>
      <c r="HM51" s="90"/>
      <c r="HN51" s="90"/>
      <c r="HO51" s="90"/>
      <c r="HP51" s="90"/>
      <c r="HQ51" s="90"/>
      <c r="HR51" s="90"/>
      <c r="HS51" s="90"/>
      <c r="HT51" s="90"/>
      <c r="HU51" s="90"/>
      <c r="HV51" s="90"/>
      <c r="HW51" s="90"/>
      <c r="HX51" s="90"/>
      <c r="HY51" s="90"/>
      <c r="HZ51" s="90"/>
    </row>
    <row r="52" spans="3:234" ht="16.5" thickBot="1" x14ac:dyDescent="0.3">
      <c r="C52" s="525" t="s">
        <v>401</v>
      </c>
      <c r="D52" s="526"/>
      <c r="E52" s="313" t="s">
        <v>12</v>
      </c>
      <c r="G52" s="64" t="s">
        <v>38</v>
      </c>
      <c r="K52" s="477" t="s">
        <v>107</v>
      </c>
      <c r="L52" s="345" t="s">
        <v>108</v>
      </c>
      <c r="M52" s="104">
        <v>4868429.6000000006</v>
      </c>
      <c r="N52" s="299"/>
      <c r="O52" s="299"/>
      <c r="P52" s="299"/>
      <c r="Q52" s="299"/>
      <c r="R52" s="299"/>
      <c r="S52" s="299"/>
      <c r="T52" s="299"/>
      <c r="U52" s="299"/>
      <c r="V52" s="299"/>
      <c r="W52" s="304"/>
      <c r="X52" s="299"/>
      <c r="Y52" s="299"/>
      <c r="Z52" s="299"/>
      <c r="AA52" s="299"/>
      <c r="AB52" s="299"/>
      <c r="AC52" s="299"/>
      <c r="AD52" s="299"/>
      <c r="AE52" s="299"/>
      <c r="AF52" s="299"/>
      <c r="AG52" s="305">
        <v>6328958.4800000982</v>
      </c>
      <c r="AH52" s="304"/>
      <c r="AI52" s="304"/>
      <c r="AJ52" s="304"/>
      <c r="AK52" s="304"/>
      <c r="AL52" s="304"/>
      <c r="AM52" s="304"/>
      <c r="AN52" s="304"/>
      <c r="AO52" s="304"/>
      <c r="AP52" s="289"/>
      <c r="AQ52" s="290"/>
      <c r="AR52" s="290"/>
      <c r="AS52" s="290"/>
      <c r="AT52" s="290"/>
      <c r="AU52" s="290"/>
      <c r="AV52" s="290"/>
      <c r="AW52" s="290"/>
      <c r="AX52" s="290"/>
      <c r="AY52" s="290"/>
      <c r="AZ52" s="290"/>
      <c r="BA52" s="290"/>
      <c r="BB52" s="290"/>
      <c r="BC52" s="290"/>
      <c r="BD52" s="290"/>
      <c r="BE52" s="290"/>
      <c r="BF52" s="290"/>
      <c r="BG52" s="290"/>
      <c r="BH52" s="290"/>
      <c r="BI52" s="290"/>
      <c r="BJ52" s="290"/>
      <c r="BK52" s="290"/>
      <c r="BL52" s="290"/>
      <c r="BM52" s="290"/>
      <c r="BN52" s="290"/>
      <c r="BO52" s="290"/>
      <c r="BP52" s="290"/>
      <c r="BQ52" s="290"/>
      <c r="BR52" s="290"/>
      <c r="BS52" s="290"/>
      <c r="BT52" s="290"/>
      <c r="BU52" s="352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  <c r="EH52" s="90"/>
      <c r="EI52" s="90"/>
      <c r="EJ52" s="90"/>
      <c r="EK52" s="90"/>
      <c r="EL52" s="90"/>
      <c r="EM52" s="90"/>
      <c r="EN52" s="90"/>
      <c r="EO52" s="90"/>
      <c r="EP52" s="90"/>
      <c r="EQ52" s="90"/>
      <c r="ER52" s="90"/>
      <c r="ES52" s="90"/>
      <c r="ET52" s="90"/>
      <c r="EU52" s="90"/>
      <c r="EV52" s="90"/>
      <c r="EW52" s="90"/>
      <c r="EX52" s="90"/>
      <c r="EY52" s="90"/>
      <c r="EZ52" s="90"/>
      <c r="FA52" s="90"/>
      <c r="FB52" s="90"/>
      <c r="FC52" s="90"/>
      <c r="FD52" s="90"/>
      <c r="FE52" s="90"/>
      <c r="FF52" s="90"/>
      <c r="FG52" s="90"/>
      <c r="FH52" s="90"/>
      <c r="FI52" s="90"/>
      <c r="FJ52" s="90"/>
      <c r="FK52" s="90"/>
      <c r="FL52" s="90"/>
      <c r="FM52" s="90"/>
      <c r="FN52" s="90"/>
      <c r="FO52" s="90"/>
      <c r="FP52" s="90"/>
      <c r="FQ52" s="90"/>
      <c r="FR52" s="90"/>
      <c r="FS52" s="90"/>
      <c r="FT52" s="90"/>
      <c r="FU52" s="90"/>
      <c r="FV52" s="90"/>
      <c r="FW52" s="90"/>
      <c r="FX52" s="90"/>
      <c r="FY52" s="90"/>
      <c r="FZ52" s="90"/>
      <c r="GA52" s="90"/>
      <c r="GB52" s="90"/>
      <c r="GC52" s="90"/>
      <c r="GD52" s="90"/>
      <c r="GE52" s="90"/>
      <c r="GF52" s="90"/>
      <c r="GG52" s="90"/>
      <c r="GH52" s="90"/>
      <c r="GI52" s="90"/>
      <c r="GJ52" s="90"/>
      <c r="GK52" s="90"/>
      <c r="GL52" s="90"/>
      <c r="GM52" s="90"/>
      <c r="GN52" s="90"/>
      <c r="GO52" s="90"/>
      <c r="GP52" s="90"/>
      <c r="GQ52" s="90"/>
      <c r="GR52" s="90"/>
      <c r="GS52" s="90"/>
      <c r="GT52" s="90"/>
      <c r="GU52" s="90"/>
      <c r="GV52" s="90"/>
      <c r="GW52" s="90"/>
      <c r="GX52" s="90"/>
      <c r="GY52" s="90"/>
      <c r="GZ52" s="90"/>
      <c r="HA52" s="90"/>
      <c r="HB52" s="90"/>
      <c r="HC52" s="90"/>
      <c r="HD52" s="90"/>
      <c r="HE52" s="90"/>
      <c r="HF52" s="90"/>
      <c r="HG52" s="90"/>
      <c r="HH52" s="90"/>
      <c r="HI52" s="90"/>
      <c r="HJ52" s="90"/>
      <c r="HK52" s="90"/>
      <c r="HL52" s="90"/>
      <c r="HM52" s="90"/>
      <c r="HN52" s="90"/>
      <c r="HO52" s="90"/>
      <c r="HP52" s="90"/>
      <c r="HQ52" s="90"/>
      <c r="HR52" s="90"/>
      <c r="HS52" s="90"/>
      <c r="HT52" s="90"/>
      <c r="HU52" s="90"/>
      <c r="HV52" s="90"/>
      <c r="HW52" s="90"/>
      <c r="HX52" s="90"/>
      <c r="HY52" s="90"/>
      <c r="HZ52" s="90"/>
    </row>
    <row r="53" spans="3:234" ht="15" customHeight="1" x14ac:dyDescent="0.25">
      <c r="C53" s="477" t="s">
        <v>95</v>
      </c>
      <c r="D53" s="315" t="s">
        <v>232</v>
      </c>
      <c r="E53" s="23">
        <f>'Table Format Calculations'!J139</f>
        <v>8575566.7899999991</v>
      </c>
      <c r="F53" s="90"/>
      <c r="G53" s="23">
        <f>'Table Format Calculations'!J147</f>
        <v>4296500</v>
      </c>
      <c r="K53" s="478"/>
      <c r="L53" s="345" t="s">
        <v>211</v>
      </c>
      <c r="M53" s="104">
        <v>731420.4</v>
      </c>
      <c r="N53" s="299"/>
      <c r="O53" s="299"/>
      <c r="P53" s="299"/>
      <c r="Q53" s="299"/>
      <c r="R53" s="299"/>
      <c r="S53" s="299"/>
      <c r="T53" s="299"/>
      <c r="U53" s="299"/>
      <c r="V53" s="299"/>
      <c r="W53" s="304"/>
      <c r="X53" s="299"/>
      <c r="Y53" s="299"/>
      <c r="Z53" s="299"/>
      <c r="AA53" s="299"/>
      <c r="AB53" s="299"/>
      <c r="AC53" s="299"/>
      <c r="AD53" s="299"/>
      <c r="AE53" s="299"/>
      <c r="AF53" s="299"/>
      <c r="AG53" s="305">
        <v>731420.4</v>
      </c>
      <c r="AH53" s="304"/>
      <c r="AI53" s="304"/>
      <c r="AJ53" s="304"/>
      <c r="AK53" s="304"/>
      <c r="AL53" s="304"/>
      <c r="AM53" s="304"/>
      <c r="AN53" s="304"/>
      <c r="AO53" s="304"/>
      <c r="AP53" s="289"/>
      <c r="AQ53" s="290"/>
      <c r="AR53" s="290"/>
      <c r="AS53" s="290"/>
      <c r="AT53" s="290"/>
      <c r="AU53" s="290"/>
      <c r="AV53" s="290"/>
      <c r="AW53" s="290"/>
      <c r="AX53" s="290"/>
      <c r="AY53" s="290"/>
      <c r="AZ53" s="290"/>
      <c r="BA53" s="290"/>
      <c r="BB53" s="290"/>
      <c r="BC53" s="290"/>
      <c r="BD53" s="290"/>
      <c r="BE53" s="290"/>
      <c r="BF53" s="290"/>
      <c r="BG53" s="290"/>
      <c r="BH53" s="290"/>
      <c r="BI53" s="290"/>
      <c r="BJ53" s="290"/>
      <c r="BK53" s="290"/>
      <c r="BL53" s="290"/>
      <c r="BM53" s="290"/>
      <c r="BN53" s="290"/>
      <c r="BO53" s="290"/>
      <c r="BP53" s="290"/>
      <c r="BQ53" s="290"/>
      <c r="BR53" s="290"/>
      <c r="BS53" s="290"/>
      <c r="BT53" s="290"/>
      <c r="BU53" s="352">
        <v>0</v>
      </c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  <c r="EH53" s="90"/>
      <c r="EI53" s="90"/>
      <c r="EJ53" s="90"/>
      <c r="EK53" s="90"/>
      <c r="EL53" s="90"/>
      <c r="EM53" s="90"/>
      <c r="EN53" s="90"/>
      <c r="EO53" s="90"/>
      <c r="EP53" s="90"/>
      <c r="EQ53" s="90"/>
      <c r="ER53" s="90"/>
      <c r="ES53" s="90"/>
      <c r="ET53" s="90"/>
      <c r="EU53" s="90"/>
      <c r="EV53" s="90"/>
      <c r="EW53" s="90"/>
      <c r="EX53" s="90"/>
      <c r="EY53" s="90"/>
      <c r="EZ53" s="90"/>
      <c r="FA53" s="90"/>
      <c r="FB53" s="90"/>
      <c r="FC53" s="90"/>
      <c r="FD53" s="90"/>
      <c r="FE53" s="90"/>
      <c r="FF53" s="90"/>
      <c r="FG53" s="90"/>
      <c r="FH53" s="90"/>
      <c r="FI53" s="90"/>
      <c r="FJ53" s="90"/>
      <c r="FK53" s="90"/>
      <c r="FL53" s="90"/>
      <c r="FM53" s="90"/>
      <c r="FN53" s="90"/>
      <c r="FO53" s="90"/>
      <c r="FP53" s="90"/>
      <c r="FQ53" s="90"/>
      <c r="FR53" s="90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90"/>
      <c r="GD53" s="90"/>
      <c r="GE53" s="90"/>
      <c r="GF53" s="90"/>
      <c r="GG53" s="90"/>
      <c r="GH53" s="90"/>
      <c r="GI53" s="90"/>
      <c r="GJ53" s="90"/>
      <c r="GK53" s="90"/>
      <c r="GL53" s="90"/>
      <c r="GM53" s="90"/>
      <c r="GN53" s="90"/>
      <c r="GO53" s="90"/>
      <c r="GP53" s="90"/>
      <c r="GQ53" s="90"/>
      <c r="GR53" s="90"/>
      <c r="GS53" s="90"/>
      <c r="GT53" s="90"/>
      <c r="GU53" s="90"/>
      <c r="GV53" s="90"/>
      <c r="GW53" s="90"/>
      <c r="GX53" s="90"/>
      <c r="GY53" s="90"/>
      <c r="GZ53" s="90"/>
      <c r="HA53" s="90"/>
      <c r="HB53" s="90"/>
      <c r="HC53" s="90"/>
      <c r="HD53" s="90"/>
      <c r="HE53" s="90"/>
      <c r="HF53" s="90"/>
      <c r="HG53" s="90"/>
      <c r="HH53" s="90"/>
      <c r="HI53" s="90"/>
      <c r="HJ53" s="90"/>
      <c r="HK53" s="90"/>
      <c r="HL53" s="90"/>
      <c r="HM53" s="90"/>
      <c r="HN53" s="90"/>
      <c r="HO53" s="90"/>
      <c r="HP53" s="90"/>
      <c r="HQ53" s="90"/>
      <c r="HR53" s="90"/>
      <c r="HS53" s="90"/>
      <c r="HT53" s="90"/>
      <c r="HU53" s="90"/>
      <c r="HV53" s="90"/>
      <c r="HW53" s="90"/>
      <c r="HX53" s="90"/>
      <c r="HY53" s="90"/>
      <c r="HZ53" s="90"/>
    </row>
    <row r="54" spans="3:234" ht="15" customHeight="1" x14ac:dyDescent="0.25">
      <c r="C54" s="478"/>
      <c r="D54" s="108" t="s">
        <v>119</v>
      </c>
      <c r="E54" s="23">
        <f>'Table Format Calculations'!J140</f>
        <v>5641800</v>
      </c>
      <c r="F54" s="90"/>
      <c r="G54" s="316"/>
      <c r="K54" s="478"/>
      <c r="L54" s="345" t="s">
        <v>110</v>
      </c>
      <c r="M54" s="104">
        <v>2367586</v>
      </c>
      <c r="N54" s="299"/>
      <c r="O54" s="299"/>
      <c r="P54" s="299"/>
      <c r="Q54" s="299"/>
      <c r="R54" s="299"/>
      <c r="S54" s="299"/>
      <c r="T54" s="299"/>
      <c r="U54" s="299"/>
      <c r="V54" s="299"/>
      <c r="W54" s="304"/>
      <c r="X54" s="299"/>
      <c r="Y54" s="299"/>
      <c r="Z54" s="299"/>
      <c r="AA54" s="299"/>
      <c r="AB54" s="299"/>
      <c r="AC54" s="299"/>
      <c r="AD54" s="299"/>
      <c r="AE54" s="299"/>
      <c r="AF54" s="299"/>
      <c r="AG54" s="305">
        <v>3828114.8800000981</v>
      </c>
      <c r="AH54" s="304"/>
      <c r="AI54" s="304"/>
      <c r="AJ54" s="304"/>
      <c r="AK54" s="304"/>
      <c r="AL54" s="304"/>
      <c r="AM54" s="304"/>
      <c r="AN54" s="304"/>
      <c r="AO54" s="304"/>
      <c r="AP54" s="289"/>
      <c r="AQ54" s="290"/>
      <c r="AR54" s="290"/>
      <c r="AS54" s="290"/>
      <c r="AT54" s="290"/>
      <c r="AU54" s="290"/>
      <c r="AV54" s="290"/>
      <c r="AW54" s="290"/>
      <c r="AX54" s="290"/>
      <c r="AY54" s="290"/>
      <c r="AZ54" s="290"/>
      <c r="BA54" s="290"/>
      <c r="BB54" s="290"/>
      <c r="BC54" s="290"/>
      <c r="BD54" s="290"/>
      <c r="BE54" s="290"/>
      <c r="BF54" s="290"/>
      <c r="BG54" s="290"/>
      <c r="BH54" s="290"/>
      <c r="BI54" s="290"/>
      <c r="BJ54" s="290"/>
      <c r="BK54" s="290"/>
      <c r="BL54" s="290"/>
      <c r="BM54" s="290"/>
      <c r="BN54" s="290"/>
      <c r="BO54" s="290"/>
      <c r="BP54" s="290"/>
      <c r="BQ54" s="290"/>
      <c r="BR54" s="290"/>
      <c r="BS54" s="290"/>
      <c r="BT54" s="290"/>
      <c r="BU54" s="352">
        <v>42501.647964645468</v>
      </c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  <c r="EH54" s="90"/>
      <c r="EI54" s="90"/>
      <c r="EJ54" s="90"/>
      <c r="EK54" s="90"/>
      <c r="EL54" s="90"/>
      <c r="EM54" s="90"/>
      <c r="EN54" s="90"/>
      <c r="EO54" s="90"/>
      <c r="EP54" s="90"/>
      <c r="EQ54" s="90"/>
      <c r="ER54" s="90"/>
      <c r="ES54" s="90"/>
      <c r="ET54" s="90"/>
      <c r="EU54" s="90"/>
      <c r="EV54" s="90"/>
      <c r="EW54" s="90"/>
      <c r="EX54" s="90"/>
      <c r="EY54" s="90"/>
      <c r="EZ54" s="90"/>
      <c r="FA54" s="90"/>
      <c r="FB54" s="90"/>
      <c r="FC54" s="90"/>
      <c r="FD54" s="90"/>
      <c r="FE54" s="90"/>
      <c r="FF54" s="90"/>
      <c r="FG54" s="90"/>
      <c r="FH54" s="90"/>
      <c r="FI54" s="90"/>
      <c r="FJ54" s="90"/>
      <c r="FK54" s="90"/>
      <c r="FL54" s="90"/>
      <c r="FM54" s="90"/>
      <c r="FN54" s="90"/>
      <c r="FO54" s="90"/>
      <c r="FP54" s="90"/>
      <c r="FQ54" s="90"/>
      <c r="FR54" s="90"/>
      <c r="FS54" s="90"/>
      <c r="FT54" s="90"/>
      <c r="FU54" s="90"/>
      <c r="FV54" s="90"/>
      <c r="FW54" s="90"/>
      <c r="FX54" s="90"/>
      <c r="FY54" s="90"/>
      <c r="FZ54" s="90"/>
      <c r="GA54" s="90"/>
      <c r="GB54" s="90"/>
      <c r="GC54" s="90"/>
      <c r="GD54" s="90"/>
      <c r="GE54" s="90"/>
      <c r="GF54" s="90"/>
      <c r="GG54" s="90"/>
      <c r="GH54" s="90"/>
      <c r="GI54" s="90"/>
      <c r="GJ54" s="90"/>
      <c r="GK54" s="90"/>
      <c r="GL54" s="90"/>
      <c r="GM54" s="90"/>
      <c r="GN54" s="90"/>
      <c r="GO54" s="90"/>
      <c r="GP54" s="90"/>
      <c r="GQ54" s="90"/>
      <c r="GR54" s="90"/>
      <c r="GS54" s="90"/>
      <c r="GT54" s="90"/>
      <c r="GU54" s="90"/>
      <c r="GV54" s="90"/>
      <c r="GW54" s="90"/>
      <c r="GX54" s="90"/>
      <c r="GY54" s="90"/>
      <c r="GZ54" s="90"/>
      <c r="HA54" s="90"/>
      <c r="HB54" s="90"/>
      <c r="HC54" s="90"/>
      <c r="HD54" s="90"/>
      <c r="HE54" s="90"/>
      <c r="HF54" s="90"/>
      <c r="HG54" s="90"/>
      <c r="HH54" s="90"/>
      <c r="HI54" s="90"/>
      <c r="HJ54" s="90"/>
      <c r="HK54" s="90"/>
      <c r="HL54" s="90"/>
      <c r="HM54" s="90"/>
      <c r="HN54" s="90"/>
      <c r="HO54" s="90"/>
      <c r="HP54" s="90"/>
      <c r="HQ54" s="90"/>
      <c r="HR54" s="90"/>
      <c r="HS54" s="90"/>
      <c r="HT54" s="90"/>
      <c r="HU54" s="90"/>
      <c r="HV54" s="90"/>
      <c r="HW54" s="90"/>
      <c r="HX54" s="90"/>
      <c r="HY54" s="90"/>
      <c r="HZ54" s="90"/>
    </row>
    <row r="55" spans="3:234" ht="15.75" customHeight="1" x14ac:dyDescent="0.25">
      <c r="C55" s="478"/>
      <c r="D55" s="108" t="s">
        <v>233</v>
      </c>
      <c r="E55" s="23">
        <f>'Table Format Calculations'!J141</f>
        <v>797400</v>
      </c>
      <c r="F55" s="90"/>
      <c r="G55" s="316"/>
      <c r="K55" s="478"/>
      <c r="L55" s="345" t="s">
        <v>212</v>
      </c>
      <c r="M55" s="104">
        <v>969664.3</v>
      </c>
      <c r="N55" s="299"/>
      <c r="O55" s="299"/>
      <c r="P55" s="299"/>
      <c r="Q55" s="299"/>
      <c r="R55" s="299"/>
      <c r="S55" s="299"/>
      <c r="T55" s="299"/>
      <c r="U55" s="299"/>
      <c r="V55" s="299"/>
      <c r="W55" s="304"/>
      <c r="X55" s="299"/>
      <c r="Y55" s="299"/>
      <c r="Z55" s="299"/>
      <c r="AA55" s="299"/>
      <c r="AB55" s="299"/>
      <c r="AC55" s="299"/>
      <c r="AD55" s="299"/>
      <c r="AE55" s="299"/>
      <c r="AF55" s="299"/>
      <c r="AG55" s="305">
        <v>969664.3</v>
      </c>
      <c r="AH55" s="304"/>
      <c r="AI55" s="304"/>
      <c r="AJ55" s="304"/>
      <c r="AK55" s="304"/>
      <c r="AL55" s="304"/>
      <c r="AM55" s="304"/>
      <c r="AN55" s="304"/>
      <c r="AO55" s="304"/>
      <c r="AP55" s="289"/>
      <c r="AQ55" s="290"/>
      <c r="AR55" s="290"/>
      <c r="AS55" s="290"/>
      <c r="AT55" s="290"/>
      <c r="AU55" s="290"/>
      <c r="AV55" s="290"/>
      <c r="AW55" s="290"/>
      <c r="AX55" s="290"/>
      <c r="AY55" s="290"/>
      <c r="AZ55" s="290"/>
      <c r="BA55" s="290"/>
      <c r="BB55" s="290"/>
      <c r="BC55" s="290"/>
      <c r="BD55" s="290"/>
      <c r="BE55" s="290"/>
      <c r="BF55" s="290"/>
      <c r="BG55" s="290"/>
      <c r="BH55" s="290"/>
      <c r="BI55" s="290"/>
      <c r="BJ55" s="290"/>
      <c r="BK55" s="290"/>
      <c r="BL55" s="290"/>
      <c r="BM55" s="290"/>
      <c r="BN55" s="290"/>
      <c r="BO55" s="290"/>
      <c r="BP55" s="290"/>
      <c r="BQ55" s="290"/>
      <c r="BR55" s="290"/>
      <c r="BS55" s="290"/>
      <c r="BT55" s="290"/>
      <c r="BU55" s="352">
        <v>0</v>
      </c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  <c r="EH55" s="90"/>
      <c r="EI55" s="90"/>
      <c r="EJ55" s="90"/>
      <c r="EK55" s="90"/>
      <c r="EL55" s="90"/>
      <c r="EM55" s="90"/>
      <c r="EN55" s="90"/>
      <c r="EO55" s="90"/>
      <c r="EP55" s="90"/>
      <c r="EQ55" s="90"/>
      <c r="ER55" s="90"/>
      <c r="ES55" s="90"/>
      <c r="ET55" s="90"/>
      <c r="EU55" s="90"/>
      <c r="EV55" s="90"/>
      <c r="EW55" s="90"/>
      <c r="EX55" s="90"/>
      <c r="EY55" s="90"/>
      <c r="EZ55" s="90"/>
      <c r="FA55" s="90"/>
      <c r="FB55" s="90"/>
      <c r="FC55" s="90"/>
      <c r="FD55" s="90"/>
      <c r="FE55" s="90"/>
      <c r="FF55" s="90"/>
      <c r="FG55" s="90"/>
      <c r="FH55" s="90"/>
      <c r="FI55" s="90"/>
      <c r="FJ55" s="90"/>
      <c r="FK55" s="90"/>
      <c r="FL55" s="90"/>
      <c r="FM55" s="90"/>
      <c r="FN55" s="90"/>
      <c r="FO55" s="90"/>
      <c r="FP55" s="90"/>
      <c r="FQ55" s="90"/>
      <c r="FR55" s="90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90"/>
      <c r="GD55" s="90"/>
      <c r="GE55" s="90"/>
      <c r="GF55" s="90"/>
      <c r="GG55" s="90"/>
      <c r="GH55" s="90"/>
      <c r="GI55" s="90"/>
      <c r="GJ55" s="90"/>
      <c r="GK55" s="90"/>
      <c r="GL55" s="90"/>
      <c r="GM55" s="90"/>
      <c r="GN55" s="90"/>
      <c r="GO55" s="90"/>
      <c r="GP55" s="90"/>
      <c r="GQ55" s="90"/>
      <c r="GR55" s="90"/>
      <c r="GS55" s="90"/>
      <c r="GT55" s="90"/>
      <c r="GU55" s="90"/>
      <c r="GV55" s="90"/>
      <c r="GW55" s="90"/>
      <c r="GX55" s="90"/>
      <c r="GY55" s="90"/>
      <c r="GZ55" s="90"/>
      <c r="HA55" s="90"/>
      <c r="HB55" s="90"/>
      <c r="HC55" s="90"/>
      <c r="HD55" s="90"/>
      <c r="HE55" s="90"/>
      <c r="HF55" s="90"/>
      <c r="HG55" s="90"/>
      <c r="HH55" s="90"/>
      <c r="HI55" s="90"/>
      <c r="HJ55" s="90"/>
      <c r="HK55" s="90"/>
      <c r="HL55" s="90"/>
      <c r="HM55" s="90"/>
      <c r="HN55" s="90"/>
      <c r="HO55" s="90"/>
      <c r="HP55" s="90"/>
      <c r="HQ55" s="90"/>
      <c r="HR55" s="90"/>
      <c r="HS55" s="90"/>
      <c r="HT55" s="90"/>
      <c r="HU55" s="90"/>
      <c r="HV55" s="90"/>
      <c r="HW55" s="90"/>
      <c r="HX55" s="90"/>
      <c r="HY55" s="90"/>
      <c r="HZ55" s="90"/>
    </row>
    <row r="56" spans="3:234" ht="15.75" thickBot="1" x14ac:dyDescent="0.3">
      <c r="C56" s="479"/>
      <c r="D56" s="108" t="s">
        <v>120</v>
      </c>
      <c r="E56" s="23">
        <f>'Table Format Calculations'!J142</f>
        <v>17309220</v>
      </c>
      <c r="F56" s="90"/>
      <c r="G56" s="316"/>
      <c r="K56" s="479"/>
      <c r="L56" s="345" t="s">
        <v>106</v>
      </c>
      <c r="M56" s="104">
        <v>799758.9</v>
      </c>
      <c r="N56" s="299"/>
      <c r="O56" s="299"/>
      <c r="P56" s="299"/>
      <c r="Q56" s="299"/>
      <c r="R56" s="299"/>
      <c r="S56" s="299"/>
      <c r="T56" s="299"/>
      <c r="U56" s="299"/>
      <c r="V56" s="299"/>
      <c r="W56" s="304"/>
      <c r="X56" s="299"/>
      <c r="Y56" s="299"/>
      <c r="Z56" s="299"/>
      <c r="AA56" s="299"/>
      <c r="AB56" s="299"/>
      <c r="AC56" s="299"/>
      <c r="AD56" s="299"/>
      <c r="AE56" s="299"/>
      <c r="AF56" s="299"/>
      <c r="AG56" s="305">
        <v>799758.9</v>
      </c>
      <c r="AH56" s="304"/>
      <c r="AI56" s="304"/>
      <c r="AJ56" s="304"/>
      <c r="AK56" s="304"/>
      <c r="AL56" s="304"/>
      <c r="AM56" s="304"/>
      <c r="AN56" s="304"/>
      <c r="AO56" s="304"/>
      <c r="AP56" s="289"/>
      <c r="AQ56" s="290"/>
      <c r="AR56" s="290"/>
      <c r="AS56" s="290"/>
      <c r="AT56" s="290"/>
      <c r="AU56" s="290"/>
      <c r="AV56" s="290"/>
      <c r="AW56" s="290"/>
      <c r="AX56" s="290"/>
      <c r="AY56" s="290"/>
      <c r="AZ56" s="290"/>
      <c r="BA56" s="290"/>
      <c r="BB56" s="290"/>
      <c r="BC56" s="290"/>
      <c r="BD56" s="290"/>
      <c r="BE56" s="290"/>
      <c r="BF56" s="290"/>
      <c r="BG56" s="290"/>
      <c r="BH56" s="290"/>
      <c r="BI56" s="290"/>
      <c r="BJ56" s="290"/>
      <c r="BK56" s="290"/>
      <c r="BL56" s="290"/>
      <c r="BM56" s="290"/>
      <c r="BN56" s="290"/>
      <c r="BO56" s="290"/>
      <c r="BP56" s="290"/>
      <c r="BQ56" s="290"/>
      <c r="BR56" s="290"/>
      <c r="BS56" s="290"/>
      <c r="BT56" s="290"/>
      <c r="BU56" s="352">
        <v>0</v>
      </c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0"/>
      <c r="EO56" s="90"/>
      <c r="EP56" s="90"/>
      <c r="EQ56" s="90"/>
      <c r="ER56" s="90"/>
      <c r="ES56" s="90"/>
      <c r="ET56" s="90"/>
      <c r="EU56" s="90"/>
      <c r="EV56" s="90"/>
      <c r="EW56" s="90"/>
      <c r="EX56" s="90"/>
      <c r="EY56" s="90"/>
      <c r="EZ56" s="90"/>
      <c r="FA56" s="90"/>
      <c r="FB56" s="90"/>
      <c r="FC56" s="90"/>
      <c r="FD56" s="90"/>
      <c r="FE56" s="90"/>
      <c r="FF56" s="90"/>
      <c r="FG56" s="90"/>
      <c r="FH56" s="90"/>
      <c r="FI56" s="90"/>
      <c r="FJ56" s="90"/>
      <c r="FK56" s="90"/>
      <c r="FL56" s="90"/>
      <c r="FM56" s="90"/>
      <c r="FN56" s="90"/>
      <c r="FO56" s="90"/>
      <c r="FP56" s="90"/>
      <c r="FQ56" s="90"/>
      <c r="FR56" s="90"/>
      <c r="FS56" s="90"/>
      <c r="FT56" s="90"/>
      <c r="FU56" s="90"/>
      <c r="FV56" s="90"/>
      <c r="FW56" s="90"/>
      <c r="FX56" s="90"/>
      <c r="FY56" s="90"/>
      <c r="FZ56" s="90"/>
      <c r="GA56" s="90"/>
      <c r="GB56" s="90"/>
      <c r="GC56" s="90"/>
      <c r="GD56" s="90"/>
      <c r="GE56" s="90"/>
      <c r="GF56" s="90"/>
      <c r="GG56" s="90"/>
      <c r="GH56" s="90"/>
      <c r="GI56" s="90"/>
      <c r="GJ56" s="90"/>
      <c r="GK56" s="90"/>
      <c r="GL56" s="90"/>
      <c r="GM56" s="90"/>
      <c r="GN56" s="90"/>
      <c r="GO56" s="90"/>
      <c r="GP56" s="90"/>
      <c r="GQ56" s="90"/>
      <c r="GR56" s="90"/>
      <c r="GS56" s="90"/>
      <c r="GT56" s="90"/>
      <c r="GU56" s="90"/>
      <c r="GV56" s="90"/>
      <c r="GW56" s="90"/>
      <c r="GX56" s="90"/>
      <c r="GY56" s="90"/>
      <c r="GZ56" s="90"/>
      <c r="HA56" s="90"/>
      <c r="HB56" s="90"/>
      <c r="HC56" s="90"/>
      <c r="HD56" s="90"/>
      <c r="HE56" s="90"/>
      <c r="HF56" s="90"/>
      <c r="HG56" s="90"/>
      <c r="HH56" s="90"/>
      <c r="HI56" s="90"/>
      <c r="HJ56" s="90"/>
      <c r="HK56" s="90"/>
      <c r="HL56" s="90"/>
      <c r="HM56" s="90"/>
      <c r="HN56" s="90"/>
      <c r="HO56" s="90"/>
      <c r="HP56" s="90"/>
      <c r="HQ56" s="90"/>
      <c r="HR56" s="90"/>
      <c r="HS56" s="90"/>
      <c r="HT56" s="90"/>
      <c r="HU56" s="90"/>
      <c r="HV56" s="90"/>
      <c r="HW56" s="90"/>
      <c r="HX56" s="90"/>
      <c r="HY56" s="90"/>
      <c r="HZ56" s="90"/>
    </row>
    <row r="57" spans="3:234" ht="15.75" thickBot="1" x14ac:dyDescent="0.3">
      <c r="K57" s="347" t="s">
        <v>264</v>
      </c>
      <c r="L57" s="469" t="s">
        <v>252</v>
      </c>
      <c r="M57" s="104">
        <v>5652800</v>
      </c>
      <c r="N57" s="299"/>
      <c r="O57" s="299"/>
      <c r="P57" s="299"/>
      <c r="Q57" s="299"/>
      <c r="R57" s="299"/>
      <c r="S57" s="299"/>
      <c r="T57" s="299"/>
      <c r="U57" s="299"/>
      <c r="V57" s="299"/>
      <c r="W57" s="304"/>
      <c r="X57" s="299"/>
      <c r="Y57" s="299"/>
      <c r="Z57" s="299"/>
      <c r="AA57" s="299"/>
      <c r="AB57" s="299"/>
      <c r="AC57" s="299"/>
      <c r="AD57" s="299"/>
      <c r="AE57" s="299"/>
      <c r="AF57" s="299"/>
      <c r="AG57" s="305">
        <v>5652800</v>
      </c>
      <c r="AH57" s="304"/>
      <c r="AI57" s="304"/>
      <c r="AJ57" s="304"/>
      <c r="AK57" s="304"/>
      <c r="AL57" s="304"/>
      <c r="AM57" s="304"/>
      <c r="AN57" s="304"/>
      <c r="AO57" s="304"/>
      <c r="AP57" s="289"/>
      <c r="AQ57" s="290"/>
      <c r="AR57" s="290"/>
      <c r="AS57" s="290"/>
      <c r="AT57" s="290"/>
      <c r="AU57" s="290"/>
      <c r="AV57" s="290"/>
      <c r="AW57" s="290"/>
      <c r="AX57" s="290"/>
      <c r="AY57" s="290"/>
      <c r="AZ57" s="290"/>
      <c r="BA57" s="290"/>
      <c r="BB57" s="290"/>
      <c r="BC57" s="290"/>
      <c r="BD57" s="290"/>
      <c r="BE57" s="290"/>
      <c r="BF57" s="290"/>
      <c r="BG57" s="290"/>
      <c r="BH57" s="290"/>
      <c r="BI57" s="290"/>
      <c r="BJ57" s="290"/>
      <c r="BK57" s="290"/>
      <c r="BL57" s="290"/>
      <c r="BM57" s="290"/>
      <c r="BN57" s="290"/>
      <c r="BO57" s="290"/>
      <c r="BP57" s="290"/>
      <c r="BQ57" s="290"/>
      <c r="BR57" s="290"/>
      <c r="BS57" s="290"/>
      <c r="BT57" s="290"/>
      <c r="BU57" s="352">
        <v>0</v>
      </c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90"/>
      <c r="FC57" s="90"/>
      <c r="FD57" s="90"/>
      <c r="FE57" s="90"/>
      <c r="FF57" s="90"/>
      <c r="FG57" s="90"/>
      <c r="FH57" s="90"/>
      <c r="FI57" s="90"/>
      <c r="FJ57" s="90"/>
      <c r="FK57" s="90"/>
      <c r="FL57" s="90"/>
      <c r="FM57" s="90"/>
      <c r="FN57" s="90"/>
      <c r="FO57" s="90"/>
      <c r="FP57" s="90"/>
      <c r="FQ57" s="90"/>
      <c r="FR57" s="90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90"/>
      <c r="GD57" s="90"/>
      <c r="GE57" s="90"/>
      <c r="GF57" s="90"/>
      <c r="GG57" s="90"/>
      <c r="GH57" s="90"/>
      <c r="GI57" s="90"/>
      <c r="GJ57" s="90"/>
      <c r="GK57" s="90"/>
      <c r="GL57" s="90"/>
      <c r="GM57" s="90"/>
      <c r="GN57" s="90"/>
      <c r="GO57" s="90"/>
      <c r="GP57" s="90"/>
      <c r="GQ57" s="90"/>
      <c r="GR57" s="90"/>
      <c r="GS57" s="90"/>
      <c r="GT57" s="90"/>
      <c r="GU57" s="90"/>
      <c r="GV57" s="90"/>
      <c r="GW57" s="90"/>
      <c r="GX57" s="90"/>
      <c r="GY57" s="90"/>
      <c r="GZ57" s="90"/>
      <c r="HA57" s="90"/>
      <c r="HB57" s="90"/>
      <c r="HC57" s="90"/>
      <c r="HD57" s="90"/>
      <c r="HE57" s="90"/>
      <c r="HF57" s="90"/>
      <c r="HG57" s="90"/>
      <c r="HH57" s="90"/>
      <c r="HI57" s="90"/>
      <c r="HJ57" s="90"/>
      <c r="HK57" s="90"/>
      <c r="HL57" s="90"/>
      <c r="HM57" s="90"/>
      <c r="HN57" s="90"/>
      <c r="HO57" s="90"/>
      <c r="HP57" s="90"/>
      <c r="HQ57" s="90"/>
      <c r="HR57" s="90"/>
      <c r="HS57" s="90"/>
      <c r="HT57" s="90"/>
      <c r="HU57" s="90"/>
      <c r="HV57" s="90"/>
      <c r="HW57" s="90"/>
      <c r="HX57" s="90"/>
      <c r="HY57" s="90"/>
      <c r="HZ57" s="90"/>
    </row>
    <row r="58" spans="3:234" ht="16.5" thickBot="1" x14ac:dyDescent="0.3">
      <c r="C58" s="523" t="s">
        <v>255</v>
      </c>
      <c r="D58" s="524"/>
      <c r="E58" s="313" t="s">
        <v>12</v>
      </c>
      <c r="G58" s="64" t="s">
        <v>30</v>
      </c>
      <c r="M58" s="118"/>
      <c r="N58" s="118"/>
      <c r="O58" s="118"/>
      <c r="P58" s="118"/>
      <c r="Q58" s="118"/>
      <c r="R58" s="118"/>
      <c r="S58" s="118"/>
      <c r="T58" s="118"/>
      <c r="U58" s="118"/>
      <c r="V58" s="118"/>
      <c r="W58" s="119"/>
      <c r="X58" s="118"/>
      <c r="Y58" s="118"/>
      <c r="Z58" s="118"/>
      <c r="AA58" s="118"/>
      <c r="AB58" s="118"/>
      <c r="AC58" s="118"/>
      <c r="AD58" s="118"/>
      <c r="AE58" s="118"/>
      <c r="AF58" s="118"/>
      <c r="AG58" s="119"/>
      <c r="AH58" s="119"/>
      <c r="AI58" s="119"/>
      <c r="AJ58" s="119"/>
      <c r="AK58" s="119"/>
      <c r="AL58" s="119"/>
      <c r="AM58" s="119"/>
      <c r="AN58" s="119"/>
      <c r="AO58" s="119"/>
      <c r="AP58" s="120"/>
      <c r="AQ58" s="72"/>
      <c r="AR58" s="72"/>
      <c r="AS58" s="72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90"/>
      <c r="FC58" s="90"/>
      <c r="FD58" s="90"/>
      <c r="FE58" s="90"/>
      <c r="FF58" s="90"/>
      <c r="FG58" s="90"/>
      <c r="FH58" s="90"/>
      <c r="FI58" s="90"/>
      <c r="FJ58" s="90"/>
      <c r="FK58" s="90"/>
      <c r="FL58" s="90"/>
      <c r="FM58" s="90"/>
      <c r="FN58" s="90"/>
      <c r="FO58" s="90"/>
      <c r="FP58" s="90"/>
      <c r="FQ58" s="90"/>
      <c r="FR58" s="90"/>
      <c r="FS58" s="90"/>
      <c r="FT58" s="90"/>
      <c r="FU58" s="90"/>
      <c r="FV58" s="90"/>
      <c r="FW58" s="90"/>
      <c r="FX58" s="90"/>
      <c r="FY58" s="90"/>
      <c r="FZ58" s="90"/>
      <c r="GA58" s="90"/>
      <c r="GB58" s="90"/>
      <c r="GC58" s="90"/>
      <c r="GD58" s="90"/>
      <c r="GE58" s="90"/>
      <c r="GF58" s="90"/>
      <c r="GG58" s="90"/>
      <c r="GH58" s="90"/>
      <c r="GI58" s="90"/>
      <c r="GJ58" s="90"/>
      <c r="GK58" s="90"/>
      <c r="GL58" s="90"/>
      <c r="GM58" s="90"/>
      <c r="GN58" s="90"/>
      <c r="GO58" s="90"/>
      <c r="GP58" s="90"/>
      <c r="GQ58" s="90"/>
      <c r="GR58" s="90"/>
      <c r="GS58" s="90"/>
      <c r="GT58" s="90"/>
      <c r="GU58" s="90"/>
      <c r="GV58" s="90"/>
      <c r="GW58" s="90"/>
      <c r="GX58" s="90"/>
      <c r="GY58" s="90"/>
      <c r="GZ58" s="90"/>
      <c r="HA58" s="90"/>
      <c r="HB58" s="90"/>
      <c r="HC58" s="90"/>
      <c r="HD58" s="90"/>
      <c r="HE58" s="90"/>
      <c r="HF58" s="90"/>
      <c r="HG58" s="90"/>
      <c r="HH58" s="90"/>
      <c r="HI58" s="90"/>
      <c r="HJ58" s="90"/>
      <c r="HK58" s="90"/>
      <c r="HL58" s="90"/>
      <c r="HM58" s="90"/>
      <c r="HN58" s="90"/>
      <c r="HO58" s="90"/>
      <c r="HP58" s="90"/>
      <c r="HQ58" s="90"/>
      <c r="HR58" s="90"/>
      <c r="HS58" s="90"/>
      <c r="HT58" s="90"/>
      <c r="HU58" s="90"/>
      <c r="HV58" s="90"/>
      <c r="HW58" s="90"/>
      <c r="HX58" s="90"/>
      <c r="HY58" s="90"/>
      <c r="HZ58" s="90"/>
    </row>
    <row r="59" spans="3:234" ht="16.5" customHeight="1" thickBot="1" x14ac:dyDescent="0.3">
      <c r="C59" s="319" t="s">
        <v>251</v>
      </c>
      <c r="D59" s="491" t="s">
        <v>252</v>
      </c>
      <c r="E59" s="321">
        <v>2.1047994145076597E-2</v>
      </c>
      <c r="F59" s="318"/>
      <c r="G59" s="317">
        <v>1.6812770133844624E-2</v>
      </c>
      <c r="L59" s="117"/>
      <c r="M59" s="118"/>
      <c r="N59" s="118"/>
      <c r="O59" s="118"/>
      <c r="P59" s="118"/>
      <c r="Q59" s="118"/>
      <c r="R59" s="118"/>
      <c r="S59" s="118"/>
      <c r="T59" s="118"/>
      <c r="U59" s="118"/>
      <c r="V59" s="118"/>
      <c r="W59" s="119"/>
      <c r="X59" s="118"/>
      <c r="Y59" s="118"/>
      <c r="Z59" s="118"/>
      <c r="AA59" s="118"/>
      <c r="AB59" s="118"/>
      <c r="AC59" s="118"/>
      <c r="AD59" s="118"/>
      <c r="AE59" s="118"/>
      <c r="AF59" s="118"/>
      <c r="AG59" s="119"/>
      <c r="AH59" s="119"/>
      <c r="AI59" s="119"/>
      <c r="AJ59" s="119"/>
      <c r="AK59" s="119"/>
      <c r="AL59" s="119"/>
      <c r="AM59" s="119"/>
      <c r="AN59" s="119"/>
      <c r="AO59" s="119"/>
      <c r="AP59" s="120"/>
      <c r="AQ59" s="72"/>
      <c r="AR59" s="72"/>
      <c r="AS59" s="72"/>
      <c r="AT59" s="72"/>
      <c r="AU59" s="72"/>
      <c r="AV59" s="72"/>
      <c r="AW59" s="72"/>
      <c r="AX59" s="72"/>
      <c r="AY59" s="72"/>
      <c r="AZ59" s="72"/>
      <c r="BA59" s="72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90"/>
      <c r="FC59" s="90"/>
      <c r="FD59" s="90"/>
      <c r="FE59" s="90"/>
      <c r="FF59" s="90"/>
      <c r="FG59" s="90"/>
      <c r="FH59" s="90"/>
      <c r="FI59" s="90"/>
      <c r="FJ59" s="90"/>
      <c r="FK59" s="90"/>
      <c r="FL59" s="90"/>
      <c r="FM59" s="90"/>
      <c r="FN59" s="90"/>
      <c r="FO59" s="90"/>
      <c r="FP59" s="90"/>
      <c r="FQ59" s="90"/>
      <c r="FR59" s="90"/>
      <c r="FS59" s="90"/>
      <c r="FT59" s="90"/>
      <c r="FU59" s="90"/>
      <c r="FV59" s="90"/>
      <c r="FW59" s="90"/>
      <c r="FX59" s="90"/>
      <c r="FY59" s="90"/>
      <c r="FZ59" s="90"/>
      <c r="GA59" s="90"/>
      <c r="GB59" s="90"/>
      <c r="GC59" s="90"/>
      <c r="GD59" s="90"/>
      <c r="GE59" s="90"/>
      <c r="GF59" s="90"/>
      <c r="GG59" s="90"/>
      <c r="GH59" s="90"/>
      <c r="GI59" s="90"/>
      <c r="GJ59" s="90"/>
      <c r="GK59" s="90"/>
      <c r="GL59" s="90"/>
      <c r="GM59" s="90"/>
      <c r="GN59" s="90"/>
      <c r="GO59" s="90"/>
      <c r="GP59" s="90"/>
      <c r="GQ59" s="90"/>
      <c r="GR59" s="90"/>
      <c r="GS59" s="90"/>
      <c r="GT59" s="90"/>
      <c r="GU59" s="90"/>
      <c r="GV59" s="90"/>
      <c r="GW59" s="90"/>
      <c r="GX59" s="90"/>
      <c r="GY59" s="90"/>
      <c r="GZ59" s="90"/>
      <c r="HA59" s="90"/>
      <c r="HB59" s="90"/>
      <c r="HC59" s="90"/>
      <c r="HD59" s="90"/>
      <c r="HE59" s="90"/>
      <c r="HF59" s="90"/>
      <c r="HG59" s="90"/>
      <c r="HH59" s="90"/>
      <c r="HI59" s="90"/>
      <c r="HJ59" s="90"/>
      <c r="HK59" s="90"/>
      <c r="HL59" s="90"/>
      <c r="HM59" s="90"/>
      <c r="HN59" s="90"/>
      <c r="HO59" s="90"/>
      <c r="HP59" s="90"/>
      <c r="HQ59" s="90"/>
      <c r="HR59" s="90"/>
      <c r="HS59" s="90"/>
      <c r="HT59" s="90"/>
      <c r="HU59" s="90"/>
      <c r="HV59" s="90"/>
      <c r="HW59" s="90"/>
      <c r="HX59" s="90"/>
      <c r="HY59" s="90"/>
      <c r="HZ59" s="90"/>
    </row>
    <row r="60" spans="3:234" ht="15.75" thickBot="1" x14ac:dyDescent="0.3">
      <c r="C60" s="320" t="s">
        <v>95</v>
      </c>
      <c r="D60" s="492"/>
      <c r="E60" s="328">
        <v>75869258.460000008</v>
      </c>
      <c r="F60" s="4"/>
      <c r="G60" s="328">
        <v>5652800</v>
      </c>
      <c r="L60" s="117"/>
      <c r="M60" s="118"/>
      <c r="N60" s="118"/>
      <c r="O60" s="118"/>
      <c r="P60" s="118"/>
      <c r="Q60" s="118"/>
      <c r="R60" s="118"/>
      <c r="S60" s="118"/>
      <c r="T60" s="118"/>
      <c r="U60" s="118"/>
      <c r="V60" s="118"/>
      <c r="W60" s="119"/>
      <c r="X60" s="118"/>
      <c r="Y60" s="118"/>
      <c r="Z60" s="118"/>
      <c r="AA60" s="118"/>
      <c r="AB60" s="118"/>
      <c r="AC60" s="118"/>
      <c r="AD60" s="118"/>
      <c r="AE60" s="118"/>
      <c r="AF60" s="118"/>
      <c r="AG60" s="119"/>
      <c r="AH60" s="119"/>
      <c r="AI60" s="119"/>
      <c r="AJ60" s="119"/>
      <c r="AK60" s="119"/>
      <c r="AL60" s="119"/>
      <c r="AM60" s="119"/>
      <c r="AN60" s="119"/>
      <c r="AO60" s="119"/>
      <c r="AP60" s="120"/>
      <c r="AQ60" s="72"/>
      <c r="AR60" s="72"/>
      <c r="AS60" s="72"/>
      <c r="AT60" s="72"/>
      <c r="AU60" s="72"/>
      <c r="AV60" s="72"/>
      <c r="AW60" s="72"/>
      <c r="AX60" s="72"/>
      <c r="AY60" s="72"/>
      <c r="AZ60" s="72"/>
      <c r="BA60" s="72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90"/>
      <c r="FC60" s="90"/>
      <c r="FD60" s="90"/>
      <c r="FE60" s="90"/>
      <c r="FF60" s="90"/>
      <c r="FG60" s="90"/>
      <c r="FH60" s="90"/>
      <c r="FI60" s="90"/>
      <c r="FJ60" s="90"/>
      <c r="FK60" s="90"/>
      <c r="FL60" s="90"/>
      <c r="FM60" s="90"/>
      <c r="FN60" s="90"/>
      <c r="FO60" s="90"/>
      <c r="FP60" s="90"/>
      <c r="FQ60" s="90"/>
      <c r="FR60" s="90"/>
      <c r="FS60" s="90"/>
      <c r="FT60" s="90"/>
      <c r="FU60" s="90"/>
      <c r="FV60" s="90"/>
      <c r="FW60" s="90"/>
      <c r="FX60" s="90"/>
      <c r="FY60" s="90"/>
      <c r="FZ60" s="90"/>
      <c r="GA60" s="90"/>
      <c r="GB60" s="90"/>
      <c r="GC60" s="90"/>
      <c r="GD60" s="90"/>
      <c r="GE60" s="90"/>
      <c r="GF60" s="90"/>
      <c r="GG60" s="90"/>
      <c r="GH60" s="90"/>
      <c r="GI60" s="90"/>
      <c r="GJ60" s="90"/>
      <c r="GK60" s="90"/>
      <c r="GL60" s="90"/>
      <c r="GM60" s="90"/>
      <c r="GN60" s="90"/>
      <c r="GO60" s="90"/>
      <c r="GP60" s="90"/>
      <c r="GQ60" s="90"/>
      <c r="GR60" s="90"/>
      <c r="GS60" s="90"/>
      <c r="GT60" s="90"/>
      <c r="GU60" s="90"/>
      <c r="GV60" s="90"/>
      <c r="GW60" s="90"/>
      <c r="GX60" s="90"/>
      <c r="GY60" s="90"/>
      <c r="GZ60" s="90"/>
      <c r="HA60" s="90"/>
      <c r="HB60" s="90"/>
      <c r="HC60" s="90"/>
      <c r="HD60" s="90"/>
      <c r="HE60" s="90"/>
      <c r="HF60" s="90"/>
      <c r="HG60" s="90"/>
      <c r="HH60" s="90"/>
      <c r="HI60" s="90"/>
      <c r="HJ60" s="90"/>
      <c r="HK60" s="90"/>
      <c r="HL60" s="90"/>
      <c r="HM60" s="90"/>
      <c r="HN60" s="90"/>
      <c r="HO60" s="90"/>
      <c r="HP60" s="90"/>
      <c r="HQ60" s="90"/>
      <c r="HR60" s="90"/>
      <c r="HS60" s="90"/>
      <c r="HT60" s="90"/>
      <c r="HU60" s="90"/>
      <c r="HV60" s="90"/>
      <c r="HW60" s="90"/>
      <c r="HX60" s="90"/>
      <c r="HY60" s="90"/>
      <c r="HZ60" s="90"/>
    </row>
    <row r="61" spans="3:234" ht="15" customHeight="1" x14ac:dyDescent="0.25">
      <c r="K61" s="493" t="s">
        <v>123</v>
      </c>
      <c r="L61" s="494"/>
      <c r="M61" s="494"/>
      <c r="N61" s="494"/>
      <c r="O61" s="494"/>
      <c r="P61" s="494"/>
      <c r="Q61" s="494"/>
      <c r="R61" s="494"/>
      <c r="S61" s="494"/>
      <c r="T61" s="494"/>
      <c r="U61" s="494"/>
      <c r="V61" s="494"/>
      <c r="W61" s="494"/>
      <c r="X61" s="494"/>
      <c r="Y61" s="494"/>
      <c r="Z61" s="494"/>
      <c r="AA61" s="494"/>
      <c r="AB61" s="494"/>
      <c r="AC61" s="494"/>
      <c r="AD61" s="494"/>
      <c r="AE61" s="494"/>
      <c r="AF61" s="494"/>
      <c r="AG61" s="494"/>
      <c r="AH61" s="494"/>
      <c r="AI61" s="494"/>
      <c r="AJ61" s="494"/>
      <c r="AK61" s="494"/>
      <c r="AL61" s="494"/>
      <c r="AM61" s="494"/>
      <c r="AN61" s="494"/>
      <c r="AO61" s="494"/>
      <c r="AP61" s="494"/>
      <c r="AQ61" s="494"/>
      <c r="AR61" s="494"/>
      <c r="AS61" s="494"/>
      <c r="AT61" s="494"/>
      <c r="AU61" s="494"/>
      <c r="AV61" s="494"/>
      <c r="AW61" s="494"/>
      <c r="AX61" s="494"/>
      <c r="AY61" s="494"/>
      <c r="AZ61" s="494"/>
      <c r="BA61" s="494"/>
      <c r="BB61" s="494"/>
      <c r="BC61" s="494"/>
      <c r="BD61" s="494"/>
      <c r="BE61" s="494"/>
      <c r="BF61" s="494"/>
      <c r="BG61" s="494"/>
      <c r="BH61" s="494"/>
      <c r="BI61" s="494"/>
      <c r="BJ61" s="494"/>
      <c r="BK61" s="494"/>
      <c r="BL61" s="494"/>
      <c r="BM61" s="494"/>
      <c r="BN61" s="494"/>
      <c r="BO61" s="494"/>
      <c r="BP61" s="494"/>
      <c r="BQ61" s="494"/>
      <c r="BR61" s="494"/>
      <c r="BS61" s="494"/>
      <c r="BT61" s="495"/>
      <c r="BU61" s="514" t="s">
        <v>269</v>
      </c>
    </row>
    <row r="62" spans="3:234" ht="15" customHeight="1" thickBot="1" x14ac:dyDescent="0.3">
      <c r="E62" t="s">
        <v>258</v>
      </c>
      <c r="G62" t="s">
        <v>258</v>
      </c>
      <c r="K62" s="496"/>
      <c r="L62" s="497"/>
      <c r="M62" s="497"/>
      <c r="N62" s="497"/>
      <c r="O62" s="497"/>
      <c r="P62" s="497"/>
      <c r="Q62" s="497"/>
      <c r="R62" s="497"/>
      <c r="S62" s="497"/>
      <c r="T62" s="497"/>
      <c r="U62" s="497"/>
      <c r="V62" s="497"/>
      <c r="W62" s="497"/>
      <c r="X62" s="497"/>
      <c r="Y62" s="497"/>
      <c r="Z62" s="497"/>
      <c r="AA62" s="497"/>
      <c r="AB62" s="497"/>
      <c r="AC62" s="497"/>
      <c r="AD62" s="497"/>
      <c r="AE62" s="497"/>
      <c r="AF62" s="497"/>
      <c r="AG62" s="497"/>
      <c r="AH62" s="497"/>
      <c r="AI62" s="497"/>
      <c r="AJ62" s="497"/>
      <c r="AK62" s="497"/>
      <c r="AL62" s="497"/>
      <c r="AM62" s="497"/>
      <c r="AN62" s="497"/>
      <c r="AO62" s="497"/>
      <c r="AP62" s="497"/>
      <c r="AQ62" s="497"/>
      <c r="AR62" s="497"/>
      <c r="AS62" s="497"/>
      <c r="AT62" s="497"/>
      <c r="AU62" s="497"/>
      <c r="AV62" s="497"/>
      <c r="AW62" s="497"/>
      <c r="AX62" s="497"/>
      <c r="AY62" s="497"/>
      <c r="AZ62" s="497"/>
      <c r="BA62" s="497"/>
      <c r="BB62" s="497"/>
      <c r="BC62" s="497"/>
      <c r="BD62" s="497"/>
      <c r="BE62" s="497"/>
      <c r="BF62" s="497"/>
      <c r="BG62" s="497"/>
      <c r="BH62" s="497"/>
      <c r="BI62" s="497"/>
      <c r="BJ62" s="497"/>
      <c r="BK62" s="497"/>
      <c r="BL62" s="497"/>
      <c r="BM62" s="497"/>
      <c r="BN62" s="497"/>
      <c r="BO62" s="497"/>
      <c r="BP62" s="497"/>
      <c r="BQ62" s="497"/>
      <c r="BR62" s="497"/>
      <c r="BS62" s="497"/>
      <c r="BT62" s="498"/>
      <c r="BU62" s="515"/>
    </row>
    <row r="63" spans="3:234" ht="15.75" customHeight="1" thickBot="1" x14ac:dyDescent="0.3">
      <c r="C63" s="523" t="s">
        <v>255</v>
      </c>
      <c r="D63" s="524"/>
      <c r="E63" s="313" t="s">
        <v>12</v>
      </c>
      <c r="G63" s="64" t="s">
        <v>30</v>
      </c>
      <c r="K63" s="499"/>
      <c r="L63" s="500"/>
      <c r="M63" s="500"/>
      <c r="N63" s="500"/>
      <c r="O63" s="500"/>
      <c r="P63" s="500"/>
      <c r="Q63" s="500"/>
      <c r="R63" s="500"/>
      <c r="S63" s="500"/>
      <c r="T63" s="500"/>
      <c r="U63" s="500"/>
      <c r="V63" s="500"/>
      <c r="W63" s="500"/>
      <c r="X63" s="500"/>
      <c r="Y63" s="500"/>
      <c r="Z63" s="500"/>
      <c r="AA63" s="500"/>
      <c r="AB63" s="500"/>
      <c r="AC63" s="500"/>
      <c r="AD63" s="500"/>
      <c r="AE63" s="500"/>
      <c r="AF63" s="500"/>
      <c r="AG63" s="500"/>
      <c r="AH63" s="500"/>
      <c r="AI63" s="500"/>
      <c r="AJ63" s="500"/>
      <c r="AK63" s="500"/>
      <c r="AL63" s="500"/>
      <c r="AM63" s="500"/>
      <c r="AN63" s="500"/>
      <c r="AO63" s="500"/>
      <c r="AP63" s="500"/>
      <c r="AQ63" s="500"/>
      <c r="AR63" s="500"/>
      <c r="AS63" s="500"/>
      <c r="AT63" s="500"/>
      <c r="AU63" s="500"/>
      <c r="AV63" s="500"/>
      <c r="AW63" s="500"/>
      <c r="AX63" s="500"/>
      <c r="AY63" s="500"/>
      <c r="AZ63" s="500"/>
      <c r="BA63" s="500"/>
      <c r="BB63" s="500"/>
      <c r="BC63" s="500"/>
      <c r="BD63" s="500"/>
      <c r="BE63" s="500"/>
      <c r="BF63" s="500"/>
      <c r="BG63" s="500"/>
      <c r="BH63" s="500"/>
      <c r="BI63" s="500"/>
      <c r="BJ63" s="500"/>
      <c r="BK63" s="500"/>
      <c r="BL63" s="500"/>
      <c r="BM63" s="500"/>
      <c r="BN63" s="500"/>
      <c r="BO63" s="500"/>
      <c r="BP63" s="500"/>
      <c r="BQ63" s="500"/>
      <c r="BR63" s="500"/>
      <c r="BS63" s="500"/>
      <c r="BT63" s="501"/>
      <c r="BU63" s="515"/>
      <c r="BV63" s="17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17"/>
      <c r="ET63" s="17"/>
      <c r="EU63" s="17"/>
      <c r="EV63" s="17"/>
      <c r="EW63" s="17"/>
      <c r="EX63" s="17"/>
      <c r="EY63" s="17"/>
      <c r="EZ63" s="17"/>
      <c r="FA63" s="17"/>
      <c r="FB63" s="17"/>
      <c r="FC63" s="17"/>
      <c r="FD63" s="17"/>
      <c r="FE63" s="17"/>
      <c r="FF63" s="17"/>
      <c r="FG63" s="17"/>
      <c r="FH63" s="17"/>
      <c r="FI63" s="17"/>
      <c r="FJ63" s="17"/>
      <c r="FK63" s="17"/>
      <c r="FL63" s="17"/>
      <c r="FM63" s="17"/>
      <c r="FN63" s="17"/>
      <c r="FO63" s="17"/>
      <c r="FP63" s="17"/>
      <c r="FQ63" s="17"/>
      <c r="FR63" s="17"/>
      <c r="FS63" s="17"/>
      <c r="FT63" s="17"/>
      <c r="FU63" s="17"/>
      <c r="FV63" s="17"/>
      <c r="FW63" s="17"/>
      <c r="FX63" s="17"/>
      <c r="FY63" s="17"/>
      <c r="FZ63" s="17"/>
      <c r="GA63" s="17"/>
      <c r="GB63" s="17"/>
      <c r="GC63" s="17"/>
      <c r="GD63" s="17"/>
      <c r="GE63" s="17"/>
      <c r="GF63" s="17"/>
      <c r="GG63" s="17"/>
      <c r="GH63" s="17"/>
      <c r="GI63" s="17"/>
      <c r="GJ63" s="17"/>
      <c r="GK63" s="17"/>
      <c r="GL63" s="17"/>
      <c r="GM63" s="17"/>
      <c r="GN63" s="17"/>
      <c r="GO63" s="17"/>
      <c r="GP63" s="17"/>
      <c r="GQ63" s="17"/>
      <c r="GR63" s="17"/>
      <c r="GS63" s="17"/>
      <c r="GT63" s="17"/>
      <c r="GU63" s="17"/>
      <c r="GV63" s="17"/>
      <c r="GW63" s="17"/>
      <c r="GX63" s="17"/>
      <c r="GY63" s="17"/>
      <c r="GZ63" s="17"/>
      <c r="HA63" s="17"/>
      <c r="HB63" s="17"/>
      <c r="HC63" s="17"/>
      <c r="HD63" s="17"/>
      <c r="HE63" s="17"/>
      <c r="HF63" s="17"/>
      <c r="HG63" s="17"/>
      <c r="HH63" s="17"/>
      <c r="HI63" s="17"/>
      <c r="HJ63" s="17"/>
      <c r="HK63" s="17"/>
      <c r="HL63" s="17"/>
      <c r="HM63" s="17"/>
      <c r="HN63" s="17"/>
      <c r="HO63" s="17"/>
      <c r="HP63" s="17"/>
      <c r="HQ63" s="17"/>
      <c r="HR63" s="17"/>
      <c r="HS63" s="17"/>
      <c r="HT63" s="17"/>
      <c r="HU63" s="17"/>
      <c r="HV63" s="17"/>
      <c r="HW63" s="17"/>
      <c r="HX63" s="17"/>
      <c r="HY63" s="17"/>
      <c r="HZ63" s="17"/>
    </row>
    <row r="64" spans="3:234" ht="30.75" thickBot="1" x14ac:dyDescent="0.3">
      <c r="C64" s="319" t="s">
        <v>251</v>
      </c>
      <c r="D64" s="491" t="s">
        <v>252</v>
      </c>
      <c r="E64" s="322">
        <v>2.1047994145076597E-2</v>
      </c>
      <c r="F64" s="323"/>
      <c r="G64" s="324">
        <v>1.6812770133844624E-2</v>
      </c>
      <c r="K64" s="95" t="s">
        <v>115</v>
      </c>
      <c r="L64" s="96" t="s">
        <v>117</v>
      </c>
      <c r="M64" s="306"/>
      <c r="N64" s="306"/>
      <c r="O64" s="107">
        <v>29.479149059948661</v>
      </c>
      <c r="P64" s="107">
        <v>29.542317471848889</v>
      </c>
      <c r="Q64" s="306"/>
      <c r="R64" s="306"/>
      <c r="S64" s="306"/>
      <c r="T64" s="306"/>
      <c r="U64" s="306"/>
      <c r="V64" s="306"/>
      <c r="W64" s="306"/>
      <c r="X64" s="306"/>
      <c r="Y64" s="306"/>
      <c r="Z64" s="107">
        <v>12.524858109043448</v>
      </c>
      <c r="AA64" s="306"/>
      <c r="AB64" s="306"/>
      <c r="AC64" s="107">
        <v>14.302068492427839</v>
      </c>
      <c r="AD64" s="107">
        <v>14.132208560096787</v>
      </c>
      <c r="AE64" s="107">
        <v>10.486109047737465</v>
      </c>
      <c r="AF64" s="107">
        <v>10.029355963188261</v>
      </c>
      <c r="AG64" s="294"/>
      <c r="AH64" s="294"/>
      <c r="AI64" s="106">
        <v>29.479149059948661</v>
      </c>
      <c r="AJ64" s="106">
        <v>29.542317471848889</v>
      </c>
      <c r="AK64" s="294"/>
      <c r="AL64" s="294"/>
      <c r="AM64" s="294"/>
      <c r="AN64" s="294"/>
      <c r="AO64" s="294"/>
      <c r="AP64" s="294"/>
      <c r="AQ64" s="294"/>
      <c r="AR64" s="294"/>
      <c r="AS64" s="294"/>
      <c r="AT64" s="106">
        <v>12.524858109043448</v>
      </c>
      <c r="AU64" s="294"/>
      <c r="AV64" s="294"/>
      <c r="AW64" s="106">
        <v>14.302068492427839</v>
      </c>
      <c r="AX64" s="106">
        <v>14.132208560096787</v>
      </c>
      <c r="AY64" s="106">
        <v>10.486109047737465</v>
      </c>
      <c r="AZ64" s="106">
        <v>10.029355963188261</v>
      </c>
      <c r="BA64" s="116">
        <v>0</v>
      </c>
      <c r="BB64" s="116">
        <v>0</v>
      </c>
      <c r="BC64" s="116">
        <v>0</v>
      </c>
      <c r="BD64" s="116">
        <v>0</v>
      </c>
      <c r="BE64" s="116">
        <v>0</v>
      </c>
      <c r="BF64" s="116">
        <v>0</v>
      </c>
      <c r="BG64" s="116">
        <v>0</v>
      </c>
      <c r="BH64" s="116">
        <v>0</v>
      </c>
      <c r="BI64" s="116">
        <v>0</v>
      </c>
      <c r="BJ64" s="116">
        <v>0</v>
      </c>
      <c r="BK64" s="116">
        <v>0</v>
      </c>
      <c r="BL64" s="116">
        <v>0</v>
      </c>
      <c r="BM64" s="116">
        <v>0</v>
      </c>
      <c r="BN64" s="116">
        <v>0</v>
      </c>
      <c r="BO64" s="116">
        <v>0</v>
      </c>
      <c r="BP64" s="116">
        <v>0</v>
      </c>
      <c r="BQ64" s="116">
        <v>0</v>
      </c>
      <c r="BR64" s="116">
        <v>0</v>
      </c>
      <c r="BS64" s="116">
        <v>0</v>
      </c>
      <c r="BT64" s="116">
        <v>0</v>
      </c>
      <c r="BU64" s="353">
        <v>0</v>
      </c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17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17"/>
      <c r="ET64" s="17"/>
      <c r="EU64" s="17"/>
      <c r="EV64" s="17"/>
      <c r="EW64" s="17"/>
      <c r="EX64" s="17"/>
      <c r="EY64" s="17"/>
      <c r="EZ64" s="17"/>
      <c r="FA64" s="17"/>
      <c r="FB64" s="17"/>
      <c r="FC64" s="17"/>
      <c r="FD64" s="17"/>
      <c r="FE64" s="17"/>
      <c r="FF64" s="17"/>
      <c r="FG64" s="17"/>
      <c r="FH64" s="17"/>
      <c r="FI64" s="17"/>
      <c r="FJ64" s="17"/>
      <c r="FK64" s="17"/>
      <c r="FL64" s="17"/>
      <c r="FM64" s="17"/>
      <c r="FN64" s="17"/>
      <c r="FO64" s="17"/>
      <c r="FP64" s="17"/>
      <c r="FQ64" s="17"/>
      <c r="FR64" s="17"/>
      <c r="FS64" s="17"/>
      <c r="FT64" s="17"/>
      <c r="FU64" s="17"/>
      <c r="FV64" s="17"/>
      <c r="FW64" s="17"/>
      <c r="FX64" s="17"/>
      <c r="FY64" s="17"/>
      <c r="FZ64" s="17"/>
      <c r="GA64" s="17"/>
      <c r="GB64" s="17"/>
      <c r="GC64" s="17"/>
      <c r="GD64" s="17"/>
      <c r="GE64" s="17"/>
      <c r="GF64" s="17"/>
      <c r="GG64" s="17"/>
      <c r="GH64" s="17"/>
      <c r="GI64" s="17"/>
      <c r="GJ64" s="17"/>
      <c r="GK64" s="17"/>
      <c r="GL64" s="17"/>
      <c r="GM64" s="17"/>
      <c r="GN64" s="17"/>
      <c r="GO64" s="17"/>
      <c r="GP64" s="17"/>
      <c r="GQ64" s="17"/>
      <c r="GR64" s="17"/>
      <c r="GS64" s="17"/>
      <c r="GT64" s="17"/>
      <c r="GU64" s="17"/>
      <c r="GV64" s="17"/>
      <c r="GW64" s="17"/>
      <c r="GX64" s="17"/>
      <c r="GY64" s="17"/>
      <c r="GZ64" s="17"/>
      <c r="HA64" s="17"/>
      <c r="HB64" s="17"/>
      <c r="HC64" s="17"/>
      <c r="HD64" s="17"/>
      <c r="HE64" s="17"/>
      <c r="HF64" s="17"/>
      <c r="HG64" s="17"/>
      <c r="HH64" s="17"/>
      <c r="HI64" s="17"/>
      <c r="HJ64" s="17"/>
      <c r="HK64" s="17"/>
      <c r="HL64" s="17"/>
      <c r="HM64" s="17"/>
      <c r="HN64" s="17"/>
      <c r="HO64" s="17"/>
      <c r="HP64" s="17"/>
      <c r="HQ64" s="17"/>
      <c r="HR64" s="17"/>
      <c r="HS64" s="17"/>
      <c r="HT64" s="17"/>
      <c r="HU64" s="17"/>
      <c r="HV64" s="17"/>
      <c r="HW64" s="17"/>
      <c r="HX64" s="17"/>
      <c r="HY64" s="17"/>
      <c r="HZ64" s="17"/>
    </row>
    <row r="65" spans="3:234" ht="15.75" thickBot="1" x14ac:dyDescent="0.3">
      <c r="C65" s="320" t="s">
        <v>95</v>
      </c>
      <c r="D65" s="492"/>
      <c r="E65" s="325">
        <f>'Table Format Calculations'!J151</f>
        <v>75869258.460000008</v>
      </c>
      <c r="F65" s="326">
        <f>'Table Format Calculations'!J157</f>
        <v>5652800</v>
      </c>
      <c r="G65" s="23">
        <f>Calculator_Calculations!J157</f>
        <v>5652800</v>
      </c>
      <c r="K65" s="85" t="s">
        <v>85</v>
      </c>
      <c r="L65" s="55" t="s">
        <v>117</v>
      </c>
      <c r="M65" s="307"/>
      <c r="N65" s="307"/>
      <c r="O65" s="94">
        <v>12</v>
      </c>
      <c r="P65" s="94">
        <v>0</v>
      </c>
      <c r="Q65" s="307"/>
      <c r="R65" s="307"/>
      <c r="S65" s="307"/>
      <c r="T65" s="307"/>
      <c r="U65" s="307"/>
      <c r="V65" s="307"/>
      <c r="W65" s="307"/>
      <c r="X65" s="307"/>
      <c r="Y65" s="307"/>
      <c r="Z65" s="94">
        <v>3</v>
      </c>
      <c r="AA65" s="307"/>
      <c r="AB65" s="307"/>
      <c r="AC65" s="94">
        <v>1</v>
      </c>
      <c r="AD65" s="94">
        <v>21</v>
      </c>
      <c r="AE65" s="94">
        <v>22</v>
      </c>
      <c r="AF65" s="94">
        <v>5</v>
      </c>
      <c r="AG65" s="289"/>
      <c r="AH65" s="289"/>
      <c r="AI65" s="91">
        <v>15.36</v>
      </c>
      <c r="AJ65" s="91">
        <v>0</v>
      </c>
      <c r="AK65" s="289"/>
      <c r="AL65" s="289"/>
      <c r="AM65" s="289"/>
      <c r="AN65" s="289"/>
      <c r="AO65" s="289"/>
      <c r="AP65" s="289"/>
      <c r="AQ65" s="289"/>
      <c r="AR65" s="289"/>
      <c r="AS65" s="289"/>
      <c r="AT65" s="91">
        <v>3</v>
      </c>
      <c r="AU65" s="289"/>
      <c r="AV65" s="289"/>
      <c r="AW65" s="91">
        <v>1.28</v>
      </c>
      <c r="AX65" s="91">
        <v>26.88</v>
      </c>
      <c r="AY65" s="91">
        <v>28.16</v>
      </c>
      <c r="AZ65" s="91">
        <v>6.4</v>
      </c>
      <c r="BA65" s="20">
        <v>0</v>
      </c>
      <c r="BB65" s="20">
        <v>0</v>
      </c>
      <c r="BC65" s="20">
        <v>342287.03363107354</v>
      </c>
      <c r="BD65" s="20">
        <v>0</v>
      </c>
      <c r="BE65" s="20">
        <v>0</v>
      </c>
      <c r="BF65" s="20">
        <v>0</v>
      </c>
      <c r="BG65" s="20">
        <v>0</v>
      </c>
      <c r="BH65" s="20">
        <v>0</v>
      </c>
      <c r="BI65" s="20">
        <v>0</v>
      </c>
      <c r="BJ65" s="20">
        <v>0</v>
      </c>
      <c r="BK65" s="20">
        <v>0</v>
      </c>
      <c r="BL65" s="20">
        <v>0</v>
      </c>
      <c r="BM65" s="20">
        <v>0</v>
      </c>
      <c r="BN65" s="20">
        <v>0</v>
      </c>
      <c r="BO65" s="20">
        <v>0</v>
      </c>
      <c r="BP65" s="20">
        <v>0</v>
      </c>
      <c r="BQ65" s="20">
        <v>55235.607650734317</v>
      </c>
      <c r="BR65" s="20">
        <v>311670.65224344778</v>
      </c>
      <c r="BS65" s="20">
        <v>1929133.6596172375</v>
      </c>
      <c r="BT65" s="20">
        <v>480388.35959755263</v>
      </c>
      <c r="BU65" s="23">
        <v>3118715.3127400456</v>
      </c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/>
      <c r="CR65" s="72"/>
      <c r="CS65" s="72"/>
      <c r="CT65" s="72"/>
      <c r="CU65" s="72"/>
      <c r="CV65" s="72"/>
      <c r="CW65" s="72"/>
      <c r="CX65" s="72"/>
      <c r="CY65" s="72"/>
      <c r="CZ65" s="72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17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17"/>
      <c r="ET65" s="17"/>
      <c r="EU65" s="17"/>
      <c r="EV65" s="17"/>
      <c r="EW65" s="17"/>
      <c r="EX65" s="17"/>
      <c r="EY65" s="17"/>
      <c r="EZ65" s="17"/>
      <c r="FA65" s="17"/>
      <c r="FB65" s="17"/>
      <c r="FC65" s="17"/>
      <c r="FD65" s="17"/>
      <c r="FE65" s="17"/>
      <c r="FF65" s="17"/>
      <c r="FG65" s="17"/>
      <c r="FH65" s="17"/>
      <c r="FI65" s="17"/>
      <c r="FJ65" s="17"/>
      <c r="FK65" s="17"/>
      <c r="FL65" s="17"/>
      <c r="FM65" s="17"/>
      <c r="FN65" s="17"/>
      <c r="FO65" s="17"/>
      <c r="FP65" s="17"/>
      <c r="FQ65" s="17"/>
      <c r="FR65" s="17"/>
      <c r="FS65" s="17"/>
      <c r="FT65" s="17"/>
      <c r="FU65" s="17"/>
      <c r="FV65" s="17"/>
      <c r="FW65" s="17"/>
      <c r="FX65" s="17"/>
      <c r="FY65" s="17"/>
      <c r="FZ65" s="17"/>
      <c r="GA65" s="17"/>
      <c r="GB65" s="17"/>
      <c r="GC65" s="17"/>
      <c r="GD65" s="17"/>
      <c r="GE65" s="17"/>
      <c r="GF65" s="17"/>
      <c r="GG65" s="17"/>
      <c r="GH65" s="17"/>
      <c r="GI65" s="17"/>
      <c r="GJ65" s="17"/>
      <c r="GK65" s="17"/>
      <c r="GL65" s="17"/>
      <c r="GM65" s="17"/>
      <c r="GN65" s="17"/>
      <c r="GO65" s="17"/>
      <c r="GP65" s="17"/>
      <c r="GQ65" s="17"/>
      <c r="GR65" s="17"/>
      <c r="GS65" s="17"/>
      <c r="GT65" s="17"/>
      <c r="GU65" s="17"/>
      <c r="GV65" s="17"/>
      <c r="GW65" s="17"/>
      <c r="GX65" s="17"/>
      <c r="GY65" s="17"/>
      <c r="GZ65" s="17"/>
      <c r="HA65" s="17"/>
      <c r="HB65" s="17"/>
      <c r="HC65" s="17"/>
      <c r="HD65" s="17"/>
      <c r="HE65" s="17"/>
      <c r="HF65" s="17"/>
      <c r="HG65" s="17"/>
      <c r="HH65" s="17"/>
      <c r="HI65" s="17"/>
      <c r="HJ65" s="17"/>
      <c r="HK65" s="17"/>
      <c r="HL65" s="17"/>
      <c r="HM65" s="17"/>
      <c r="HN65" s="17"/>
      <c r="HO65" s="17"/>
      <c r="HP65" s="17"/>
      <c r="HQ65" s="17"/>
      <c r="HR65" s="17"/>
      <c r="HS65" s="17"/>
      <c r="HT65" s="17"/>
      <c r="HU65" s="17"/>
      <c r="HV65" s="17"/>
      <c r="HW65" s="17"/>
      <c r="HX65" s="17"/>
      <c r="HY65" s="17"/>
      <c r="HZ65" s="17"/>
    </row>
    <row r="66" spans="3:234" ht="15.75" thickBot="1" x14ac:dyDescent="0.3">
      <c r="K66" s="87" t="s">
        <v>89</v>
      </c>
      <c r="L66" s="88" t="s">
        <v>117</v>
      </c>
      <c r="M66" s="307"/>
      <c r="N66" s="300"/>
      <c r="O66" s="61">
        <v>0.20780605666360774</v>
      </c>
      <c r="P66" s="61">
        <v>0</v>
      </c>
      <c r="Q66" s="299"/>
      <c r="R66" s="299"/>
      <c r="S66" s="299"/>
      <c r="T66" s="299"/>
      <c r="U66" s="299"/>
      <c r="V66" s="299"/>
      <c r="W66" s="299"/>
      <c r="X66" s="300"/>
      <c r="Y66" s="300"/>
      <c r="Z66" s="61">
        <v>0</v>
      </c>
      <c r="AA66" s="301"/>
      <c r="AB66" s="301"/>
      <c r="AC66" s="302">
        <v>9.2919953070730778E-3</v>
      </c>
      <c r="AD66" s="302">
        <v>6.9279217535748713E-2</v>
      </c>
      <c r="AE66" s="302">
        <v>0.67222135746396083</v>
      </c>
      <c r="AF66" s="302">
        <v>2.1192049903005099E-2</v>
      </c>
      <c r="AG66" s="301"/>
      <c r="AH66" s="301"/>
      <c r="AI66" s="302">
        <v>0.20780605666360774</v>
      </c>
      <c r="AJ66" s="302">
        <v>0</v>
      </c>
      <c r="AK66" s="301"/>
      <c r="AL66" s="301"/>
      <c r="AM66" s="301"/>
      <c r="AN66" s="301"/>
      <c r="AO66" s="301"/>
      <c r="AP66" s="301"/>
      <c r="AQ66" s="301"/>
      <c r="AR66" s="301"/>
      <c r="AS66" s="301"/>
      <c r="AT66" s="302">
        <v>0</v>
      </c>
      <c r="AU66" s="301"/>
      <c r="AV66" s="301"/>
      <c r="AW66" s="302">
        <v>9.2919953070730778E-3</v>
      </c>
      <c r="AX66" s="302">
        <v>6.9279217535748713E-2</v>
      </c>
      <c r="AY66" s="302">
        <v>0.67222135746396083</v>
      </c>
      <c r="AZ66" s="302">
        <v>2.1192049903005099E-2</v>
      </c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3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17"/>
      <c r="DU66" s="17"/>
      <c r="DV66" s="17"/>
      <c r="DW66" s="17"/>
      <c r="DX66" s="17"/>
      <c r="DY66" s="17"/>
      <c r="DZ66" s="17"/>
      <c r="EA66" s="17"/>
      <c r="EB66" s="17"/>
      <c r="EC66" s="17"/>
      <c r="ED66" s="17"/>
      <c r="EE66" s="17"/>
      <c r="EF66" s="17"/>
      <c r="EG66" s="17"/>
      <c r="EH66" s="17"/>
      <c r="EI66" s="17"/>
      <c r="EJ66" s="17"/>
      <c r="EK66" s="17"/>
      <c r="EL66" s="17"/>
      <c r="EM66" s="17"/>
      <c r="EN66" s="17"/>
      <c r="EO66" s="17"/>
      <c r="EP66" s="17"/>
      <c r="EQ66" s="17"/>
      <c r="ER66" s="17"/>
      <c r="ES66" s="17"/>
      <c r="ET66" s="17"/>
      <c r="EU66" s="17"/>
      <c r="EV66" s="17"/>
      <c r="EW66" s="17"/>
      <c r="EX66" s="17"/>
      <c r="EY66" s="17"/>
      <c r="EZ66" s="17"/>
      <c r="FA66" s="17"/>
      <c r="FB66" s="17"/>
      <c r="FC66" s="17"/>
      <c r="FD66" s="17"/>
      <c r="FE66" s="17"/>
      <c r="FF66" s="17"/>
      <c r="FG66" s="17"/>
      <c r="FH66" s="17"/>
      <c r="FI66" s="17"/>
      <c r="FJ66" s="17"/>
      <c r="FK66" s="17"/>
      <c r="FL66" s="17"/>
      <c r="FM66" s="17"/>
      <c r="FN66" s="17"/>
      <c r="FO66" s="17"/>
      <c r="FP66" s="17"/>
      <c r="FQ66" s="17"/>
      <c r="FR66" s="17"/>
      <c r="FS66" s="17"/>
      <c r="FT66" s="17"/>
      <c r="FU66" s="17"/>
      <c r="FV66" s="17"/>
      <c r="FW66" s="17"/>
      <c r="FX66" s="17"/>
      <c r="FY66" s="17"/>
      <c r="FZ66" s="17"/>
      <c r="GA66" s="17"/>
      <c r="GB66" s="17"/>
      <c r="GC66" s="17"/>
      <c r="GD66" s="17"/>
      <c r="GE66" s="17"/>
      <c r="GF66" s="17"/>
      <c r="GG66" s="17"/>
      <c r="GH66" s="17"/>
      <c r="GI66" s="17"/>
      <c r="GJ66" s="17"/>
      <c r="GK66" s="17"/>
      <c r="GL66" s="17"/>
      <c r="GM66" s="17"/>
      <c r="GN66" s="17"/>
      <c r="GO66" s="17"/>
      <c r="GP66" s="17"/>
      <c r="GQ66" s="17"/>
      <c r="GR66" s="17"/>
      <c r="GS66" s="17"/>
      <c r="GT66" s="17"/>
      <c r="GU66" s="17"/>
      <c r="GV66" s="17"/>
      <c r="GW66" s="17"/>
      <c r="GX66" s="17"/>
      <c r="GY66" s="17"/>
      <c r="GZ66" s="17"/>
      <c r="HA66" s="17"/>
      <c r="HB66" s="17"/>
      <c r="HC66" s="17"/>
      <c r="HD66" s="17"/>
      <c r="HE66" s="17"/>
      <c r="HF66" s="17"/>
      <c r="HG66" s="17"/>
      <c r="HH66" s="17"/>
      <c r="HI66" s="17"/>
      <c r="HJ66" s="17"/>
      <c r="HK66" s="17"/>
      <c r="HL66" s="17"/>
      <c r="HM66" s="17"/>
      <c r="HN66" s="17"/>
      <c r="HO66" s="17"/>
      <c r="HP66" s="17"/>
      <c r="HQ66" s="17"/>
      <c r="HR66" s="17"/>
      <c r="HS66" s="17"/>
      <c r="HT66" s="17"/>
      <c r="HU66" s="17"/>
      <c r="HV66" s="17"/>
      <c r="HW66" s="17"/>
      <c r="HX66" s="17"/>
      <c r="HY66" s="17"/>
      <c r="HZ66" s="17"/>
    </row>
    <row r="67" spans="3:234" ht="15.75" thickBot="1" x14ac:dyDescent="0.3">
      <c r="C67" s="39" t="s">
        <v>52</v>
      </c>
      <c r="D67" s="74" t="s">
        <v>112</v>
      </c>
      <c r="E67" s="74"/>
      <c r="F67" s="74"/>
      <c r="G67" s="75" t="s">
        <v>113</v>
      </c>
      <c r="K67" s="486" t="s">
        <v>90</v>
      </c>
      <c r="L67" s="487"/>
      <c r="M67" s="100">
        <v>0.16734845875000001</v>
      </c>
      <c r="N67" s="303"/>
      <c r="O67" s="303"/>
      <c r="P67" s="303"/>
      <c r="Q67" s="299"/>
      <c r="R67" s="299"/>
      <c r="S67" s="299"/>
      <c r="T67" s="299"/>
      <c r="U67" s="299"/>
      <c r="V67" s="299"/>
      <c r="W67" s="303"/>
      <c r="X67" s="303"/>
      <c r="Y67" s="303"/>
      <c r="Z67" s="303"/>
      <c r="AA67" s="299"/>
      <c r="AB67" s="299"/>
      <c r="AC67" s="299"/>
      <c r="AD67" s="299"/>
      <c r="AE67" s="299"/>
      <c r="AF67" s="299"/>
      <c r="AG67" s="63">
        <v>0.2</v>
      </c>
      <c r="AH67" s="299"/>
      <c r="AI67" s="299"/>
      <c r="AJ67" s="299"/>
      <c r="AK67" s="299"/>
      <c r="AL67" s="299"/>
      <c r="AM67" s="299"/>
      <c r="AN67" s="299"/>
      <c r="AO67" s="299"/>
      <c r="AP67" s="289"/>
      <c r="AQ67" s="290"/>
      <c r="AR67" s="290"/>
      <c r="AS67" s="290"/>
      <c r="AT67" s="290"/>
      <c r="AU67" s="290"/>
      <c r="AV67" s="290"/>
      <c r="AW67" s="290"/>
      <c r="AX67" s="290"/>
      <c r="AY67" s="290"/>
      <c r="AZ67" s="290"/>
      <c r="BA67" s="290"/>
      <c r="BB67" s="290"/>
      <c r="BC67" s="290"/>
      <c r="BD67" s="290"/>
      <c r="BE67" s="290"/>
      <c r="BF67" s="290"/>
      <c r="BG67" s="290"/>
      <c r="BH67" s="290"/>
      <c r="BI67" s="290"/>
      <c r="BJ67" s="290"/>
      <c r="BK67" s="290"/>
      <c r="BL67" s="290"/>
      <c r="BM67" s="290"/>
      <c r="BN67" s="290"/>
      <c r="BO67" s="290"/>
      <c r="BP67" s="290"/>
      <c r="BQ67" s="290"/>
      <c r="BR67" s="290"/>
      <c r="BS67" s="290"/>
      <c r="BT67" s="290"/>
      <c r="BU67" s="352">
        <v>93807.565445468761</v>
      </c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/>
      <c r="CX67" s="72"/>
      <c r="CY67" s="72"/>
      <c r="CZ67" s="72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17"/>
      <c r="DU67" s="17"/>
      <c r="DV67" s="17"/>
      <c r="DW67" s="17"/>
      <c r="DX67" s="17"/>
      <c r="DY67" s="17"/>
      <c r="DZ67" s="17"/>
      <c r="EA67" s="17"/>
      <c r="EB67" s="17"/>
      <c r="EC67" s="17"/>
      <c r="ED67" s="17"/>
      <c r="EE67" s="17"/>
      <c r="EF67" s="17"/>
      <c r="EG67" s="17"/>
      <c r="EH67" s="17"/>
      <c r="EI67" s="17"/>
      <c r="EJ67" s="17"/>
      <c r="EK67" s="17"/>
      <c r="EL67" s="17"/>
      <c r="EM67" s="17"/>
      <c r="EN67" s="17"/>
      <c r="EO67" s="17"/>
      <c r="EP67" s="17"/>
      <c r="EQ67" s="17"/>
      <c r="ER67" s="17"/>
      <c r="ES67" s="17"/>
      <c r="ET67" s="17"/>
      <c r="EU67" s="17"/>
      <c r="EV67" s="17"/>
      <c r="EW67" s="17"/>
      <c r="EX67" s="17"/>
      <c r="EY67" s="17"/>
      <c r="EZ67" s="17"/>
      <c r="FA67" s="17"/>
      <c r="FB67" s="17"/>
      <c r="FC67" s="17"/>
      <c r="FD67" s="17"/>
      <c r="FE67" s="17"/>
      <c r="FF67" s="17"/>
      <c r="FG67" s="17"/>
      <c r="FH67" s="17"/>
      <c r="FI67" s="17"/>
      <c r="FJ67" s="17"/>
      <c r="FK67" s="17"/>
      <c r="FL67" s="17"/>
      <c r="FM67" s="17"/>
      <c r="FN67" s="17"/>
      <c r="FO67" s="17"/>
      <c r="FP67" s="17"/>
      <c r="FQ67" s="17"/>
      <c r="FR67" s="17"/>
      <c r="FS67" s="17"/>
      <c r="FT67" s="17"/>
      <c r="FU67" s="17"/>
      <c r="FV67" s="17"/>
      <c r="FW67" s="17"/>
      <c r="FX67" s="17"/>
      <c r="FY67" s="17"/>
      <c r="FZ67" s="17"/>
      <c r="GA67" s="17"/>
      <c r="GB67" s="17"/>
      <c r="GC67" s="17"/>
      <c r="GD67" s="17"/>
      <c r="GE67" s="17"/>
      <c r="GF67" s="17"/>
      <c r="GG67" s="17"/>
      <c r="GH67" s="17"/>
      <c r="GI67" s="17"/>
      <c r="GJ67" s="17"/>
      <c r="GK67" s="17"/>
      <c r="GL67" s="17"/>
      <c r="GM67" s="17"/>
      <c r="GN67" s="17"/>
      <c r="GO67" s="17"/>
      <c r="GP67" s="17"/>
      <c r="GQ67" s="17"/>
      <c r="GR67" s="17"/>
      <c r="GS67" s="17"/>
      <c r="GT67" s="17"/>
      <c r="GU67" s="17"/>
      <c r="GV67" s="17"/>
      <c r="GW67" s="17"/>
      <c r="GX67" s="17"/>
      <c r="GY67" s="17"/>
      <c r="GZ67" s="17"/>
      <c r="HA67" s="17"/>
      <c r="HB67" s="17"/>
      <c r="HC67" s="17"/>
      <c r="HD67" s="17"/>
      <c r="HE67" s="17"/>
      <c r="HF67" s="17"/>
      <c r="HG67" s="17"/>
      <c r="HH67" s="17"/>
      <c r="HI67" s="17"/>
      <c r="HJ67" s="17"/>
      <c r="HK67" s="17"/>
      <c r="HL67" s="17"/>
      <c r="HM67" s="17"/>
      <c r="HN67" s="17"/>
      <c r="HO67" s="17"/>
      <c r="HP67" s="17"/>
      <c r="HQ67" s="17"/>
      <c r="HR67" s="17"/>
      <c r="HS67" s="17"/>
      <c r="HT67" s="17"/>
      <c r="HU67" s="17"/>
      <c r="HV67" s="17"/>
      <c r="HW67" s="17"/>
      <c r="HX67" s="17"/>
      <c r="HY67" s="17"/>
      <c r="HZ67" s="17"/>
    </row>
    <row r="68" spans="3:234" ht="15" x14ac:dyDescent="0.25">
      <c r="C68" s="76" t="s">
        <v>12</v>
      </c>
      <c r="D68" s="17" t="s">
        <v>152</v>
      </c>
      <c r="E68" s="17"/>
      <c r="F68" s="17"/>
      <c r="G68" s="77">
        <v>325</v>
      </c>
      <c r="K68" s="488" t="s">
        <v>94</v>
      </c>
      <c r="L68" s="89" t="s">
        <v>95</v>
      </c>
      <c r="M68" s="82">
        <v>16660625</v>
      </c>
      <c r="N68" s="299"/>
      <c r="O68" s="299"/>
      <c r="P68" s="299"/>
      <c r="Q68" s="299"/>
      <c r="R68" s="299"/>
      <c r="S68" s="299"/>
      <c r="T68" s="299"/>
      <c r="U68" s="299"/>
      <c r="V68" s="299"/>
      <c r="W68" s="308"/>
      <c r="X68" s="299"/>
      <c r="Y68" s="299"/>
      <c r="Z68" s="299"/>
      <c r="AA68" s="299"/>
      <c r="AB68" s="299"/>
      <c r="AC68" s="299"/>
      <c r="AD68" s="299"/>
      <c r="AE68" s="299"/>
      <c r="AF68" s="299"/>
      <c r="AG68" s="305">
        <v>22543575.833333336</v>
      </c>
      <c r="AH68" s="304"/>
      <c r="AI68" s="304"/>
      <c r="AJ68" s="304"/>
      <c r="AK68" s="304"/>
      <c r="AL68" s="304"/>
      <c r="AM68" s="304"/>
      <c r="AN68" s="304"/>
      <c r="AO68" s="304"/>
      <c r="AP68" s="304"/>
      <c r="AQ68" s="290"/>
      <c r="AR68" s="290"/>
      <c r="AS68" s="290"/>
      <c r="AT68" s="290"/>
      <c r="AU68" s="290"/>
      <c r="AV68" s="290"/>
      <c r="AW68" s="290"/>
      <c r="AX68" s="290"/>
      <c r="AY68" s="290"/>
      <c r="AZ68" s="290"/>
      <c r="BA68" s="290"/>
      <c r="BB68" s="290"/>
      <c r="BC68" s="290"/>
      <c r="BD68" s="290"/>
      <c r="BE68" s="290"/>
      <c r="BF68" s="290"/>
      <c r="BG68" s="290"/>
      <c r="BH68" s="290"/>
      <c r="BI68" s="290"/>
      <c r="BJ68" s="290"/>
      <c r="BK68" s="290"/>
      <c r="BL68" s="290"/>
      <c r="BM68" s="290"/>
      <c r="BN68" s="290"/>
      <c r="BO68" s="290"/>
      <c r="BP68" s="290"/>
      <c r="BQ68" s="290"/>
      <c r="BR68" s="290"/>
      <c r="BS68" s="290"/>
      <c r="BT68" s="290"/>
      <c r="BU68" s="35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17"/>
      <c r="DU68" s="17"/>
      <c r="DV68" s="17"/>
      <c r="DW68" s="17"/>
      <c r="DX68" s="17"/>
      <c r="DY68" s="17"/>
      <c r="DZ68" s="17"/>
      <c r="EA68" s="17"/>
      <c r="EB68" s="17"/>
      <c r="EC68" s="17"/>
      <c r="ED68" s="17"/>
      <c r="EE68" s="17"/>
      <c r="EF68" s="17"/>
      <c r="EG68" s="17"/>
      <c r="EH68" s="17"/>
      <c r="EI68" s="17"/>
      <c r="EJ68" s="17"/>
      <c r="EK68" s="17"/>
      <c r="EL68" s="17"/>
      <c r="EM68" s="17"/>
      <c r="EN68" s="17"/>
      <c r="EO68" s="17"/>
      <c r="EP68" s="17"/>
      <c r="EQ68" s="17"/>
      <c r="ER68" s="17"/>
      <c r="ES68" s="17"/>
      <c r="ET68" s="17"/>
      <c r="EU68" s="17"/>
      <c r="EV68" s="17"/>
      <c r="EW68" s="17"/>
      <c r="EX68" s="17"/>
      <c r="EY68" s="17"/>
      <c r="EZ68" s="17"/>
      <c r="FA68" s="17"/>
      <c r="FB68" s="17"/>
      <c r="FC68" s="17"/>
      <c r="FD68" s="17"/>
      <c r="FE68" s="17"/>
      <c r="FF68" s="17"/>
      <c r="FG68" s="17"/>
      <c r="FH68" s="17"/>
      <c r="FI68" s="17"/>
      <c r="FJ68" s="17"/>
      <c r="FK68" s="17"/>
      <c r="FL68" s="17"/>
      <c r="FM68" s="17"/>
      <c r="FN68" s="17"/>
      <c r="FO68" s="17"/>
      <c r="FP68" s="17"/>
      <c r="FQ68" s="17"/>
      <c r="FR68" s="17"/>
      <c r="FS68" s="17"/>
      <c r="FT68" s="17"/>
      <c r="FU68" s="17"/>
      <c r="FV68" s="17"/>
      <c r="FW68" s="17"/>
      <c r="FX68" s="17"/>
      <c r="FY68" s="17"/>
      <c r="FZ68" s="17"/>
      <c r="GA68" s="17"/>
      <c r="GB68" s="17"/>
      <c r="GC68" s="17"/>
      <c r="GD68" s="17"/>
      <c r="GE68" s="17"/>
      <c r="GF68" s="17"/>
      <c r="GG68" s="17"/>
      <c r="GH68" s="17"/>
      <c r="GI68" s="17"/>
      <c r="GJ68" s="17"/>
      <c r="GK68" s="17"/>
      <c r="GL68" s="17"/>
      <c r="GM68" s="17"/>
      <c r="GN68" s="17"/>
      <c r="GO68" s="17"/>
      <c r="GP68" s="17"/>
      <c r="GQ68" s="17"/>
      <c r="GR68" s="17"/>
      <c r="GS68" s="17"/>
      <c r="GT68" s="17"/>
      <c r="GU68" s="17"/>
      <c r="GV68" s="17"/>
      <c r="GW68" s="17"/>
      <c r="GX68" s="17"/>
      <c r="GY68" s="17"/>
      <c r="GZ68" s="17"/>
      <c r="HA68" s="17"/>
      <c r="HB68" s="17"/>
      <c r="HC68" s="17"/>
      <c r="HD68" s="17"/>
      <c r="HE68" s="17"/>
      <c r="HF68" s="17"/>
      <c r="HG68" s="17"/>
      <c r="HH68" s="17"/>
      <c r="HI68" s="17"/>
      <c r="HJ68" s="17"/>
      <c r="HK68" s="17"/>
      <c r="HL68" s="17"/>
      <c r="HM68" s="17"/>
      <c r="HN68" s="17"/>
      <c r="HO68" s="17"/>
      <c r="HP68" s="17"/>
      <c r="HQ68" s="17"/>
      <c r="HR68" s="17"/>
      <c r="HS68" s="17"/>
      <c r="HT68" s="17"/>
      <c r="HU68" s="17"/>
      <c r="HV68" s="17"/>
      <c r="HW68" s="17"/>
      <c r="HX68" s="17"/>
      <c r="HY68" s="17"/>
      <c r="HZ68" s="17"/>
    </row>
    <row r="69" spans="3:234" ht="15" customHeight="1" x14ac:dyDescent="0.25">
      <c r="C69" s="76" t="s">
        <v>30</v>
      </c>
      <c r="D69" s="17" t="s">
        <v>153</v>
      </c>
      <c r="E69" s="17"/>
      <c r="F69" s="17"/>
      <c r="G69" s="78">
        <v>750</v>
      </c>
      <c r="K69" s="489"/>
      <c r="L69" s="65" t="s">
        <v>96</v>
      </c>
      <c r="M69" s="93">
        <v>1248.56</v>
      </c>
      <c r="N69" s="299"/>
      <c r="O69" s="299"/>
      <c r="P69" s="299"/>
      <c r="Q69" s="299"/>
      <c r="R69" s="299"/>
      <c r="S69" s="299"/>
      <c r="T69" s="299"/>
      <c r="U69" s="299"/>
      <c r="V69" s="299"/>
      <c r="W69" s="304"/>
      <c r="X69" s="299"/>
      <c r="Y69" s="299"/>
      <c r="Z69" s="299"/>
      <c r="AA69" s="299"/>
      <c r="AB69" s="299"/>
      <c r="AC69" s="299"/>
      <c r="AD69" s="299"/>
      <c r="AE69" s="299"/>
      <c r="AF69" s="299"/>
      <c r="AG69" s="297">
        <v>1800</v>
      </c>
      <c r="AH69" s="304"/>
      <c r="AI69" s="304"/>
      <c r="AJ69" s="304"/>
      <c r="AK69" s="304"/>
      <c r="AL69" s="304"/>
      <c r="AM69" s="304"/>
      <c r="AN69" s="304"/>
      <c r="AO69" s="304"/>
      <c r="AP69" s="289"/>
      <c r="AQ69" s="290"/>
      <c r="AR69" s="290"/>
      <c r="AS69" s="290"/>
      <c r="AT69" s="290"/>
      <c r="AU69" s="290"/>
      <c r="AV69" s="290"/>
      <c r="AW69" s="290"/>
      <c r="AX69" s="290"/>
      <c r="AY69" s="290"/>
      <c r="AZ69" s="290"/>
      <c r="BA69" s="290"/>
      <c r="BB69" s="290"/>
      <c r="BC69" s="290"/>
      <c r="BD69" s="290"/>
      <c r="BE69" s="290"/>
      <c r="BF69" s="290"/>
      <c r="BG69" s="290"/>
      <c r="BH69" s="290"/>
      <c r="BI69" s="290"/>
      <c r="BJ69" s="290"/>
      <c r="BK69" s="290"/>
      <c r="BL69" s="290"/>
      <c r="BM69" s="290"/>
      <c r="BN69" s="290"/>
      <c r="BO69" s="290"/>
      <c r="BP69" s="290"/>
      <c r="BQ69" s="290"/>
      <c r="BR69" s="290"/>
      <c r="BS69" s="290"/>
      <c r="BT69" s="290"/>
      <c r="BU69" s="35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17"/>
      <c r="DU69" s="17"/>
      <c r="DV69" s="17"/>
      <c r="DW69" s="17"/>
      <c r="DX69" s="17"/>
      <c r="DY69" s="17"/>
      <c r="DZ69" s="17"/>
      <c r="EA69" s="17"/>
      <c r="EB69" s="17"/>
      <c r="EC69" s="17"/>
      <c r="ED69" s="17"/>
      <c r="EE69" s="17"/>
      <c r="EF69" s="17"/>
      <c r="EG69" s="17"/>
      <c r="EH69" s="17"/>
      <c r="EI69" s="17"/>
      <c r="EJ69" s="17"/>
      <c r="EK69" s="17"/>
      <c r="EL69" s="17"/>
      <c r="EM69" s="17"/>
      <c r="EN69" s="17"/>
      <c r="EO69" s="17"/>
      <c r="EP69" s="17"/>
      <c r="EQ69" s="17"/>
      <c r="ER69" s="17"/>
      <c r="ES69" s="17"/>
      <c r="ET69" s="17"/>
      <c r="EU69" s="17"/>
      <c r="EV69" s="17"/>
      <c r="EW69" s="17"/>
      <c r="EX69" s="17"/>
      <c r="EY69" s="17"/>
      <c r="EZ69" s="17"/>
      <c r="FA69" s="17"/>
      <c r="FB69" s="17"/>
      <c r="FC69" s="17"/>
      <c r="FD69" s="17"/>
      <c r="FE69" s="17"/>
      <c r="FF69" s="17"/>
      <c r="FG69" s="17"/>
      <c r="FH69" s="17"/>
      <c r="FI69" s="17"/>
      <c r="FJ69" s="17"/>
      <c r="FK69" s="17"/>
      <c r="FL69" s="17"/>
      <c r="FM69" s="17"/>
      <c r="FN69" s="17"/>
      <c r="FO69" s="17"/>
      <c r="FP69" s="17"/>
      <c r="FQ69" s="17"/>
      <c r="FR69" s="17"/>
      <c r="FS69" s="17"/>
      <c r="FT69" s="17"/>
      <c r="FU69" s="17"/>
      <c r="FV69" s="17"/>
      <c r="FW69" s="17"/>
      <c r="FX69" s="17"/>
      <c r="FY69" s="17"/>
      <c r="FZ69" s="17"/>
      <c r="GA69" s="17"/>
      <c r="GB69" s="17"/>
      <c r="GC69" s="17"/>
      <c r="GD69" s="17"/>
      <c r="GE69" s="17"/>
      <c r="GF69" s="17"/>
      <c r="GG69" s="17"/>
      <c r="GH69" s="17"/>
      <c r="GI69" s="17"/>
      <c r="GJ69" s="17"/>
      <c r="GK69" s="17"/>
      <c r="GL69" s="17"/>
      <c r="GM69" s="17"/>
      <c r="GN69" s="17"/>
      <c r="GO69" s="17"/>
      <c r="GP69" s="17"/>
      <c r="GQ69" s="17"/>
      <c r="GR69" s="17"/>
      <c r="GS69" s="17"/>
      <c r="GT69" s="17"/>
      <c r="GU69" s="17"/>
      <c r="GV69" s="17"/>
      <c r="GW69" s="17"/>
      <c r="GX69" s="17"/>
      <c r="GY69" s="17"/>
      <c r="GZ69" s="17"/>
      <c r="HA69" s="17"/>
      <c r="HB69" s="17"/>
      <c r="HC69" s="17"/>
      <c r="HD69" s="17"/>
      <c r="HE69" s="17"/>
      <c r="HF69" s="17"/>
      <c r="HG69" s="17"/>
      <c r="HH69" s="17"/>
      <c r="HI69" s="17"/>
      <c r="HJ69" s="17"/>
      <c r="HK69" s="17"/>
      <c r="HL69" s="17"/>
      <c r="HM69" s="17"/>
      <c r="HN69" s="17"/>
      <c r="HO69" s="17"/>
      <c r="HP69" s="17"/>
      <c r="HQ69" s="17"/>
      <c r="HR69" s="17"/>
      <c r="HS69" s="17"/>
      <c r="HT69" s="17"/>
      <c r="HU69" s="17"/>
      <c r="HV69" s="17"/>
      <c r="HW69" s="17"/>
      <c r="HX69" s="17"/>
      <c r="HY69" s="17"/>
      <c r="HZ69" s="17"/>
    </row>
    <row r="70" spans="3:234" ht="15" x14ac:dyDescent="0.25">
      <c r="C70" s="79" t="s">
        <v>38</v>
      </c>
      <c r="D70" s="80" t="s">
        <v>154</v>
      </c>
      <c r="E70" s="80"/>
      <c r="F70" s="80"/>
      <c r="G70" s="81">
        <v>800</v>
      </c>
      <c r="K70" s="489"/>
      <c r="L70" s="71" t="s">
        <v>97</v>
      </c>
      <c r="M70" s="93">
        <v>453</v>
      </c>
      <c r="N70" s="299"/>
      <c r="O70" s="299"/>
      <c r="P70" s="299"/>
      <c r="Q70" s="299"/>
      <c r="R70" s="299"/>
      <c r="S70" s="299"/>
      <c r="T70" s="299"/>
      <c r="U70" s="299"/>
      <c r="V70" s="299"/>
      <c r="W70" s="304"/>
      <c r="X70" s="299"/>
      <c r="Y70" s="299"/>
      <c r="Z70" s="299"/>
      <c r="AA70" s="299"/>
      <c r="AB70" s="299"/>
      <c r="AC70" s="299"/>
      <c r="AD70" s="299"/>
      <c r="AE70" s="299"/>
      <c r="AF70" s="299"/>
      <c r="AG70" s="297">
        <v>407.7</v>
      </c>
      <c r="AH70" s="304"/>
      <c r="AI70" s="304"/>
      <c r="AJ70" s="304"/>
      <c r="AK70" s="304"/>
      <c r="AL70" s="304"/>
      <c r="AM70" s="304"/>
      <c r="AN70" s="304"/>
      <c r="AO70" s="304"/>
      <c r="AP70" s="289"/>
      <c r="AQ70" s="290"/>
      <c r="AR70" s="290"/>
      <c r="AS70" s="290"/>
      <c r="AT70" s="290"/>
      <c r="AU70" s="290"/>
      <c r="AV70" s="290"/>
      <c r="AW70" s="290"/>
      <c r="AX70" s="290"/>
      <c r="AY70" s="290"/>
      <c r="AZ70" s="290"/>
      <c r="BA70" s="290"/>
      <c r="BB70" s="290"/>
      <c r="BC70" s="290"/>
      <c r="BD70" s="290"/>
      <c r="BE70" s="290"/>
      <c r="BF70" s="290"/>
      <c r="BG70" s="290"/>
      <c r="BH70" s="290"/>
      <c r="BI70" s="290"/>
      <c r="BJ70" s="290"/>
      <c r="BK70" s="290"/>
      <c r="BL70" s="290"/>
      <c r="BM70" s="290"/>
      <c r="BN70" s="290"/>
      <c r="BO70" s="290"/>
      <c r="BP70" s="290"/>
      <c r="BQ70" s="290"/>
      <c r="BR70" s="290"/>
      <c r="BS70" s="290"/>
      <c r="BT70" s="290"/>
      <c r="BU70" s="352">
        <v>-679.5</v>
      </c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  <c r="DA70" s="17"/>
      <c r="DB70" s="17"/>
      <c r="DC70" s="17"/>
      <c r="DD70" s="17"/>
      <c r="DE70" s="17"/>
      <c r="DF70" s="17"/>
      <c r="DG70" s="17"/>
      <c r="DH70" s="17"/>
      <c r="DI70" s="17"/>
      <c r="DJ70" s="17"/>
      <c r="DK70" s="17"/>
      <c r="DL70" s="17"/>
      <c r="DM70" s="17"/>
      <c r="DN70" s="17"/>
      <c r="DO70" s="17"/>
      <c r="DP70" s="17"/>
      <c r="DQ70" s="17"/>
      <c r="DR70" s="17"/>
      <c r="DS70" s="17"/>
      <c r="DT70" s="17"/>
      <c r="DU70" s="17"/>
      <c r="DV70" s="17"/>
      <c r="DW70" s="17"/>
      <c r="DX70" s="17"/>
      <c r="DY70" s="17"/>
      <c r="DZ70" s="17"/>
      <c r="EA70" s="17"/>
      <c r="EB70" s="17"/>
      <c r="EC70" s="17"/>
      <c r="ED70" s="17"/>
      <c r="EE70" s="17"/>
      <c r="EF70" s="17"/>
      <c r="EG70" s="17"/>
      <c r="EH70" s="17"/>
      <c r="EI70" s="17"/>
      <c r="EJ70" s="17"/>
      <c r="EK70" s="17"/>
      <c r="EL70" s="17"/>
      <c r="EM70" s="17"/>
      <c r="EN70" s="17"/>
      <c r="EO70" s="17"/>
      <c r="EP70" s="17"/>
      <c r="EQ70" s="17"/>
      <c r="ER70" s="17"/>
      <c r="ES70" s="17"/>
      <c r="ET70" s="17"/>
      <c r="EU70" s="17"/>
      <c r="EV70" s="17"/>
      <c r="EW70" s="17"/>
      <c r="EX70" s="17"/>
      <c r="EY70" s="17"/>
      <c r="EZ70" s="17"/>
      <c r="FA70" s="17"/>
      <c r="FB70" s="17"/>
      <c r="FC70" s="17"/>
      <c r="FD70" s="17"/>
      <c r="FE70" s="17"/>
      <c r="FF70" s="17"/>
      <c r="FG70" s="17"/>
      <c r="FH70" s="17"/>
      <c r="FI70" s="17"/>
      <c r="FJ70" s="17"/>
      <c r="FK70" s="17"/>
      <c r="FL70" s="17"/>
      <c r="FM70" s="17"/>
      <c r="FN70" s="17"/>
      <c r="FO70" s="17"/>
      <c r="FP70" s="17"/>
      <c r="FQ70" s="17"/>
      <c r="FR70" s="17"/>
      <c r="FS70" s="17"/>
      <c r="FT70" s="17"/>
      <c r="FU70" s="17"/>
      <c r="FV70" s="17"/>
      <c r="FW70" s="17"/>
      <c r="FX70" s="17"/>
      <c r="FY70" s="17"/>
      <c r="FZ70" s="17"/>
      <c r="GA70" s="17"/>
      <c r="GB70" s="17"/>
      <c r="GC70" s="17"/>
      <c r="GD70" s="17"/>
      <c r="GE70" s="17"/>
      <c r="GF70" s="17"/>
      <c r="GG70" s="17"/>
      <c r="GH70" s="17"/>
      <c r="GI70" s="17"/>
      <c r="GJ70" s="17"/>
      <c r="GK70" s="17"/>
      <c r="GL70" s="17"/>
      <c r="GM70" s="17"/>
      <c r="GN70" s="17"/>
      <c r="GO70" s="17"/>
      <c r="GP70" s="17"/>
      <c r="GQ70" s="17"/>
      <c r="GR70" s="17"/>
      <c r="GS70" s="17"/>
      <c r="GT70" s="17"/>
      <c r="GU70" s="17"/>
      <c r="GV70" s="17"/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</row>
    <row r="71" spans="3:234" ht="15" x14ac:dyDescent="0.25">
      <c r="K71" s="489"/>
      <c r="L71" s="71" t="s">
        <v>98</v>
      </c>
      <c r="M71" s="93">
        <v>193</v>
      </c>
      <c r="N71" s="299"/>
      <c r="O71" s="299"/>
      <c r="P71" s="299"/>
      <c r="Q71" s="299"/>
      <c r="R71" s="299"/>
      <c r="S71" s="299"/>
      <c r="T71" s="299"/>
      <c r="U71" s="299"/>
      <c r="V71" s="299"/>
      <c r="W71" s="304"/>
      <c r="X71" s="299"/>
      <c r="Y71" s="299"/>
      <c r="Z71" s="299"/>
      <c r="AA71" s="299"/>
      <c r="AB71" s="299"/>
      <c r="AC71" s="299"/>
      <c r="AD71" s="299"/>
      <c r="AE71" s="299"/>
      <c r="AF71" s="299"/>
      <c r="AG71" s="297">
        <v>173.70000000000002</v>
      </c>
      <c r="AH71" s="304"/>
      <c r="AI71" s="304"/>
      <c r="AJ71" s="304"/>
      <c r="AK71" s="304"/>
      <c r="AL71" s="304"/>
      <c r="AM71" s="304"/>
      <c r="AN71" s="304"/>
      <c r="AO71" s="304"/>
      <c r="AP71" s="289"/>
      <c r="AQ71" s="290"/>
      <c r="AR71" s="290"/>
      <c r="AS71" s="290"/>
      <c r="AT71" s="290"/>
      <c r="AU71" s="290"/>
      <c r="AV71" s="290"/>
      <c r="AW71" s="290"/>
      <c r="AX71" s="290"/>
      <c r="AY71" s="290"/>
      <c r="AZ71" s="290"/>
      <c r="BA71" s="290"/>
      <c r="BB71" s="290"/>
      <c r="BC71" s="290"/>
      <c r="BD71" s="290"/>
      <c r="BE71" s="290"/>
      <c r="BF71" s="290"/>
      <c r="BG71" s="290"/>
      <c r="BH71" s="290"/>
      <c r="BI71" s="290"/>
      <c r="BJ71" s="290"/>
      <c r="BK71" s="290"/>
      <c r="BL71" s="290"/>
      <c r="BM71" s="290"/>
      <c r="BN71" s="290"/>
      <c r="BO71" s="290"/>
      <c r="BP71" s="290"/>
      <c r="BQ71" s="290"/>
      <c r="BR71" s="290"/>
      <c r="BS71" s="290"/>
      <c r="BT71" s="290"/>
      <c r="BU71" s="352">
        <v>-501.79999999999927</v>
      </c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  <c r="DA71" s="17"/>
      <c r="DB71" s="17"/>
      <c r="DC71" s="17"/>
      <c r="DD71" s="17"/>
      <c r="DE71" s="17"/>
      <c r="DF71" s="17"/>
      <c r="DG71" s="17"/>
      <c r="DH71" s="17"/>
      <c r="DI71" s="17"/>
      <c r="DJ71" s="17"/>
      <c r="DK71" s="17"/>
      <c r="DL71" s="17"/>
      <c r="DM71" s="17"/>
      <c r="DN71" s="17"/>
      <c r="DO71" s="17"/>
      <c r="DP71" s="17"/>
      <c r="DQ71" s="17"/>
      <c r="DR71" s="17"/>
      <c r="DS71" s="17"/>
      <c r="DT71" s="17"/>
      <c r="DU71" s="17"/>
      <c r="DV71" s="17"/>
      <c r="DW71" s="17"/>
      <c r="DX71" s="17"/>
      <c r="DY71" s="17"/>
      <c r="DZ71" s="17"/>
      <c r="EA71" s="17"/>
      <c r="EB71" s="17"/>
      <c r="EC71" s="17"/>
      <c r="ED71" s="17"/>
      <c r="EE71" s="17"/>
      <c r="EF71" s="17"/>
      <c r="EG71" s="17"/>
      <c r="EH71" s="17"/>
      <c r="EI71" s="17"/>
      <c r="EJ71" s="17"/>
      <c r="EK71" s="17"/>
      <c r="EL71" s="17"/>
      <c r="EM71" s="17"/>
      <c r="EN71" s="17"/>
      <c r="EO71" s="17"/>
      <c r="EP71" s="17"/>
      <c r="EQ71" s="17"/>
      <c r="ER71" s="17"/>
      <c r="ES71" s="17"/>
      <c r="ET71" s="17"/>
      <c r="EU71" s="17"/>
      <c r="EV71" s="17"/>
      <c r="EW71" s="17"/>
      <c r="EX71" s="17"/>
      <c r="EY71" s="17"/>
      <c r="EZ71" s="17"/>
      <c r="FA71" s="17"/>
      <c r="FB71" s="17"/>
      <c r="FC71" s="17"/>
      <c r="FD71" s="17"/>
      <c r="FE71" s="17"/>
      <c r="FF71" s="17"/>
      <c r="FG71" s="17"/>
      <c r="FH71" s="17"/>
      <c r="FI71" s="17"/>
      <c r="FJ71" s="17"/>
      <c r="FK71" s="17"/>
      <c r="FL71" s="17"/>
      <c r="FM71" s="17"/>
      <c r="FN71" s="17"/>
      <c r="FO71" s="17"/>
      <c r="FP71" s="17"/>
      <c r="FQ71" s="17"/>
      <c r="FR71" s="17"/>
      <c r="FS71" s="17"/>
      <c r="FT71" s="17"/>
      <c r="FU71" s="17"/>
      <c r="FV71" s="17"/>
      <c r="FW71" s="17"/>
      <c r="FX71" s="17"/>
      <c r="FY71" s="17"/>
      <c r="FZ71" s="17"/>
      <c r="GA71" s="17"/>
      <c r="GB71" s="17"/>
      <c r="GC71" s="17"/>
      <c r="GD71" s="17"/>
      <c r="GE71" s="17"/>
      <c r="GF71" s="17"/>
      <c r="GG71" s="17"/>
      <c r="GH71" s="17"/>
      <c r="GI71" s="17"/>
      <c r="GJ71" s="17"/>
      <c r="GK71" s="17"/>
      <c r="GL71" s="17"/>
      <c r="GM71" s="17"/>
      <c r="GN71" s="17"/>
      <c r="GO71" s="17"/>
      <c r="GP71" s="17"/>
      <c r="GQ71" s="17"/>
      <c r="GR71" s="17"/>
      <c r="GS71" s="17"/>
      <c r="GT71" s="17"/>
      <c r="GU71" s="17"/>
      <c r="GV71" s="17"/>
      <c r="GW71" s="17"/>
      <c r="GX71" s="17"/>
      <c r="GY71" s="17"/>
      <c r="GZ71" s="17"/>
      <c r="HA71" s="17"/>
      <c r="HB71" s="17"/>
      <c r="HC71" s="17"/>
      <c r="HD71" s="17"/>
      <c r="HE71" s="17"/>
      <c r="HF71" s="17"/>
      <c r="HG71" s="17"/>
      <c r="HH71" s="17"/>
      <c r="HI71" s="17"/>
      <c r="HJ71" s="17"/>
      <c r="HK71" s="17"/>
      <c r="HL71" s="17"/>
      <c r="HM71" s="17"/>
      <c r="HN71" s="17"/>
      <c r="HO71" s="17"/>
      <c r="HP71" s="17"/>
      <c r="HQ71" s="17"/>
      <c r="HR71" s="17"/>
      <c r="HS71" s="17"/>
      <c r="HT71" s="17"/>
      <c r="HU71" s="17"/>
      <c r="HV71" s="17"/>
      <c r="HW71" s="17"/>
      <c r="HX71" s="17"/>
      <c r="HY71" s="17"/>
      <c r="HZ71" s="17"/>
    </row>
    <row r="72" spans="3:234" ht="15" x14ac:dyDescent="0.25">
      <c r="K72" s="489"/>
      <c r="L72" s="71" t="s">
        <v>114</v>
      </c>
      <c r="M72" s="93">
        <v>333</v>
      </c>
      <c r="N72" s="299"/>
      <c r="O72" s="299"/>
      <c r="P72" s="299"/>
      <c r="Q72" s="299"/>
      <c r="R72" s="299"/>
      <c r="S72" s="299"/>
      <c r="T72" s="299"/>
      <c r="U72" s="299"/>
      <c r="V72" s="299"/>
      <c r="W72" s="304"/>
      <c r="X72" s="299"/>
      <c r="Y72" s="299"/>
      <c r="Z72" s="299"/>
      <c r="AA72" s="299"/>
      <c r="AB72" s="299"/>
      <c r="AC72" s="299"/>
      <c r="AD72" s="299"/>
      <c r="AE72" s="299"/>
      <c r="AF72" s="299"/>
      <c r="AG72" s="297">
        <v>299.7</v>
      </c>
      <c r="AH72" s="304"/>
      <c r="AI72" s="304"/>
      <c r="AJ72" s="304"/>
      <c r="AK72" s="304"/>
      <c r="AL72" s="304"/>
      <c r="AM72" s="304"/>
      <c r="AN72" s="304"/>
      <c r="AO72" s="304"/>
      <c r="AP72" s="289"/>
      <c r="AQ72" s="290"/>
      <c r="AR72" s="290"/>
      <c r="AS72" s="290"/>
      <c r="AT72" s="290"/>
      <c r="AU72" s="290"/>
      <c r="AV72" s="290"/>
      <c r="AW72" s="290"/>
      <c r="AX72" s="290"/>
      <c r="AY72" s="290"/>
      <c r="AZ72" s="290"/>
      <c r="BA72" s="290"/>
      <c r="BB72" s="290"/>
      <c r="BC72" s="290"/>
      <c r="BD72" s="290"/>
      <c r="BE72" s="290"/>
      <c r="BF72" s="290"/>
      <c r="BG72" s="290"/>
      <c r="BH72" s="290"/>
      <c r="BI72" s="290"/>
      <c r="BJ72" s="290"/>
      <c r="BK72" s="290"/>
      <c r="BL72" s="290"/>
      <c r="BM72" s="290"/>
      <c r="BN72" s="290"/>
      <c r="BO72" s="290"/>
      <c r="BP72" s="290"/>
      <c r="BQ72" s="290"/>
      <c r="BR72" s="290"/>
      <c r="BS72" s="290"/>
      <c r="BT72" s="290"/>
      <c r="BU72" s="352">
        <v>-666</v>
      </c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  <c r="DA72" s="17"/>
      <c r="DB72" s="17"/>
      <c r="DC72" s="17"/>
      <c r="DD72" s="17"/>
      <c r="DE72" s="17"/>
      <c r="DF72" s="17"/>
      <c r="DG72" s="17"/>
      <c r="DH72" s="17"/>
      <c r="DI72" s="17"/>
      <c r="DJ72" s="17"/>
      <c r="DK72" s="17"/>
      <c r="DL72" s="17"/>
      <c r="DM72" s="17"/>
      <c r="DN72" s="17"/>
      <c r="DO72" s="17"/>
      <c r="DP72" s="17"/>
      <c r="DQ72" s="17"/>
      <c r="DR72" s="17"/>
      <c r="DS72" s="17"/>
      <c r="DT72" s="17"/>
      <c r="DU72" s="17"/>
      <c r="DV72" s="17"/>
      <c r="DW72" s="17"/>
      <c r="DX72" s="17"/>
      <c r="DY72" s="17"/>
      <c r="DZ72" s="17"/>
      <c r="EA72" s="17"/>
      <c r="EB72" s="17"/>
      <c r="EC72" s="17"/>
      <c r="ED72" s="17"/>
      <c r="EE72" s="17"/>
      <c r="EF72" s="17"/>
      <c r="EG72" s="17"/>
      <c r="EH72" s="17"/>
      <c r="EI72" s="17"/>
      <c r="EJ72" s="17"/>
      <c r="EK72" s="17"/>
      <c r="EL72" s="17"/>
      <c r="EM72" s="17"/>
      <c r="EN72" s="17"/>
      <c r="EO72" s="17"/>
      <c r="EP72" s="17"/>
      <c r="EQ72" s="17"/>
      <c r="ER72" s="17"/>
      <c r="ES72" s="17"/>
      <c r="ET72" s="17"/>
      <c r="EU72" s="17"/>
      <c r="EV72" s="17"/>
      <c r="EW72" s="17"/>
      <c r="EX72" s="17"/>
      <c r="EY72" s="17"/>
      <c r="EZ72" s="17"/>
      <c r="FA72" s="17"/>
      <c r="FB72" s="17"/>
      <c r="FC72" s="17"/>
      <c r="FD72" s="17"/>
      <c r="FE72" s="17"/>
      <c r="FF72" s="17"/>
      <c r="FG72" s="17"/>
      <c r="FH72" s="17"/>
      <c r="FI72" s="17"/>
      <c r="FJ72" s="17"/>
      <c r="FK72" s="17"/>
      <c r="FL72" s="17"/>
      <c r="FM72" s="17"/>
      <c r="FN72" s="17"/>
      <c r="FO72" s="17"/>
      <c r="FP72" s="17"/>
      <c r="FQ72" s="17"/>
      <c r="FR72" s="17"/>
      <c r="FS72" s="17"/>
      <c r="FT72" s="17"/>
      <c r="FU72" s="17"/>
      <c r="FV72" s="17"/>
      <c r="FW72" s="17"/>
      <c r="FX72" s="17"/>
      <c r="FY72" s="17"/>
      <c r="FZ72" s="17"/>
      <c r="GA72" s="17"/>
      <c r="GB72" s="17"/>
      <c r="GC72" s="17"/>
      <c r="GD72" s="17"/>
      <c r="GE72" s="17"/>
      <c r="GF72" s="17"/>
      <c r="GG72" s="17"/>
      <c r="GH72" s="17"/>
      <c r="GI72" s="17"/>
      <c r="GJ72" s="17"/>
      <c r="GK72" s="17"/>
      <c r="GL72" s="17"/>
      <c r="GM72" s="17"/>
      <c r="GN72" s="17"/>
      <c r="GO72" s="17"/>
      <c r="GP72" s="17"/>
      <c r="GQ72" s="17"/>
      <c r="GR72" s="17"/>
      <c r="GS72" s="17"/>
      <c r="GT72" s="17"/>
      <c r="GU72" s="17"/>
      <c r="GV72" s="17"/>
      <c r="GW72" s="17"/>
      <c r="GX72" s="17"/>
      <c r="GY72" s="17"/>
      <c r="GZ72" s="17"/>
      <c r="HA72" s="17"/>
      <c r="HB72" s="17"/>
      <c r="HC72" s="17"/>
      <c r="HD72" s="17"/>
      <c r="HE72" s="17"/>
      <c r="HF72" s="17"/>
      <c r="HG72" s="17"/>
      <c r="HH72" s="17"/>
      <c r="HI72" s="17"/>
      <c r="HJ72" s="17"/>
      <c r="HK72" s="17"/>
      <c r="HL72" s="17"/>
      <c r="HM72" s="17"/>
      <c r="HN72" s="17"/>
      <c r="HO72" s="17"/>
      <c r="HP72" s="17"/>
      <c r="HQ72" s="17"/>
      <c r="HR72" s="17"/>
      <c r="HS72" s="17"/>
      <c r="HT72" s="17"/>
      <c r="HU72" s="17"/>
      <c r="HV72" s="17"/>
      <c r="HW72" s="17"/>
      <c r="HX72" s="17"/>
      <c r="HY72" s="17"/>
      <c r="HZ72" s="17"/>
    </row>
    <row r="73" spans="3:234" ht="15" x14ac:dyDescent="0.25">
      <c r="K73" s="489"/>
      <c r="L73" s="71" t="s">
        <v>100</v>
      </c>
      <c r="M73" s="93">
        <v>171</v>
      </c>
      <c r="N73" s="299"/>
      <c r="O73" s="299"/>
      <c r="P73" s="299"/>
      <c r="Q73" s="299"/>
      <c r="R73" s="299"/>
      <c r="S73" s="299"/>
      <c r="T73" s="299"/>
      <c r="U73" s="299"/>
      <c r="V73" s="299"/>
      <c r="W73" s="304"/>
      <c r="X73" s="299"/>
      <c r="Y73" s="299"/>
      <c r="Z73" s="299"/>
      <c r="AA73" s="299"/>
      <c r="AB73" s="299"/>
      <c r="AC73" s="299"/>
      <c r="AD73" s="299"/>
      <c r="AE73" s="299"/>
      <c r="AF73" s="299"/>
      <c r="AG73" s="297">
        <v>153.9</v>
      </c>
      <c r="AH73" s="304"/>
      <c r="AI73" s="304"/>
      <c r="AJ73" s="304"/>
      <c r="AK73" s="304"/>
      <c r="AL73" s="304"/>
      <c r="AM73" s="304"/>
      <c r="AN73" s="304"/>
      <c r="AO73" s="304"/>
      <c r="AP73" s="289"/>
      <c r="AQ73" s="290"/>
      <c r="AR73" s="290"/>
      <c r="AS73" s="290"/>
      <c r="AT73" s="290"/>
      <c r="AU73" s="290"/>
      <c r="AV73" s="290"/>
      <c r="AW73" s="290"/>
      <c r="AX73" s="290"/>
      <c r="AY73" s="290"/>
      <c r="AZ73" s="290"/>
      <c r="BA73" s="290"/>
      <c r="BB73" s="290"/>
      <c r="BC73" s="290"/>
      <c r="BD73" s="290"/>
      <c r="BE73" s="290"/>
      <c r="BF73" s="290"/>
      <c r="BG73" s="290"/>
      <c r="BH73" s="290"/>
      <c r="BI73" s="290"/>
      <c r="BJ73" s="290"/>
      <c r="BK73" s="290"/>
      <c r="BL73" s="290"/>
      <c r="BM73" s="290"/>
      <c r="BN73" s="290"/>
      <c r="BO73" s="290"/>
      <c r="BP73" s="290"/>
      <c r="BQ73" s="290"/>
      <c r="BR73" s="290"/>
      <c r="BS73" s="290"/>
      <c r="BT73" s="290"/>
      <c r="BU73" s="352">
        <v>-786.59999999999945</v>
      </c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  <c r="DA73" s="17"/>
      <c r="DB73" s="17"/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/>
      <c r="DO73" s="17"/>
      <c r="DP73" s="17"/>
      <c r="DQ73" s="17"/>
      <c r="DR73" s="17"/>
      <c r="DS73" s="17"/>
      <c r="DT73" s="17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/>
      <c r="EL73" s="17"/>
      <c r="EM73" s="17"/>
      <c r="EN73" s="17"/>
      <c r="EO73" s="17"/>
      <c r="EP73" s="17"/>
      <c r="EQ73" s="17"/>
      <c r="ER73" s="17"/>
      <c r="ES73" s="17"/>
      <c r="ET73" s="17"/>
      <c r="EU73" s="17"/>
      <c r="EV73" s="17"/>
      <c r="EW73" s="17"/>
      <c r="EX73" s="17"/>
      <c r="EY73" s="17"/>
      <c r="EZ73" s="17"/>
      <c r="FA73" s="17"/>
      <c r="FB73" s="17"/>
      <c r="FC73" s="17"/>
      <c r="FD73" s="17"/>
      <c r="FE73" s="17"/>
      <c r="FF73" s="17"/>
      <c r="FG73" s="17"/>
      <c r="FH73" s="17"/>
      <c r="FI73" s="17"/>
      <c r="FJ73" s="17"/>
      <c r="FK73" s="17"/>
      <c r="FL73" s="17"/>
      <c r="FM73" s="17"/>
      <c r="FN73" s="17"/>
      <c r="FO73" s="17"/>
      <c r="FP73" s="17"/>
      <c r="FQ73" s="17"/>
      <c r="FR73" s="17"/>
      <c r="FS73" s="17"/>
      <c r="FT73" s="17"/>
      <c r="FU73" s="17"/>
      <c r="FV73" s="17"/>
      <c r="FW73" s="17"/>
      <c r="FX73" s="17"/>
      <c r="FY73" s="17"/>
      <c r="FZ73" s="17"/>
      <c r="GA73" s="17"/>
      <c r="GB73" s="17"/>
      <c r="GC73" s="17"/>
      <c r="GD73" s="17"/>
      <c r="GE73" s="17"/>
      <c r="GF73" s="17"/>
      <c r="GG73" s="17"/>
      <c r="GH73" s="17"/>
      <c r="GI73" s="17"/>
      <c r="GJ73" s="17"/>
      <c r="GK73" s="17"/>
      <c r="GL73" s="17"/>
      <c r="GM73" s="17"/>
      <c r="GN73" s="17"/>
      <c r="GO73" s="17"/>
      <c r="GP73" s="17"/>
      <c r="GQ73" s="17"/>
      <c r="GR73" s="17"/>
      <c r="GS73" s="17"/>
      <c r="GT73" s="17"/>
      <c r="GU73" s="17"/>
      <c r="GV73" s="17"/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</row>
    <row r="74" spans="3:234" ht="15" x14ac:dyDescent="0.25">
      <c r="K74" s="489"/>
      <c r="L74" s="71" t="s">
        <v>118</v>
      </c>
      <c r="M74" s="93">
        <v>93</v>
      </c>
      <c r="N74" s="299"/>
      <c r="O74" s="299"/>
      <c r="P74" s="299"/>
      <c r="Q74" s="299"/>
      <c r="R74" s="299"/>
      <c r="S74" s="299"/>
      <c r="T74" s="299"/>
      <c r="U74" s="299"/>
      <c r="V74" s="299"/>
      <c r="W74" s="304"/>
      <c r="X74" s="299"/>
      <c r="Y74" s="299"/>
      <c r="Z74" s="299"/>
      <c r="AA74" s="299"/>
      <c r="AB74" s="299"/>
      <c r="AC74" s="299"/>
      <c r="AD74" s="299"/>
      <c r="AE74" s="299"/>
      <c r="AF74" s="299"/>
      <c r="AG74" s="297">
        <v>759.44</v>
      </c>
      <c r="AH74" s="304"/>
      <c r="AI74" s="304"/>
      <c r="AJ74" s="304"/>
      <c r="AK74" s="304"/>
      <c r="AL74" s="304"/>
      <c r="AM74" s="304"/>
      <c r="AN74" s="304"/>
      <c r="AO74" s="304"/>
      <c r="AP74" s="289"/>
      <c r="AQ74" s="290"/>
      <c r="AR74" s="290"/>
      <c r="AS74" s="290"/>
      <c r="AT74" s="290"/>
      <c r="AU74" s="290"/>
      <c r="AV74" s="290"/>
      <c r="AW74" s="290"/>
      <c r="AX74" s="290"/>
      <c r="AY74" s="290"/>
      <c r="AZ74" s="290"/>
      <c r="BA74" s="290"/>
      <c r="BB74" s="290"/>
      <c r="BC74" s="290"/>
      <c r="BD74" s="290"/>
      <c r="BE74" s="290"/>
      <c r="BF74" s="290"/>
      <c r="BG74" s="290"/>
      <c r="BH74" s="290"/>
      <c r="BI74" s="290"/>
      <c r="BJ74" s="290"/>
      <c r="BK74" s="290"/>
      <c r="BL74" s="290"/>
      <c r="BM74" s="290"/>
      <c r="BN74" s="290"/>
      <c r="BO74" s="290"/>
      <c r="BP74" s="290"/>
      <c r="BQ74" s="290"/>
      <c r="BR74" s="290"/>
      <c r="BS74" s="290"/>
      <c r="BT74" s="290"/>
      <c r="BU74" s="352">
        <v>32655.560000000005</v>
      </c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72"/>
      <c r="CH74" s="72"/>
      <c r="CI74" s="72"/>
      <c r="CJ74" s="72"/>
      <c r="CK74" s="72"/>
      <c r="CL74" s="72"/>
      <c r="CM74" s="72"/>
      <c r="CN74" s="72"/>
      <c r="CO74" s="72"/>
      <c r="CP74" s="72"/>
      <c r="CQ74" s="72"/>
      <c r="CR74" s="72"/>
      <c r="CS74" s="72"/>
      <c r="CT74" s="72"/>
      <c r="CU74" s="72"/>
      <c r="CV74" s="72"/>
      <c r="CW74" s="72"/>
      <c r="CX74" s="72"/>
      <c r="CY74" s="72"/>
      <c r="CZ74" s="72"/>
      <c r="DA74" s="17"/>
      <c r="DB74" s="17"/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/>
      <c r="DR74" s="17"/>
      <c r="DS74" s="17"/>
      <c r="DT74" s="17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17"/>
      <c r="EY74" s="17"/>
      <c r="EZ74" s="17"/>
      <c r="FA74" s="17"/>
      <c r="FB74" s="17"/>
      <c r="FC74" s="17"/>
      <c r="FD74" s="17"/>
      <c r="FE74" s="17"/>
      <c r="FF74" s="17"/>
      <c r="FG74" s="17"/>
      <c r="FH74" s="17"/>
      <c r="FI74" s="17"/>
      <c r="FJ74" s="17"/>
      <c r="FK74" s="17"/>
      <c r="FL74" s="17"/>
      <c r="FM74" s="17"/>
      <c r="FN74" s="17"/>
      <c r="FO74" s="17"/>
      <c r="FP74" s="17"/>
      <c r="FQ74" s="17"/>
      <c r="FR74" s="17"/>
      <c r="FS74" s="17"/>
      <c r="FT74" s="17"/>
      <c r="FU74" s="17"/>
      <c r="FV74" s="17"/>
      <c r="FW74" s="17"/>
      <c r="FX74" s="17"/>
      <c r="FY74" s="17"/>
      <c r="FZ74" s="17"/>
      <c r="GA74" s="17"/>
      <c r="GB74" s="17"/>
      <c r="GC74" s="17"/>
      <c r="GD74" s="17"/>
      <c r="GE74" s="17"/>
      <c r="GF74" s="17"/>
      <c r="GG74" s="17"/>
      <c r="GH74" s="17"/>
      <c r="GI74" s="17"/>
      <c r="GJ74" s="17"/>
      <c r="GK74" s="17"/>
      <c r="GL74" s="17"/>
      <c r="GM74" s="17"/>
      <c r="GN74" s="17"/>
      <c r="GO74" s="17"/>
      <c r="GP74" s="17"/>
      <c r="GQ74" s="17"/>
      <c r="GR74" s="17"/>
      <c r="GS74" s="17"/>
      <c r="GT74" s="17"/>
      <c r="GU74" s="17"/>
      <c r="GV74" s="17"/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</row>
    <row r="75" spans="3:234" ht="15.75" thickBot="1" x14ac:dyDescent="0.3">
      <c r="K75" s="490"/>
      <c r="L75" s="73" t="s">
        <v>105</v>
      </c>
      <c r="M75" s="93">
        <v>5.56</v>
      </c>
      <c r="N75" s="290"/>
      <c r="O75" s="290"/>
      <c r="P75" s="290"/>
      <c r="Q75" s="290"/>
      <c r="R75" s="290"/>
      <c r="S75" s="290"/>
      <c r="T75" s="290"/>
      <c r="U75" s="290"/>
      <c r="V75" s="290"/>
      <c r="W75" s="290"/>
      <c r="X75" s="290"/>
      <c r="Y75" s="290"/>
      <c r="Z75" s="290"/>
      <c r="AA75" s="290"/>
      <c r="AB75" s="290"/>
      <c r="AC75" s="290"/>
      <c r="AD75" s="290"/>
      <c r="AE75" s="290"/>
      <c r="AF75" s="290"/>
      <c r="AG75" s="297">
        <v>5.56</v>
      </c>
      <c r="AH75" s="290"/>
      <c r="AI75" s="290"/>
      <c r="AJ75" s="290"/>
      <c r="AK75" s="290"/>
      <c r="AL75" s="290"/>
      <c r="AM75" s="290"/>
      <c r="AN75" s="290"/>
      <c r="AO75" s="290"/>
      <c r="AP75" s="290"/>
      <c r="AQ75" s="290"/>
      <c r="AR75" s="290"/>
      <c r="AS75" s="290"/>
      <c r="AT75" s="290"/>
      <c r="AU75" s="290"/>
      <c r="AV75" s="290"/>
      <c r="AW75" s="290"/>
      <c r="AX75" s="290"/>
      <c r="AY75" s="290"/>
      <c r="AZ75" s="290"/>
      <c r="BA75" s="290"/>
      <c r="BB75" s="290"/>
      <c r="BC75" s="290"/>
      <c r="BD75" s="290"/>
      <c r="BE75" s="290"/>
      <c r="BF75" s="290"/>
      <c r="BG75" s="290"/>
      <c r="BH75" s="290"/>
      <c r="BI75" s="290"/>
      <c r="BJ75" s="290"/>
      <c r="BK75" s="290"/>
      <c r="BL75" s="290"/>
      <c r="BM75" s="290"/>
      <c r="BN75" s="290"/>
      <c r="BO75" s="290"/>
      <c r="BP75" s="290"/>
      <c r="BQ75" s="290"/>
      <c r="BR75" s="290"/>
      <c r="BS75" s="290"/>
      <c r="BT75" s="290"/>
      <c r="BU75" s="352">
        <v>0</v>
      </c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17"/>
      <c r="FE75" s="17"/>
      <c r="FF75" s="17"/>
      <c r="FG75" s="17"/>
      <c r="FH75" s="17"/>
      <c r="FI75" s="17"/>
      <c r="FJ75" s="17"/>
      <c r="FK75" s="17"/>
      <c r="FL75" s="17"/>
      <c r="FM75" s="17"/>
      <c r="FN75" s="17"/>
      <c r="FO75" s="17"/>
      <c r="FP75" s="17"/>
      <c r="FQ75" s="17"/>
      <c r="FR75" s="17"/>
      <c r="FS75" s="17"/>
      <c r="FT75" s="17"/>
      <c r="FU75" s="17"/>
      <c r="FV75" s="17"/>
      <c r="FW75" s="17"/>
      <c r="FX75" s="17"/>
      <c r="FY75" s="17"/>
      <c r="FZ75" s="17"/>
      <c r="GA75" s="17"/>
      <c r="GB75" s="17"/>
      <c r="GC75" s="17"/>
      <c r="GD75" s="17"/>
      <c r="GE75" s="17"/>
      <c r="GF75" s="17"/>
      <c r="GG75" s="17"/>
      <c r="GH75" s="17"/>
      <c r="GI75" s="17"/>
      <c r="GJ75" s="17"/>
      <c r="GK75" s="17"/>
      <c r="GL75" s="17"/>
      <c r="GM75" s="17"/>
      <c r="GN75" s="17"/>
      <c r="GO75" s="17"/>
      <c r="GP75" s="17"/>
      <c r="GQ75" s="17"/>
      <c r="GR75" s="17"/>
      <c r="GS75" s="17"/>
      <c r="GT75" s="17"/>
      <c r="GU75" s="17"/>
      <c r="GV75" s="17"/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</row>
    <row r="76" spans="3:234" ht="15" x14ac:dyDescent="0.25">
      <c r="K76" s="483" t="s">
        <v>107</v>
      </c>
      <c r="L76" s="89" t="s">
        <v>108</v>
      </c>
      <c r="M76" s="104">
        <v>26497535.899999999</v>
      </c>
      <c r="N76" s="290"/>
      <c r="O76" s="290"/>
      <c r="P76" s="290"/>
      <c r="Q76" s="290"/>
      <c r="R76" s="290"/>
      <c r="S76" s="290"/>
      <c r="T76" s="290"/>
      <c r="U76" s="290"/>
      <c r="V76" s="290"/>
      <c r="W76" s="290"/>
      <c r="X76" s="290"/>
      <c r="Y76" s="290"/>
      <c r="Z76" s="290"/>
      <c r="AA76" s="290"/>
      <c r="AB76" s="290"/>
      <c r="AC76" s="290"/>
      <c r="AD76" s="290"/>
      <c r="AE76" s="290"/>
      <c r="AF76" s="290"/>
      <c r="AG76" s="305">
        <v>39746303.849999994</v>
      </c>
      <c r="AH76" s="290"/>
      <c r="AI76" s="290"/>
      <c r="AJ76" s="290"/>
      <c r="AK76" s="290"/>
      <c r="AL76" s="290"/>
      <c r="AM76" s="290"/>
      <c r="AN76" s="290"/>
      <c r="AO76" s="290"/>
      <c r="AP76" s="290"/>
      <c r="AQ76" s="290"/>
      <c r="AR76" s="290"/>
      <c r="AS76" s="290"/>
      <c r="AT76" s="290"/>
      <c r="AU76" s="290"/>
      <c r="AV76" s="290"/>
      <c r="AW76" s="290"/>
      <c r="AX76" s="290"/>
      <c r="AY76" s="290"/>
      <c r="AZ76" s="290"/>
      <c r="BA76" s="290"/>
      <c r="BB76" s="290"/>
      <c r="BC76" s="290"/>
      <c r="BD76" s="290"/>
      <c r="BE76" s="290"/>
      <c r="BF76" s="290"/>
      <c r="BG76" s="290"/>
      <c r="BH76" s="290"/>
      <c r="BI76" s="290"/>
      <c r="BJ76" s="290"/>
      <c r="BK76" s="290"/>
      <c r="BL76" s="290"/>
      <c r="BM76" s="290"/>
      <c r="BN76" s="290"/>
      <c r="BO76" s="290"/>
      <c r="BP76" s="290"/>
      <c r="BQ76" s="290"/>
      <c r="BR76" s="290"/>
      <c r="BS76" s="290"/>
      <c r="BT76" s="290"/>
      <c r="BU76" s="35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17"/>
      <c r="FE76" s="17"/>
      <c r="FF76" s="17"/>
      <c r="FG76" s="17"/>
      <c r="FH76" s="17"/>
      <c r="FI76" s="17"/>
      <c r="FJ76" s="17"/>
      <c r="FK76" s="17"/>
      <c r="FL76" s="17"/>
      <c r="FM76" s="17"/>
      <c r="FN76" s="17"/>
      <c r="FO76" s="17"/>
      <c r="FP76" s="17"/>
      <c r="FQ76" s="17"/>
      <c r="FR76" s="17"/>
      <c r="FS76" s="17"/>
      <c r="FT76" s="17"/>
      <c r="FU76" s="17"/>
      <c r="FV76" s="17"/>
      <c r="FW76" s="17"/>
      <c r="FX76" s="17"/>
      <c r="FY76" s="17"/>
      <c r="FZ76" s="17"/>
      <c r="GA76" s="17"/>
      <c r="GB76" s="17"/>
      <c r="GC76" s="17"/>
      <c r="GD76" s="17"/>
      <c r="GE76" s="17"/>
      <c r="GF76" s="17"/>
      <c r="GG76" s="17"/>
      <c r="GH76" s="17"/>
      <c r="GI76" s="17"/>
      <c r="GJ76" s="17"/>
      <c r="GK76" s="17"/>
      <c r="GL76" s="17"/>
      <c r="GM76" s="17"/>
      <c r="GN76" s="17"/>
      <c r="GO76" s="17"/>
      <c r="GP76" s="17"/>
      <c r="GQ76" s="17"/>
      <c r="GR76" s="17"/>
      <c r="GS76" s="17"/>
      <c r="GT76" s="17"/>
      <c r="GU76" s="17"/>
      <c r="GV76" s="17"/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</row>
    <row r="77" spans="3:234" ht="15" x14ac:dyDescent="0.25">
      <c r="K77" s="484"/>
      <c r="L77" s="71" t="s">
        <v>121</v>
      </c>
      <c r="M77" s="104">
        <v>1581466</v>
      </c>
      <c r="N77" s="290"/>
      <c r="O77" s="290"/>
      <c r="P77" s="290"/>
      <c r="Q77" s="290"/>
      <c r="R77" s="290"/>
      <c r="S77" s="290"/>
      <c r="T77" s="290"/>
      <c r="U77" s="290"/>
      <c r="V77" s="290"/>
      <c r="W77" s="290"/>
      <c r="X77" s="290"/>
      <c r="Y77" s="290"/>
      <c r="Z77" s="290"/>
      <c r="AA77" s="290"/>
      <c r="AB77" s="290"/>
      <c r="AC77" s="290"/>
      <c r="AD77" s="290"/>
      <c r="AE77" s="290"/>
      <c r="AF77" s="290"/>
      <c r="AG77" s="305">
        <v>1581465.9999999739</v>
      </c>
      <c r="AH77" s="290"/>
      <c r="AI77" s="290"/>
      <c r="AJ77" s="290"/>
      <c r="AK77" s="290"/>
      <c r="AL77" s="290"/>
      <c r="AM77" s="290"/>
      <c r="AN77" s="290"/>
      <c r="AO77" s="290"/>
      <c r="AP77" s="290"/>
      <c r="AQ77" s="290"/>
      <c r="AR77" s="290"/>
      <c r="AS77" s="290"/>
      <c r="AT77" s="290"/>
      <c r="AU77" s="290"/>
      <c r="AV77" s="290"/>
      <c r="AW77" s="290"/>
      <c r="AX77" s="290"/>
      <c r="AY77" s="290"/>
      <c r="AZ77" s="290"/>
      <c r="BA77" s="290"/>
      <c r="BB77" s="290"/>
      <c r="BC77" s="290"/>
      <c r="BD77" s="290"/>
      <c r="BE77" s="290"/>
      <c r="BF77" s="290"/>
      <c r="BG77" s="290"/>
      <c r="BH77" s="290"/>
      <c r="BI77" s="290"/>
      <c r="BJ77" s="290"/>
      <c r="BK77" s="290"/>
      <c r="BL77" s="290"/>
      <c r="BM77" s="290"/>
      <c r="BN77" s="290"/>
      <c r="BO77" s="290"/>
      <c r="BP77" s="290"/>
      <c r="BQ77" s="290"/>
      <c r="BR77" s="290"/>
      <c r="BS77" s="290"/>
      <c r="BT77" s="290"/>
      <c r="BU77" s="352">
        <v>-1.7233732220128214E-10</v>
      </c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17"/>
      <c r="DT77" s="17"/>
      <c r="DU77" s="17"/>
      <c r="DV77" s="17"/>
      <c r="DW77" s="17"/>
      <c r="DX77" s="17"/>
      <c r="DY77" s="17"/>
      <c r="DZ77" s="17"/>
      <c r="EA77" s="17"/>
      <c r="EB77" s="17"/>
      <c r="EC77" s="17"/>
      <c r="ED77" s="17"/>
      <c r="EE77" s="17"/>
      <c r="EF77" s="17"/>
      <c r="EG77" s="17"/>
      <c r="EH77" s="17"/>
      <c r="EI77" s="17"/>
      <c r="EJ77" s="17"/>
      <c r="EK77" s="17"/>
      <c r="EL77" s="17"/>
      <c r="EM77" s="17"/>
      <c r="EN77" s="17"/>
      <c r="EO77" s="17"/>
      <c r="EP77" s="17"/>
      <c r="EQ77" s="17"/>
      <c r="ER77" s="17"/>
      <c r="ES77" s="17"/>
      <c r="ET77" s="17"/>
      <c r="EU77" s="17"/>
      <c r="EV77" s="17"/>
      <c r="EW77" s="17"/>
      <c r="EX77" s="17"/>
      <c r="EY77" s="17"/>
      <c r="EZ77" s="17"/>
      <c r="FA77" s="17"/>
      <c r="FB77" s="17"/>
      <c r="FC77" s="17"/>
      <c r="FD77" s="17"/>
      <c r="FE77" s="17"/>
      <c r="FF77" s="17"/>
      <c r="FG77" s="17"/>
      <c r="FH77" s="17"/>
      <c r="FI77" s="17"/>
      <c r="FJ77" s="17"/>
      <c r="FK77" s="17"/>
      <c r="FL77" s="17"/>
      <c r="FM77" s="17"/>
      <c r="FN77" s="17"/>
      <c r="FO77" s="17"/>
      <c r="FP77" s="17"/>
      <c r="FQ77" s="17"/>
      <c r="FR77" s="17"/>
      <c r="FS77" s="17"/>
      <c r="FT77" s="17"/>
      <c r="FU77" s="17"/>
      <c r="FV77" s="17"/>
      <c r="FW77" s="17"/>
      <c r="FX77" s="17"/>
      <c r="FY77" s="17"/>
      <c r="FZ77" s="17"/>
      <c r="GA77" s="17"/>
      <c r="GB77" s="17"/>
      <c r="GC77" s="17"/>
      <c r="GD77" s="17"/>
      <c r="GE77" s="17"/>
      <c r="GF77" s="17"/>
      <c r="GG77" s="17"/>
      <c r="GH77" s="17"/>
      <c r="GI77" s="17"/>
      <c r="GJ77" s="17"/>
      <c r="GK77" s="17"/>
      <c r="GL77" s="17"/>
      <c r="GM77" s="17"/>
      <c r="GN77" s="17"/>
      <c r="GO77" s="17"/>
      <c r="GP77" s="17"/>
      <c r="GQ77" s="17"/>
      <c r="GR77" s="17"/>
      <c r="GS77" s="17"/>
      <c r="GT77" s="17"/>
      <c r="GU77" s="17"/>
      <c r="GV77" s="17"/>
      <c r="GW77" s="17"/>
      <c r="GX77" s="17"/>
      <c r="GY77" s="17"/>
      <c r="GZ77" s="17"/>
      <c r="HA77" s="17"/>
      <c r="HB77" s="17"/>
      <c r="HC77" s="17"/>
      <c r="HD77" s="17"/>
      <c r="HE77" s="17"/>
      <c r="HF77" s="17"/>
      <c r="HG77" s="17"/>
      <c r="HH77" s="17"/>
      <c r="HI77" s="17"/>
      <c r="HJ77" s="17"/>
      <c r="HK77" s="17"/>
      <c r="HL77" s="17"/>
      <c r="HM77" s="17"/>
      <c r="HN77" s="17"/>
      <c r="HO77" s="17"/>
      <c r="HP77" s="17"/>
      <c r="HQ77" s="17"/>
      <c r="HR77" s="17"/>
      <c r="HS77" s="17"/>
      <c r="HT77" s="17"/>
      <c r="HU77" s="17"/>
      <c r="HV77" s="17"/>
      <c r="HW77" s="17"/>
      <c r="HX77" s="17"/>
      <c r="HY77" s="17"/>
      <c r="HZ77" s="17"/>
    </row>
    <row r="78" spans="3:234" ht="15" x14ac:dyDescent="0.25">
      <c r="K78" s="484"/>
      <c r="L78" s="71" t="s">
        <v>110</v>
      </c>
      <c r="M78" s="104">
        <v>10713001</v>
      </c>
      <c r="N78" s="290"/>
      <c r="O78" s="290"/>
      <c r="P78" s="290"/>
      <c r="Q78" s="290"/>
      <c r="R78" s="290"/>
      <c r="S78" s="290"/>
      <c r="T78" s="290"/>
      <c r="U78" s="290"/>
      <c r="V78" s="290"/>
      <c r="W78" s="290"/>
      <c r="X78" s="290"/>
      <c r="Y78" s="290"/>
      <c r="Z78" s="290"/>
      <c r="AA78" s="290"/>
      <c r="AB78" s="290"/>
      <c r="AC78" s="290"/>
      <c r="AD78" s="290"/>
      <c r="AE78" s="290"/>
      <c r="AF78" s="290"/>
      <c r="AG78" s="305">
        <v>15809065.181377295</v>
      </c>
      <c r="AH78" s="290"/>
      <c r="AI78" s="290"/>
      <c r="AJ78" s="290"/>
      <c r="AK78" s="290"/>
      <c r="AL78" s="290"/>
      <c r="AM78" s="290"/>
      <c r="AN78" s="290"/>
      <c r="AO78" s="290"/>
      <c r="AP78" s="290"/>
      <c r="AQ78" s="290"/>
      <c r="AR78" s="290"/>
      <c r="AS78" s="290"/>
      <c r="AT78" s="290"/>
      <c r="AU78" s="290"/>
      <c r="AV78" s="290"/>
      <c r="AW78" s="290"/>
      <c r="AX78" s="290"/>
      <c r="AY78" s="290"/>
      <c r="AZ78" s="290"/>
      <c r="BA78" s="290"/>
      <c r="BB78" s="290"/>
      <c r="BC78" s="290"/>
      <c r="BD78" s="290"/>
      <c r="BE78" s="290"/>
      <c r="BF78" s="290"/>
      <c r="BG78" s="290"/>
      <c r="BH78" s="290"/>
      <c r="BI78" s="290"/>
      <c r="BJ78" s="290"/>
      <c r="BK78" s="290"/>
      <c r="BL78" s="290"/>
      <c r="BM78" s="290"/>
      <c r="BN78" s="290"/>
      <c r="BO78" s="290"/>
      <c r="BP78" s="290"/>
      <c r="BQ78" s="290"/>
      <c r="BR78" s="290"/>
      <c r="BS78" s="290"/>
      <c r="BT78" s="290"/>
      <c r="BU78" s="352">
        <v>41475.108632684904</v>
      </c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</row>
    <row r="79" spans="3:234" ht="15" x14ac:dyDescent="0.25">
      <c r="K79" s="484"/>
      <c r="L79" s="71" t="s">
        <v>212</v>
      </c>
      <c r="M79" s="104">
        <v>1248949</v>
      </c>
      <c r="N79" s="290"/>
      <c r="O79" s="290"/>
      <c r="P79" s="290"/>
      <c r="Q79" s="290"/>
      <c r="R79" s="290"/>
      <c r="S79" s="290"/>
      <c r="T79" s="290"/>
      <c r="U79" s="290"/>
      <c r="V79" s="290"/>
      <c r="W79" s="290"/>
      <c r="X79" s="290"/>
      <c r="Y79" s="290"/>
      <c r="Z79" s="290"/>
      <c r="AA79" s="290"/>
      <c r="AB79" s="290"/>
      <c r="AC79" s="290"/>
      <c r="AD79" s="290"/>
      <c r="AE79" s="290"/>
      <c r="AF79" s="290"/>
      <c r="AG79" s="305">
        <v>1248949</v>
      </c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352">
        <v>0</v>
      </c>
      <c r="BV79" s="72"/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72"/>
      <c r="CH79" s="72"/>
      <c r="CI79" s="72"/>
      <c r="CJ79" s="72"/>
      <c r="CK79" s="72"/>
      <c r="CL79" s="72"/>
      <c r="CM79" s="72"/>
      <c r="CN79" s="72"/>
      <c r="CO79" s="72"/>
      <c r="CP79" s="72"/>
      <c r="CQ79" s="72"/>
      <c r="CR79" s="72"/>
      <c r="CS79" s="72"/>
      <c r="CT79" s="72"/>
      <c r="CU79" s="72"/>
      <c r="CV79" s="72"/>
      <c r="CW79" s="72"/>
      <c r="CX79" s="72"/>
      <c r="CY79" s="72"/>
      <c r="CZ79" s="72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  <c r="DR79" s="17"/>
      <c r="DS79" s="17"/>
      <c r="DT79" s="17"/>
      <c r="DU79" s="17"/>
      <c r="DV79" s="17"/>
      <c r="DW79" s="17"/>
      <c r="DX79" s="17"/>
      <c r="DY79" s="17"/>
      <c r="DZ79" s="17"/>
      <c r="EA79" s="17"/>
      <c r="EB79" s="17"/>
      <c r="EC79" s="17"/>
      <c r="ED79" s="17"/>
      <c r="EE79" s="17"/>
      <c r="EF79" s="17"/>
      <c r="EG79" s="17"/>
      <c r="EH79" s="17"/>
      <c r="EI79" s="17"/>
      <c r="EJ79" s="17"/>
      <c r="EK79" s="17"/>
      <c r="EL79" s="17"/>
      <c r="EM79" s="17"/>
      <c r="EN79" s="17"/>
      <c r="EO79" s="17"/>
      <c r="EP79" s="17"/>
      <c r="EQ79" s="17"/>
      <c r="ER79" s="17"/>
      <c r="ES79" s="17"/>
      <c r="ET79" s="17"/>
      <c r="EU79" s="17"/>
      <c r="EV79" s="17"/>
      <c r="EW79" s="17"/>
      <c r="EX79" s="17"/>
      <c r="EY79" s="17"/>
      <c r="EZ79" s="17"/>
      <c r="FA79" s="17"/>
      <c r="FB79" s="17"/>
      <c r="FC79" s="17"/>
      <c r="FD79" s="17"/>
      <c r="FE79" s="17"/>
      <c r="FF79" s="17"/>
      <c r="FG79" s="17"/>
      <c r="FH79" s="17"/>
      <c r="FI79" s="17"/>
      <c r="FJ79" s="17"/>
      <c r="FK79" s="17"/>
      <c r="FL79" s="17"/>
      <c r="FM79" s="17"/>
      <c r="FN79" s="17"/>
      <c r="FO79" s="17"/>
      <c r="FP79" s="17"/>
      <c r="FQ79" s="17"/>
      <c r="FR79" s="17"/>
      <c r="FS79" s="17"/>
      <c r="FT79" s="17"/>
      <c r="FU79" s="17"/>
      <c r="FV79" s="17"/>
      <c r="FW79" s="17"/>
      <c r="FX79" s="17"/>
      <c r="FY79" s="17"/>
      <c r="FZ79" s="17"/>
      <c r="GA79" s="17"/>
      <c r="GB79" s="17"/>
      <c r="GC79" s="17"/>
      <c r="GD79" s="17"/>
      <c r="GE79" s="17"/>
      <c r="GF79" s="17"/>
      <c r="GG79" s="17"/>
      <c r="GH79" s="17"/>
      <c r="GI79" s="17"/>
      <c r="GJ79" s="17"/>
      <c r="GK79" s="17"/>
      <c r="GL79" s="17"/>
      <c r="GM79" s="17"/>
      <c r="GN79" s="17"/>
      <c r="GO79" s="17"/>
      <c r="GP79" s="17"/>
      <c r="GQ79" s="17"/>
      <c r="GR79" s="17"/>
      <c r="GS79" s="17"/>
      <c r="GT79" s="17"/>
      <c r="GU79" s="17"/>
      <c r="GV79" s="17"/>
      <c r="GW79" s="17"/>
      <c r="GX79" s="17"/>
      <c r="GY79" s="17"/>
      <c r="GZ79" s="17"/>
      <c r="HA79" s="17"/>
      <c r="HB79" s="17"/>
      <c r="HC79" s="17"/>
      <c r="HD79" s="17"/>
      <c r="HE79" s="17"/>
      <c r="HF79" s="17"/>
      <c r="HG79" s="17"/>
      <c r="HH79" s="17"/>
      <c r="HI79" s="17"/>
      <c r="HJ79" s="17"/>
      <c r="HK79" s="17"/>
      <c r="HL79" s="17"/>
      <c r="HM79" s="17"/>
      <c r="HN79" s="17"/>
      <c r="HO79" s="17"/>
      <c r="HP79" s="17"/>
      <c r="HQ79" s="17"/>
      <c r="HR79" s="17"/>
      <c r="HS79" s="17"/>
      <c r="HT79" s="17"/>
      <c r="HU79" s="17"/>
      <c r="HV79" s="17"/>
      <c r="HW79" s="17"/>
      <c r="HX79" s="17"/>
      <c r="HY79" s="17"/>
      <c r="HZ79" s="17"/>
    </row>
    <row r="80" spans="3:234" ht="15" x14ac:dyDescent="0.25">
      <c r="K80" s="484"/>
      <c r="L80" s="71" t="s">
        <v>106</v>
      </c>
      <c r="M80" s="104">
        <v>578495.69999999995</v>
      </c>
      <c r="N80" s="290"/>
      <c r="O80" s="290"/>
      <c r="P80" s="290"/>
      <c r="Q80" s="290"/>
      <c r="R80" s="290"/>
      <c r="S80" s="290"/>
      <c r="T80" s="290"/>
      <c r="U80" s="290"/>
      <c r="V80" s="290"/>
      <c r="W80" s="290"/>
      <c r="X80" s="290"/>
      <c r="Y80" s="290"/>
      <c r="Z80" s="290"/>
      <c r="AA80" s="290"/>
      <c r="AB80" s="290"/>
      <c r="AC80" s="290"/>
      <c r="AD80" s="290"/>
      <c r="AE80" s="290"/>
      <c r="AF80" s="290"/>
      <c r="AG80" s="305">
        <v>8731199.4686227199</v>
      </c>
      <c r="AH80" s="290"/>
      <c r="AI80" s="290"/>
      <c r="AJ80" s="290"/>
      <c r="AK80" s="290"/>
      <c r="AL80" s="290"/>
      <c r="AM80" s="290"/>
      <c r="AN80" s="290"/>
      <c r="AO80" s="290"/>
      <c r="AP80" s="290"/>
      <c r="AQ80" s="290"/>
      <c r="AR80" s="290"/>
      <c r="AS80" s="290"/>
      <c r="AT80" s="290"/>
      <c r="AU80" s="290"/>
      <c r="AV80" s="290"/>
      <c r="AW80" s="290"/>
      <c r="AX80" s="290"/>
      <c r="AY80" s="290"/>
      <c r="AZ80" s="290"/>
      <c r="BA80" s="290"/>
      <c r="BB80" s="290"/>
      <c r="BC80" s="290"/>
      <c r="BD80" s="290"/>
      <c r="BE80" s="290"/>
      <c r="BF80" s="290"/>
      <c r="BG80" s="290"/>
      <c r="BH80" s="290"/>
      <c r="BI80" s="290"/>
      <c r="BJ80" s="290"/>
      <c r="BK80" s="290"/>
      <c r="BL80" s="290"/>
      <c r="BM80" s="290"/>
      <c r="BN80" s="290"/>
      <c r="BO80" s="290"/>
      <c r="BP80" s="290"/>
      <c r="BQ80" s="290"/>
      <c r="BR80" s="290"/>
      <c r="BS80" s="290"/>
      <c r="BT80" s="290"/>
      <c r="BU80" s="352">
        <v>218887.08072551744</v>
      </c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  <c r="DR80" s="17"/>
      <c r="DS80" s="17"/>
      <c r="DT80" s="17"/>
      <c r="DU80" s="17"/>
      <c r="DV80" s="17"/>
      <c r="DW80" s="17"/>
      <c r="DX80" s="17"/>
      <c r="DY80" s="17"/>
      <c r="DZ80" s="17"/>
      <c r="EA80" s="17"/>
      <c r="EB80" s="17"/>
      <c r="EC80" s="17"/>
      <c r="ED80" s="17"/>
      <c r="EE80" s="17"/>
      <c r="EF80" s="17"/>
      <c r="EG80" s="17"/>
      <c r="EH80" s="17"/>
      <c r="EI80" s="17"/>
      <c r="EJ80" s="17"/>
      <c r="EK80" s="17"/>
      <c r="EL80" s="17"/>
      <c r="EM80" s="17"/>
      <c r="EN80" s="17"/>
      <c r="EO80" s="17"/>
      <c r="EP80" s="17"/>
      <c r="EQ80" s="17"/>
      <c r="ER80" s="17"/>
      <c r="ES80" s="17"/>
      <c r="ET80" s="17"/>
      <c r="EU80" s="17"/>
      <c r="EV80" s="17"/>
      <c r="EW80" s="17"/>
      <c r="EX80" s="17"/>
      <c r="EY80" s="17"/>
      <c r="EZ80" s="17"/>
      <c r="FA80" s="17"/>
      <c r="FB80" s="17"/>
      <c r="FC80" s="17"/>
      <c r="FD80" s="17"/>
      <c r="FE80" s="17"/>
      <c r="FF80" s="17"/>
      <c r="FG80" s="17"/>
      <c r="FH80" s="17"/>
      <c r="FI80" s="17"/>
      <c r="FJ80" s="17"/>
      <c r="FK80" s="17"/>
      <c r="FL80" s="17"/>
      <c r="FM80" s="17"/>
      <c r="FN80" s="17"/>
      <c r="FO80" s="17"/>
      <c r="FP80" s="17"/>
      <c r="FQ80" s="17"/>
      <c r="FR80" s="17"/>
      <c r="FS80" s="17"/>
      <c r="FT80" s="17"/>
      <c r="FU80" s="17"/>
      <c r="FV80" s="17"/>
      <c r="FW80" s="17"/>
      <c r="FX80" s="17"/>
      <c r="FY80" s="17"/>
      <c r="FZ80" s="17"/>
      <c r="GA80" s="17"/>
      <c r="GB80" s="17"/>
      <c r="GC80" s="17"/>
      <c r="GD80" s="17"/>
      <c r="GE80" s="17"/>
      <c r="GF80" s="17"/>
      <c r="GG80" s="17"/>
      <c r="GH80" s="17"/>
      <c r="GI80" s="17"/>
      <c r="GJ80" s="17"/>
      <c r="GK80" s="17"/>
      <c r="GL80" s="17"/>
      <c r="GM80" s="17"/>
      <c r="GN80" s="17"/>
      <c r="GO80" s="17"/>
      <c r="GP80" s="17"/>
      <c r="GQ80" s="17"/>
      <c r="GR80" s="17"/>
      <c r="GS80" s="17"/>
      <c r="GT80" s="17"/>
      <c r="GU80" s="17"/>
      <c r="GV80" s="17"/>
      <c r="GW80" s="17"/>
      <c r="GX80" s="17"/>
      <c r="GY80" s="17"/>
      <c r="GZ80" s="17"/>
      <c r="HA80" s="17"/>
      <c r="HB80" s="17"/>
      <c r="HC80" s="17"/>
      <c r="HD80" s="17"/>
      <c r="HE80" s="17"/>
      <c r="HF80" s="17"/>
      <c r="HG80" s="17"/>
      <c r="HH80" s="17"/>
      <c r="HI80" s="17"/>
      <c r="HJ80" s="17"/>
      <c r="HK80" s="17"/>
      <c r="HL80" s="17"/>
      <c r="HM80" s="17"/>
      <c r="HN80" s="17"/>
      <c r="HO80" s="17"/>
      <c r="HP80" s="17"/>
      <c r="HQ80" s="17"/>
      <c r="HR80" s="17"/>
      <c r="HS80" s="17"/>
      <c r="HT80" s="17"/>
      <c r="HU80" s="17"/>
      <c r="HV80" s="17"/>
      <c r="HW80" s="17"/>
      <c r="HX80" s="17"/>
      <c r="HY80" s="17"/>
      <c r="HZ80" s="17"/>
    </row>
    <row r="81" spans="11:234" ht="15.75" thickBot="1" x14ac:dyDescent="0.3">
      <c r="K81" s="485"/>
      <c r="L81" s="73" t="s">
        <v>111</v>
      </c>
      <c r="M81" s="104">
        <v>12375624.199999999</v>
      </c>
      <c r="N81" s="290"/>
      <c r="O81" s="290"/>
      <c r="P81" s="290"/>
      <c r="Q81" s="290"/>
      <c r="R81" s="290"/>
      <c r="S81" s="290"/>
      <c r="T81" s="290"/>
      <c r="U81" s="290"/>
      <c r="V81" s="290"/>
      <c r="W81" s="290"/>
      <c r="X81" s="290"/>
      <c r="Y81" s="290"/>
      <c r="Z81" s="290"/>
      <c r="AA81" s="290"/>
      <c r="AB81" s="290"/>
      <c r="AC81" s="290"/>
      <c r="AD81" s="290"/>
      <c r="AE81" s="290"/>
      <c r="AF81" s="290"/>
      <c r="AG81" s="305">
        <v>12375624.199999999</v>
      </c>
      <c r="AH81" s="290"/>
      <c r="AI81" s="290"/>
      <c r="AJ81" s="290"/>
      <c r="AK81" s="290"/>
      <c r="AL81" s="290"/>
      <c r="AM81" s="290"/>
      <c r="AN81" s="290"/>
      <c r="AO81" s="290"/>
      <c r="AP81" s="290"/>
      <c r="AQ81" s="290"/>
      <c r="AR81" s="290"/>
      <c r="AS81" s="290"/>
      <c r="AT81" s="290"/>
      <c r="AU81" s="290"/>
      <c r="AV81" s="290"/>
      <c r="AW81" s="290"/>
      <c r="AX81" s="290"/>
      <c r="AY81" s="290"/>
      <c r="AZ81" s="290"/>
      <c r="BA81" s="290"/>
      <c r="BB81" s="290"/>
      <c r="BC81" s="290"/>
      <c r="BD81" s="290"/>
      <c r="BE81" s="290"/>
      <c r="BF81" s="290"/>
      <c r="BG81" s="290"/>
      <c r="BH81" s="290"/>
      <c r="BI81" s="290"/>
      <c r="BJ81" s="290"/>
      <c r="BK81" s="290"/>
      <c r="BL81" s="290"/>
      <c r="BM81" s="290"/>
      <c r="BN81" s="290"/>
      <c r="BO81" s="290"/>
      <c r="BP81" s="290"/>
      <c r="BQ81" s="290"/>
      <c r="BR81" s="290"/>
      <c r="BS81" s="290"/>
      <c r="BT81" s="290"/>
      <c r="BU81" s="352">
        <v>0</v>
      </c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/>
      <c r="DO81" s="17"/>
      <c r="DP81" s="17"/>
      <c r="DQ81" s="17"/>
      <c r="DR81" s="17"/>
      <c r="DS81" s="17"/>
      <c r="DT81" s="17"/>
      <c r="DU81" s="17"/>
      <c r="DV81" s="17"/>
      <c r="DW81" s="17"/>
      <c r="DX81" s="17"/>
      <c r="DY81" s="17"/>
      <c r="DZ81" s="17"/>
      <c r="EA81" s="17"/>
      <c r="EB81" s="17"/>
      <c r="EC81" s="17"/>
      <c r="ED81" s="17"/>
      <c r="EE81" s="17"/>
      <c r="EF81" s="17"/>
      <c r="EG81" s="17"/>
      <c r="EH81" s="17"/>
      <c r="EI81" s="17"/>
      <c r="EJ81" s="17"/>
      <c r="EK81" s="17"/>
      <c r="EL81" s="17"/>
      <c r="EM81" s="17"/>
      <c r="EN81" s="17"/>
      <c r="EO81" s="17"/>
      <c r="EP81" s="17"/>
      <c r="EQ81" s="17"/>
      <c r="ER81" s="17"/>
      <c r="ES81" s="17"/>
      <c r="ET81" s="17"/>
      <c r="EU81" s="17"/>
      <c r="EV81" s="17"/>
      <c r="EW81" s="17"/>
      <c r="EX81" s="17"/>
      <c r="EY81" s="17"/>
      <c r="EZ81" s="17"/>
      <c r="FA81" s="17"/>
      <c r="FB81" s="17"/>
      <c r="FC81" s="17"/>
      <c r="FD81" s="17"/>
      <c r="FE81" s="17"/>
      <c r="FF81" s="17"/>
      <c r="FG81" s="17"/>
      <c r="FH81" s="17"/>
      <c r="FI81" s="17"/>
      <c r="FJ81" s="17"/>
      <c r="FK81" s="17"/>
      <c r="FL81" s="17"/>
      <c r="FM81" s="17"/>
      <c r="FN81" s="17"/>
      <c r="FO81" s="17"/>
      <c r="FP81" s="17"/>
      <c r="FQ81" s="17"/>
      <c r="FR81" s="17"/>
      <c r="FS81" s="17"/>
      <c r="FT81" s="17"/>
      <c r="FU81" s="17"/>
      <c r="FV81" s="17"/>
      <c r="FW81" s="17"/>
      <c r="FX81" s="17"/>
      <c r="FY81" s="17"/>
      <c r="FZ81" s="17"/>
      <c r="GA81" s="17"/>
      <c r="GB81" s="17"/>
      <c r="GC81" s="17"/>
      <c r="GD81" s="17"/>
      <c r="GE81" s="17"/>
      <c r="GF81" s="17"/>
      <c r="GG81" s="17"/>
      <c r="GH81" s="17"/>
      <c r="GI81" s="17"/>
      <c r="GJ81" s="17"/>
      <c r="GK81" s="17"/>
      <c r="GL81" s="17"/>
      <c r="GM81" s="17"/>
      <c r="GN81" s="17"/>
      <c r="GO81" s="17"/>
      <c r="GP81" s="17"/>
      <c r="GQ81" s="17"/>
      <c r="GR81" s="17"/>
      <c r="GS81" s="17"/>
      <c r="GT81" s="17"/>
      <c r="GU81" s="17"/>
      <c r="GV81" s="17"/>
      <c r="GW81" s="17"/>
      <c r="GX81" s="17"/>
      <c r="GY81" s="17"/>
      <c r="GZ81" s="17"/>
      <c r="HA81" s="17"/>
      <c r="HB81" s="17"/>
      <c r="HC81" s="17"/>
      <c r="HD81" s="17"/>
      <c r="HE81" s="17"/>
      <c r="HF81" s="17"/>
      <c r="HG81" s="17"/>
      <c r="HH81" s="17"/>
      <c r="HI81" s="17"/>
      <c r="HJ81" s="17"/>
      <c r="HK81" s="17"/>
      <c r="HL81" s="17"/>
      <c r="HM81" s="17"/>
      <c r="HN81" s="17"/>
      <c r="HO81" s="17"/>
      <c r="HP81" s="17"/>
      <c r="HQ81" s="17"/>
      <c r="HR81" s="17"/>
      <c r="HS81" s="17"/>
      <c r="HT81" s="17"/>
      <c r="HU81" s="17"/>
      <c r="HV81" s="17"/>
      <c r="HW81" s="17"/>
      <c r="HX81" s="17"/>
      <c r="HY81" s="17"/>
      <c r="HZ81" s="17"/>
    </row>
    <row r="82" spans="11:234" ht="15.75" thickBot="1" x14ac:dyDescent="0.3">
      <c r="K82" s="347" t="s">
        <v>263</v>
      </c>
      <c r="L82" s="469" t="s">
        <v>253</v>
      </c>
      <c r="M82" s="104">
        <v>4296500</v>
      </c>
      <c r="N82" s="299"/>
      <c r="O82" s="299"/>
      <c r="P82" s="299"/>
      <c r="Q82" s="299"/>
      <c r="R82" s="299"/>
      <c r="S82" s="299"/>
      <c r="T82" s="299"/>
      <c r="U82" s="299"/>
      <c r="V82" s="299"/>
      <c r="W82" s="304"/>
      <c r="X82" s="299"/>
      <c r="Y82" s="299"/>
      <c r="Z82" s="299"/>
      <c r="AA82" s="299"/>
      <c r="AB82" s="299"/>
      <c r="AC82" s="299"/>
      <c r="AD82" s="299"/>
      <c r="AE82" s="299"/>
      <c r="AF82" s="299"/>
      <c r="AG82" s="305">
        <v>4296500</v>
      </c>
      <c r="AH82" s="304"/>
      <c r="AI82" s="304"/>
      <c r="AJ82" s="304"/>
      <c r="AK82" s="304"/>
      <c r="AL82" s="304"/>
      <c r="AM82" s="304"/>
      <c r="AN82" s="304"/>
      <c r="AO82" s="304"/>
      <c r="AP82" s="289"/>
      <c r="AQ82" s="290"/>
      <c r="AR82" s="290"/>
      <c r="AS82" s="290"/>
      <c r="AT82" s="290"/>
      <c r="AU82" s="290"/>
      <c r="AV82" s="290"/>
      <c r="AW82" s="290"/>
      <c r="AX82" s="290"/>
      <c r="AY82" s="290"/>
      <c r="AZ82" s="290"/>
      <c r="BA82" s="290"/>
      <c r="BB82" s="290"/>
      <c r="BC82" s="290"/>
      <c r="BD82" s="290"/>
      <c r="BE82" s="290"/>
      <c r="BF82" s="290"/>
      <c r="BG82" s="290"/>
      <c r="BH82" s="290"/>
      <c r="BI82" s="290"/>
      <c r="BJ82" s="290"/>
      <c r="BK82" s="290"/>
      <c r="BL82" s="290"/>
      <c r="BM82" s="290"/>
      <c r="BN82" s="290"/>
      <c r="BO82" s="290"/>
      <c r="BP82" s="290"/>
      <c r="BQ82" s="290"/>
      <c r="BR82" s="290"/>
      <c r="BS82" s="290"/>
      <c r="BT82" s="290"/>
      <c r="BU82" s="352">
        <v>0</v>
      </c>
      <c r="BV82" s="17"/>
      <c r="BW82" s="17"/>
      <c r="BX82" s="17"/>
      <c r="BY82" s="17"/>
      <c r="BZ82" s="17"/>
      <c r="CA82" s="17"/>
      <c r="CB82" s="17"/>
      <c r="CC82" s="17"/>
      <c r="CD82" s="17"/>
      <c r="CE82" s="17"/>
      <c r="CF82" s="1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17"/>
      <c r="DR82" s="17"/>
      <c r="DS82" s="17"/>
      <c r="DT82" s="17"/>
      <c r="DU82" s="17"/>
      <c r="DV82" s="17"/>
      <c r="DW82" s="17"/>
      <c r="DX82" s="17"/>
      <c r="DY82" s="17"/>
      <c r="DZ82" s="17"/>
      <c r="EA82" s="17"/>
      <c r="EB82" s="17"/>
      <c r="EC82" s="17"/>
      <c r="ED82" s="17"/>
      <c r="EE82" s="17"/>
      <c r="EF82" s="17"/>
      <c r="EG82" s="17"/>
      <c r="EH82" s="17"/>
      <c r="EI82" s="17"/>
      <c r="EJ82" s="17"/>
      <c r="EK82" s="17"/>
      <c r="EL82" s="17"/>
      <c r="EM82" s="17"/>
      <c r="EN82" s="17"/>
      <c r="EO82" s="17"/>
      <c r="EP82" s="17"/>
      <c r="EQ82" s="17"/>
      <c r="ER82" s="17"/>
      <c r="ES82" s="17"/>
      <c r="ET82" s="17"/>
      <c r="EU82" s="17"/>
      <c r="EV82" s="17"/>
      <c r="EW82" s="17"/>
      <c r="EX82" s="17"/>
      <c r="EY82" s="17"/>
      <c r="EZ82" s="17"/>
      <c r="FA82" s="17"/>
      <c r="FB82" s="17"/>
      <c r="FC82" s="17"/>
      <c r="FD82" s="17"/>
      <c r="FE82" s="17"/>
      <c r="FF82" s="17"/>
      <c r="FG82" s="17"/>
      <c r="FH82" s="17"/>
      <c r="FI82" s="17"/>
      <c r="FJ82" s="17"/>
      <c r="FK82" s="17"/>
      <c r="FL82" s="17"/>
      <c r="FM82" s="17"/>
      <c r="FN82" s="17"/>
      <c r="FO82" s="17"/>
      <c r="FP82" s="17"/>
      <c r="FQ82" s="17"/>
      <c r="FR82" s="17"/>
      <c r="FS82" s="17"/>
      <c r="FT82" s="17"/>
      <c r="FU82" s="17"/>
      <c r="FV82" s="17"/>
      <c r="FW82" s="17"/>
      <c r="FX82" s="17"/>
      <c r="FY82" s="17"/>
      <c r="FZ82" s="17"/>
      <c r="GA82" s="17"/>
      <c r="GB82" s="17"/>
      <c r="GC82" s="17"/>
      <c r="GD82" s="17"/>
      <c r="GE82" s="17"/>
      <c r="GF82" s="17"/>
      <c r="GG82" s="17"/>
      <c r="GH82" s="17"/>
      <c r="GI82" s="17"/>
      <c r="GJ82" s="17"/>
      <c r="GK82" s="17"/>
      <c r="GL82" s="17"/>
      <c r="GM82" s="17"/>
      <c r="GN82" s="17"/>
      <c r="GO82" s="17"/>
      <c r="GP82" s="17"/>
      <c r="GQ82" s="17"/>
      <c r="GR82" s="17"/>
      <c r="GS82" s="17"/>
      <c r="GT82" s="17"/>
      <c r="GU82" s="17"/>
      <c r="GV82" s="17"/>
      <c r="GW82" s="17"/>
      <c r="GX82" s="17"/>
      <c r="GY82" s="17"/>
      <c r="GZ82" s="17"/>
      <c r="HA82" s="17"/>
      <c r="HB82" s="17"/>
      <c r="HC82" s="17"/>
      <c r="HD82" s="17"/>
      <c r="HE82" s="17"/>
      <c r="HF82" s="17"/>
      <c r="HG82" s="17"/>
      <c r="HH82" s="17"/>
      <c r="HI82" s="17"/>
      <c r="HJ82" s="17"/>
      <c r="HK82" s="17"/>
      <c r="HL82" s="17"/>
      <c r="HM82" s="17"/>
      <c r="HN82" s="17"/>
      <c r="HO82" s="17"/>
      <c r="HP82" s="17"/>
      <c r="HQ82" s="17"/>
      <c r="HR82" s="17"/>
      <c r="HS82" s="17"/>
      <c r="HT82" s="17"/>
      <c r="HU82" s="17"/>
      <c r="HV82" s="17"/>
      <c r="HW82" s="17"/>
      <c r="HX82" s="17"/>
      <c r="HY82" s="17"/>
      <c r="HZ82" s="17"/>
    </row>
    <row r="83" spans="11:234" ht="15" x14ac:dyDescent="0.25"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17"/>
      <c r="CF83" s="1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17"/>
      <c r="DR83" s="17"/>
      <c r="DS83" s="17"/>
      <c r="DT83" s="17"/>
      <c r="DU83" s="17"/>
      <c r="DV83" s="17"/>
      <c r="DW83" s="17"/>
      <c r="DX83" s="17"/>
      <c r="DY83" s="17"/>
      <c r="DZ83" s="17"/>
      <c r="EA83" s="17"/>
      <c r="EB83" s="17"/>
      <c r="EC83" s="17"/>
      <c r="ED83" s="17"/>
      <c r="EE83" s="17"/>
      <c r="EF83" s="17"/>
      <c r="EG83" s="17"/>
      <c r="EH83" s="17"/>
      <c r="EI83" s="17"/>
      <c r="EJ83" s="17"/>
      <c r="EK83" s="17"/>
      <c r="EL83" s="17"/>
      <c r="EM83" s="17"/>
      <c r="EN83" s="17"/>
      <c r="EO83" s="17"/>
      <c r="EP83" s="17"/>
      <c r="EQ83" s="17"/>
      <c r="ER83" s="17"/>
      <c r="ES83" s="17"/>
      <c r="ET83" s="17"/>
      <c r="EU83" s="17"/>
      <c r="EV83" s="17"/>
      <c r="EW83" s="17"/>
      <c r="EX83" s="17"/>
      <c r="EY83" s="17"/>
      <c r="EZ83" s="17"/>
      <c r="FA83" s="17"/>
      <c r="FB83" s="17"/>
      <c r="FC83" s="17"/>
      <c r="FD83" s="17"/>
      <c r="FE83" s="17"/>
      <c r="FF83" s="17"/>
      <c r="FG83" s="17"/>
      <c r="FH83" s="17"/>
      <c r="FI83" s="17"/>
      <c r="FJ83" s="17"/>
      <c r="FK83" s="17"/>
      <c r="FL83" s="17"/>
      <c r="FM83" s="17"/>
      <c r="FN83" s="17"/>
      <c r="FO83" s="17"/>
      <c r="FP83" s="17"/>
      <c r="FQ83" s="17"/>
      <c r="FR83" s="17"/>
      <c r="FS83" s="17"/>
      <c r="FT83" s="17"/>
      <c r="FU83" s="17"/>
      <c r="FV83" s="17"/>
      <c r="FW83" s="17"/>
      <c r="FX83" s="17"/>
      <c r="FY83" s="17"/>
      <c r="FZ83" s="17"/>
      <c r="GA83" s="17"/>
      <c r="GB83" s="17"/>
      <c r="GC83" s="17"/>
      <c r="GD83" s="17"/>
      <c r="GE83" s="17"/>
      <c r="GF83" s="17"/>
      <c r="GG83" s="17"/>
      <c r="GH83" s="17"/>
      <c r="GI83" s="17"/>
      <c r="GJ83" s="17"/>
      <c r="GK83" s="17"/>
      <c r="GL83" s="17"/>
      <c r="GM83" s="17"/>
      <c r="GN83" s="17"/>
      <c r="GO83" s="17"/>
      <c r="GP83" s="17"/>
      <c r="GQ83" s="17"/>
      <c r="GR83" s="17"/>
      <c r="GS83" s="17"/>
      <c r="GT83" s="17"/>
      <c r="GU83" s="17"/>
      <c r="GV83" s="17"/>
      <c r="GW83" s="17"/>
      <c r="GX83" s="17"/>
      <c r="GY83" s="17"/>
      <c r="GZ83" s="17"/>
      <c r="HA83" s="17"/>
      <c r="HB83" s="17"/>
      <c r="HC83" s="17"/>
      <c r="HD83" s="17"/>
      <c r="HE83" s="17"/>
      <c r="HF83" s="17"/>
      <c r="HG83" s="17"/>
      <c r="HH83" s="17"/>
      <c r="HI83" s="17"/>
      <c r="HJ83" s="17"/>
      <c r="HK83" s="17"/>
      <c r="HL83" s="17"/>
      <c r="HM83" s="17"/>
      <c r="HN83" s="17"/>
      <c r="HO83" s="17"/>
      <c r="HP83" s="17"/>
      <c r="HQ83" s="17"/>
      <c r="HR83" s="17"/>
      <c r="HS83" s="17"/>
      <c r="HT83" s="17"/>
      <c r="HU83" s="17"/>
      <c r="HV83" s="17"/>
      <c r="HW83" s="17"/>
      <c r="HX83" s="17"/>
      <c r="HY83" s="17"/>
      <c r="HZ83" s="17"/>
    </row>
    <row r="84" spans="11:234" ht="15" x14ac:dyDescent="0.25"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CF84" s="1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  <c r="CZ84" s="17"/>
      <c r="DA84" s="17"/>
      <c r="DB84" s="17"/>
      <c r="DC84" s="17"/>
      <c r="DD84" s="17"/>
      <c r="DE84" s="17"/>
      <c r="DF84" s="17"/>
      <c r="DG84" s="17"/>
      <c r="DH84" s="17"/>
      <c r="DI84" s="17"/>
      <c r="DJ84" s="17"/>
      <c r="DK84" s="17"/>
      <c r="DL84" s="17"/>
      <c r="DM84" s="17"/>
      <c r="DN84" s="17"/>
      <c r="DO84" s="17"/>
      <c r="DP84" s="17"/>
      <c r="DQ84" s="17"/>
      <c r="DR84" s="17"/>
      <c r="DS84" s="17"/>
      <c r="DT84" s="17"/>
      <c r="DU84" s="17"/>
      <c r="DV84" s="17"/>
      <c r="DW84" s="17"/>
      <c r="DX84" s="17"/>
      <c r="DY84" s="17"/>
      <c r="DZ84" s="17"/>
      <c r="EA84" s="17"/>
      <c r="EB84" s="17"/>
      <c r="EC84" s="17"/>
      <c r="ED84" s="17"/>
      <c r="EE84" s="17"/>
      <c r="EF84" s="17"/>
      <c r="EG84" s="17"/>
      <c r="EH84" s="17"/>
      <c r="EI84" s="17"/>
      <c r="EJ84" s="17"/>
      <c r="EK84" s="17"/>
      <c r="EL84" s="17"/>
      <c r="EM84" s="17"/>
      <c r="EN84" s="17"/>
      <c r="EO84" s="17"/>
      <c r="EP84" s="17"/>
      <c r="EQ84" s="17"/>
      <c r="ER84" s="17"/>
      <c r="ES84" s="17"/>
      <c r="ET84" s="17"/>
      <c r="EU84" s="17"/>
      <c r="EV84" s="17"/>
      <c r="EW84" s="17"/>
      <c r="EX84" s="17"/>
      <c r="EY84" s="17"/>
      <c r="EZ84" s="17"/>
      <c r="FA84" s="17"/>
      <c r="FB84" s="17"/>
      <c r="FC84" s="17"/>
      <c r="FD84" s="17"/>
      <c r="FE84" s="17"/>
      <c r="FF84" s="17"/>
      <c r="FG84" s="17"/>
      <c r="FH84" s="17"/>
      <c r="FI84" s="17"/>
      <c r="FJ84" s="17"/>
      <c r="FK84" s="17"/>
      <c r="FL84" s="17"/>
      <c r="FM84" s="17"/>
      <c r="FN84" s="17"/>
      <c r="FO84" s="17"/>
      <c r="FP84" s="17"/>
      <c r="FQ84" s="17"/>
      <c r="FR84" s="17"/>
      <c r="FS84" s="17"/>
      <c r="FT84" s="17"/>
      <c r="FU84" s="17"/>
      <c r="FV84" s="17"/>
      <c r="FW84" s="17"/>
      <c r="FX84" s="17"/>
      <c r="FY84" s="17"/>
      <c r="FZ84" s="17"/>
      <c r="GA84" s="17"/>
      <c r="GB84" s="17"/>
      <c r="GC84" s="17"/>
      <c r="GD84" s="17"/>
      <c r="GE84" s="17"/>
      <c r="GF84" s="17"/>
      <c r="GG84" s="17"/>
      <c r="GH84" s="17"/>
      <c r="GI84" s="17"/>
      <c r="GJ84" s="17"/>
      <c r="GK84" s="17"/>
      <c r="GL84" s="17"/>
      <c r="GM84" s="17"/>
      <c r="GN84" s="17"/>
      <c r="GO84" s="17"/>
      <c r="GP84" s="17"/>
      <c r="GQ84" s="17"/>
      <c r="GR84" s="17"/>
      <c r="GS84" s="17"/>
      <c r="GT84" s="17"/>
      <c r="GU84" s="17"/>
      <c r="GV84" s="17"/>
      <c r="GW84" s="17"/>
      <c r="GX84" s="17"/>
      <c r="GY84" s="17"/>
      <c r="GZ84" s="17"/>
      <c r="HA84" s="17"/>
      <c r="HB84" s="17"/>
      <c r="HC84" s="17"/>
      <c r="HD84" s="17"/>
      <c r="HE84" s="17"/>
      <c r="HF84" s="17"/>
      <c r="HG84" s="17"/>
      <c r="HH84" s="17"/>
      <c r="HI84" s="17"/>
      <c r="HJ84" s="17"/>
      <c r="HK84" s="17"/>
      <c r="HL84" s="17"/>
      <c r="HM84" s="17"/>
      <c r="HN84" s="17"/>
      <c r="HO84" s="17"/>
      <c r="HP84" s="17"/>
      <c r="HQ84" s="17"/>
      <c r="HR84" s="17"/>
      <c r="HS84" s="17"/>
      <c r="HT84" s="17"/>
      <c r="HU84" s="17"/>
      <c r="HV84" s="17"/>
      <c r="HW84" s="17"/>
      <c r="HX84" s="17"/>
      <c r="HY84" s="17"/>
      <c r="HZ84" s="17"/>
    </row>
    <row r="85" spans="11:234" ht="15" x14ac:dyDescent="0.25"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  <c r="CZ85" s="17"/>
      <c r="DA85" s="17"/>
      <c r="DB85" s="17"/>
      <c r="DC85" s="17"/>
      <c r="DD85" s="17"/>
      <c r="DE85" s="17"/>
      <c r="DF85" s="17"/>
      <c r="DG85" s="17"/>
      <c r="DH85" s="17"/>
      <c r="DI85" s="17"/>
      <c r="DJ85" s="17"/>
      <c r="DK85" s="17"/>
      <c r="DL85" s="17"/>
      <c r="DM85" s="17"/>
      <c r="DN85" s="17"/>
      <c r="DO85" s="17"/>
      <c r="DP85" s="17"/>
      <c r="DQ85" s="17"/>
      <c r="DR85" s="17"/>
      <c r="DS85" s="17"/>
      <c r="DT85" s="17"/>
      <c r="DU85" s="17"/>
      <c r="DV85" s="17"/>
      <c r="DW85" s="17"/>
      <c r="DX85" s="17"/>
      <c r="DY85" s="17"/>
      <c r="DZ85" s="17"/>
      <c r="EA85" s="17"/>
      <c r="EB85" s="17"/>
      <c r="EC85" s="17"/>
      <c r="ED85" s="17"/>
      <c r="EE85" s="17"/>
      <c r="EF85" s="17"/>
      <c r="EG85" s="17"/>
      <c r="EH85" s="17"/>
      <c r="EI85" s="17"/>
      <c r="EJ85" s="17"/>
      <c r="EK85" s="17"/>
      <c r="EL85" s="17"/>
      <c r="EM85" s="17"/>
      <c r="EN85" s="17"/>
      <c r="EO85" s="17"/>
      <c r="EP85" s="17"/>
      <c r="EQ85" s="17"/>
      <c r="ER85" s="17"/>
      <c r="ES85" s="17"/>
      <c r="ET85" s="17"/>
      <c r="EU85" s="17"/>
      <c r="EV85" s="17"/>
      <c r="EW85" s="17"/>
      <c r="EX85" s="17"/>
      <c r="EY85" s="17"/>
      <c r="EZ85" s="17"/>
      <c r="FA85" s="17"/>
      <c r="FB85" s="17"/>
      <c r="FC85" s="17"/>
      <c r="FD85" s="17"/>
      <c r="FE85" s="17"/>
      <c r="FF85" s="17"/>
      <c r="FG85" s="17"/>
      <c r="FH85" s="17"/>
      <c r="FI85" s="17"/>
      <c r="FJ85" s="17"/>
      <c r="FK85" s="17"/>
      <c r="FL85" s="17"/>
      <c r="FM85" s="17"/>
      <c r="FN85" s="17"/>
      <c r="FO85" s="17"/>
      <c r="FP85" s="17"/>
      <c r="FQ85" s="17"/>
      <c r="FR85" s="17"/>
      <c r="FS85" s="17"/>
      <c r="FT85" s="17"/>
      <c r="FU85" s="17"/>
      <c r="FV85" s="17"/>
      <c r="FW85" s="17"/>
      <c r="FX85" s="17"/>
      <c r="FY85" s="17"/>
      <c r="FZ85" s="17"/>
      <c r="GA85" s="17"/>
      <c r="GB85" s="17"/>
      <c r="GC85" s="17"/>
      <c r="GD85" s="17"/>
      <c r="GE85" s="17"/>
      <c r="GF85" s="17"/>
      <c r="GG85" s="17"/>
      <c r="GH85" s="17"/>
      <c r="GI85" s="17"/>
      <c r="GJ85" s="17"/>
      <c r="GK85" s="17"/>
      <c r="GL85" s="17"/>
      <c r="GM85" s="17"/>
      <c r="GN85" s="17"/>
      <c r="GO85" s="17"/>
      <c r="GP85" s="17"/>
      <c r="GQ85" s="17"/>
      <c r="GR85" s="17"/>
      <c r="GS85" s="17"/>
      <c r="GT85" s="17"/>
      <c r="GU85" s="17"/>
      <c r="GV85" s="17"/>
      <c r="GW85" s="17"/>
      <c r="GX85" s="17"/>
      <c r="GY85" s="17"/>
      <c r="GZ85" s="17"/>
      <c r="HA85" s="17"/>
      <c r="HB85" s="17"/>
      <c r="HC85" s="17"/>
      <c r="HD85" s="17"/>
      <c r="HE85" s="17"/>
      <c r="HF85" s="17"/>
      <c r="HG85" s="17"/>
      <c r="HH85" s="17"/>
      <c r="HI85" s="17"/>
      <c r="HJ85" s="17"/>
      <c r="HK85" s="17"/>
      <c r="HL85" s="17"/>
      <c r="HM85" s="17"/>
      <c r="HN85" s="17"/>
      <c r="HO85" s="17"/>
      <c r="HP85" s="17"/>
      <c r="HQ85" s="17"/>
      <c r="HR85" s="17"/>
      <c r="HS85" s="17"/>
      <c r="HT85" s="17"/>
      <c r="HU85" s="17"/>
      <c r="HV85" s="17"/>
      <c r="HW85" s="17"/>
      <c r="HX85" s="17"/>
      <c r="HY85" s="17"/>
      <c r="HZ85" s="17"/>
    </row>
    <row r="86" spans="11:234" ht="15" x14ac:dyDescent="0.25"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  <c r="CZ86" s="17"/>
      <c r="DA86" s="17"/>
      <c r="DB86" s="17"/>
      <c r="DC86" s="17"/>
      <c r="DD86" s="17"/>
      <c r="DE86" s="17"/>
      <c r="DF86" s="17"/>
      <c r="DG86" s="17"/>
      <c r="DH86" s="17"/>
      <c r="DI86" s="17"/>
      <c r="DJ86" s="17"/>
      <c r="DK86" s="17"/>
      <c r="DL86" s="17"/>
      <c r="DM86" s="17"/>
      <c r="DN86" s="17"/>
      <c r="DO86" s="17"/>
      <c r="DP86" s="17"/>
      <c r="DQ86" s="17"/>
      <c r="DR86" s="17"/>
      <c r="DS86" s="17"/>
      <c r="DT86" s="17"/>
      <c r="DU86" s="17"/>
      <c r="DV86" s="17"/>
      <c r="DW86" s="17"/>
      <c r="DX86" s="17"/>
      <c r="DY86" s="17"/>
      <c r="DZ86" s="17"/>
      <c r="EA86" s="17"/>
      <c r="EB86" s="17"/>
      <c r="EC86" s="17"/>
      <c r="ED86" s="17"/>
      <c r="EE86" s="17"/>
      <c r="EF86" s="17"/>
      <c r="EG86" s="17"/>
      <c r="EH86" s="17"/>
      <c r="EI86" s="17"/>
      <c r="EJ86" s="17"/>
      <c r="EK86" s="17"/>
      <c r="EL86" s="17"/>
      <c r="EM86" s="17"/>
      <c r="EN86" s="17"/>
      <c r="EO86" s="17"/>
      <c r="EP86" s="17"/>
      <c r="EQ86" s="17"/>
      <c r="ER86" s="17"/>
      <c r="ES86" s="17"/>
      <c r="ET86" s="17"/>
      <c r="EU86" s="17"/>
      <c r="EV86" s="17"/>
      <c r="EW86" s="17"/>
      <c r="EX86" s="17"/>
      <c r="EY86" s="17"/>
      <c r="EZ86" s="17"/>
      <c r="FA86" s="17"/>
      <c r="FB86" s="17"/>
      <c r="FC86" s="17"/>
      <c r="FD86" s="17"/>
      <c r="FE86" s="17"/>
      <c r="FF86" s="17"/>
      <c r="FG86" s="17"/>
      <c r="FH86" s="17"/>
      <c r="FI86" s="17"/>
      <c r="FJ86" s="17"/>
      <c r="FK86" s="17"/>
      <c r="FL86" s="17"/>
      <c r="FM86" s="17"/>
      <c r="FN86" s="17"/>
      <c r="FO86" s="17"/>
      <c r="FP86" s="17"/>
      <c r="FQ86" s="17"/>
      <c r="FR86" s="17"/>
      <c r="FS86" s="17"/>
      <c r="FT86" s="17"/>
      <c r="FU86" s="17"/>
      <c r="FV86" s="17"/>
      <c r="FW86" s="17"/>
      <c r="FX86" s="17"/>
      <c r="FY86" s="17"/>
      <c r="FZ86" s="17"/>
      <c r="GA86" s="17"/>
      <c r="GB86" s="17"/>
      <c r="GC86" s="17"/>
      <c r="GD86" s="17"/>
      <c r="GE86" s="17"/>
      <c r="GF86" s="17"/>
      <c r="GG86" s="17"/>
      <c r="GH86" s="17"/>
      <c r="GI86" s="17"/>
      <c r="GJ86" s="17"/>
      <c r="GK86" s="17"/>
      <c r="GL86" s="17"/>
      <c r="GM86" s="17"/>
      <c r="GN86" s="17"/>
      <c r="GO86" s="17"/>
      <c r="GP86" s="17"/>
      <c r="GQ86" s="17"/>
      <c r="GR86" s="17"/>
      <c r="GS86" s="17"/>
      <c r="GT86" s="17"/>
      <c r="GU86" s="17"/>
      <c r="GV86" s="17"/>
      <c r="GW86" s="17"/>
      <c r="GX86" s="17"/>
      <c r="GY86" s="17"/>
      <c r="GZ86" s="17"/>
      <c r="HA86" s="17"/>
      <c r="HB86" s="17"/>
      <c r="HC86" s="17"/>
      <c r="HD86" s="17"/>
      <c r="HE86" s="17"/>
      <c r="HF86" s="17"/>
      <c r="HG86" s="17"/>
      <c r="HH86" s="17"/>
      <c r="HI86" s="17"/>
      <c r="HJ86" s="17"/>
      <c r="HK86" s="17"/>
      <c r="HL86" s="17"/>
      <c r="HM86" s="17"/>
      <c r="HN86" s="17"/>
      <c r="HO86" s="17"/>
      <c r="HP86" s="17"/>
      <c r="HQ86" s="17"/>
      <c r="HR86" s="17"/>
      <c r="HS86" s="17"/>
      <c r="HT86" s="17"/>
      <c r="HU86" s="17"/>
      <c r="HV86" s="17"/>
      <c r="HW86" s="17"/>
      <c r="HX86" s="17"/>
      <c r="HY86" s="17"/>
      <c r="HZ86" s="17"/>
    </row>
    <row r="87" spans="11:234" ht="15" x14ac:dyDescent="0.25"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7"/>
      <c r="DA87" s="17"/>
      <c r="DB87" s="17"/>
      <c r="DC87" s="17"/>
      <c r="DD87" s="17"/>
      <c r="DE87" s="17"/>
      <c r="DF87" s="17"/>
      <c r="DG87" s="17"/>
      <c r="DH87" s="17"/>
      <c r="DI87" s="17"/>
      <c r="DJ87" s="17"/>
      <c r="DK87" s="17"/>
      <c r="DL87" s="17"/>
      <c r="DM87" s="17"/>
      <c r="DN87" s="17"/>
      <c r="DO87" s="17"/>
      <c r="DP87" s="17"/>
      <c r="DQ87" s="17"/>
      <c r="DR87" s="17"/>
      <c r="DS87" s="17"/>
      <c r="DT87" s="17"/>
      <c r="DU87" s="17"/>
      <c r="DV87" s="17"/>
      <c r="DW87" s="17"/>
      <c r="DX87" s="17"/>
      <c r="DY87" s="17"/>
      <c r="DZ87" s="17"/>
      <c r="EA87" s="17"/>
      <c r="EB87" s="17"/>
      <c r="EC87" s="17"/>
      <c r="ED87" s="17"/>
      <c r="EE87" s="17"/>
      <c r="EF87" s="17"/>
      <c r="EG87" s="17"/>
      <c r="EH87" s="17"/>
      <c r="EI87" s="17"/>
      <c r="EJ87" s="17"/>
      <c r="EK87" s="17"/>
      <c r="EL87" s="17"/>
      <c r="EM87" s="17"/>
      <c r="EN87" s="17"/>
      <c r="EO87" s="17"/>
      <c r="EP87" s="17"/>
      <c r="EQ87" s="17"/>
      <c r="ER87" s="17"/>
      <c r="ES87" s="17"/>
      <c r="ET87" s="17"/>
      <c r="EU87" s="17"/>
      <c r="EV87" s="17"/>
      <c r="EW87" s="17"/>
      <c r="EX87" s="17"/>
      <c r="EY87" s="17"/>
      <c r="EZ87" s="17"/>
      <c r="FA87" s="17"/>
      <c r="FB87" s="17"/>
      <c r="FC87" s="17"/>
      <c r="FD87" s="17"/>
      <c r="FE87" s="17"/>
      <c r="FF87" s="17"/>
      <c r="FG87" s="17"/>
      <c r="FH87" s="17"/>
      <c r="FI87" s="17"/>
      <c r="FJ87" s="17"/>
      <c r="FK87" s="17"/>
      <c r="FL87" s="17"/>
      <c r="FM87" s="17"/>
      <c r="FN87" s="17"/>
      <c r="FO87" s="17"/>
      <c r="FP87" s="17"/>
      <c r="FQ87" s="17"/>
      <c r="FR87" s="17"/>
      <c r="FS87" s="17"/>
      <c r="FT87" s="17"/>
      <c r="FU87" s="17"/>
      <c r="FV87" s="17"/>
      <c r="FW87" s="17"/>
      <c r="FX87" s="17"/>
      <c r="FY87" s="17"/>
      <c r="FZ87" s="17"/>
      <c r="GA87" s="17"/>
      <c r="GB87" s="17"/>
      <c r="GC87" s="17"/>
      <c r="GD87" s="17"/>
      <c r="GE87" s="17"/>
      <c r="GF87" s="17"/>
      <c r="GG87" s="17"/>
      <c r="GH87" s="17"/>
      <c r="GI87" s="17"/>
      <c r="GJ87" s="17"/>
      <c r="GK87" s="17"/>
      <c r="GL87" s="17"/>
      <c r="GM87" s="17"/>
      <c r="GN87" s="17"/>
      <c r="GO87" s="17"/>
      <c r="GP87" s="17"/>
      <c r="GQ87" s="17"/>
      <c r="GR87" s="17"/>
      <c r="GS87" s="17"/>
      <c r="GT87" s="17"/>
      <c r="GU87" s="17"/>
      <c r="GV87" s="17"/>
      <c r="GW87" s="17"/>
      <c r="GX87" s="17"/>
      <c r="GY87" s="17"/>
      <c r="GZ87" s="17"/>
      <c r="HA87" s="17"/>
      <c r="HB87" s="17"/>
      <c r="HC87" s="17"/>
      <c r="HD87" s="17"/>
      <c r="HE87" s="17"/>
      <c r="HF87" s="17"/>
      <c r="HG87" s="17"/>
      <c r="HH87" s="17"/>
      <c r="HI87" s="17"/>
      <c r="HJ87" s="17"/>
      <c r="HK87" s="17"/>
      <c r="HL87" s="17"/>
      <c r="HM87" s="17"/>
      <c r="HN87" s="17"/>
      <c r="HO87" s="17"/>
      <c r="HP87" s="17"/>
      <c r="HQ87" s="17"/>
      <c r="HR87" s="17"/>
      <c r="HS87" s="17"/>
      <c r="HT87" s="17"/>
      <c r="HU87" s="17"/>
      <c r="HV87" s="17"/>
      <c r="HW87" s="17"/>
      <c r="HX87" s="17"/>
      <c r="HY87" s="17"/>
      <c r="HZ87" s="17"/>
    </row>
    <row r="88" spans="11:234" ht="15" x14ac:dyDescent="0.25">
      <c r="BU88" s="17"/>
      <c r="BV88" s="17"/>
      <c r="BW88" s="17"/>
      <c r="BX88" s="17"/>
      <c r="BY88" s="17"/>
      <c r="BZ88" s="17"/>
      <c r="CA88" s="17"/>
      <c r="CB88" s="17"/>
      <c r="CC88" s="17"/>
      <c r="CD88" s="17"/>
      <c r="CE88" s="17"/>
      <c r="CF88" s="1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  <c r="CZ88" s="17"/>
      <c r="DA88" s="17"/>
      <c r="DB88" s="17"/>
      <c r="DC88" s="17"/>
      <c r="DD88" s="17"/>
      <c r="DE88" s="17"/>
      <c r="DF88" s="17"/>
      <c r="DG88" s="17"/>
      <c r="DH88" s="17"/>
      <c r="DI88" s="17"/>
      <c r="DJ88" s="17"/>
      <c r="DK88" s="17"/>
      <c r="DL88" s="17"/>
      <c r="DM88" s="17"/>
      <c r="DN88" s="17"/>
      <c r="DO88" s="17"/>
      <c r="DP88" s="17"/>
      <c r="DQ88" s="17"/>
      <c r="DR88" s="17"/>
      <c r="DS88" s="17"/>
      <c r="DT88" s="17"/>
      <c r="DU88" s="17"/>
      <c r="DV88" s="17"/>
      <c r="DW88" s="17"/>
      <c r="DX88" s="17"/>
      <c r="DY88" s="17"/>
      <c r="DZ88" s="17"/>
      <c r="EA88" s="17"/>
      <c r="EB88" s="17"/>
      <c r="EC88" s="17"/>
      <c r="ED88" s="17"/>
      <c r="EE88" s="17"/>
      <c r="EF88" s="17"/>
      <c r="EG88" s="17"/>
      <c r="EH88" s="17"/>
      <c r="EI88" s="17"/>
      <c r="EJ88" s="17"/>
      <c r="EK88" s="17"/>
      <c r="EL88" s="17"/>
      <c r="EM88" s="17"/>
      <c r="EN88" s="17"/>
      <c r="EO88" s="17"/>
      <c r="EP88" s="17"/>
      <c r="EQ88" s="17"/>
      <c r="ER88" s="17"/>
      <c r="ES88" s="17"/>
      <c r="ET88" s="17"/>
      <c r="EU88" s="17"/>
      <c r="EV88" s="17"/>
      <c r="EW88" s="17"/>
      <c r="EX88" s="17"/>
      <c r="EY88" s="17"/>
      <c r="EZ88" s="17"/>
      <c r="FA88" s="17"/>
      <c r="FB88" s="17"/>
      <c r="FC88" s="17"/>
      <c r="FD88" s="17"/>
      <c r="FE88" s="17"/>
      <c r="FF88" s="17"/>
      <c r="FG88" s="17"/>
      <c r="FH88" s="17"/>
      <c r="FI88" s="17"/>
      <c r="FJ88" s="17"/>
      <c r="FK88" s="17"/>
      <c r="FL88" s="17"/>
      <c r="FM88" s="17"/>
      <c r="FN88" s="17"/>
      <c r="FO88" s="17"/>
      <c r="FP88" s="17"/>
      <c r="FQ88" s="17"/>
      <c r="FR88" s="17"/>
      <c r="FS88" s="17"/>
      <c r="FT88" s="17"/>
      <c r="FU88" s="17"/>
      <c r="FV88" s="17"/>
      <c r="FW88" s="17"/>
      <c r="FX88" s="17"/>
      <c r="FY88" s="17"/>
      <c r="FZ88" s="17"/>
      <c r="GA88" s="17"/>
      <c r="GB88" s="17"/>
      <c r="GC88" s="17"/>
      <c r="GD88" s="17"/>
      <c r="GE88" s="17"/>
      <c r="GF88" s="17"/>
      <c r="GG88" s="17"/>
      <c r="GH88" s="17"/>
      <c r="GI88" s="17"/>
      <c r="GJ88" s="17"/>
      <c r="GK88" s="17"/>
      <c r="GL88" s="17"/>
      <c r="GM88" s="17"/>
      <c r="GN88" s="17"/>
      <c r="GO88" s="17"/>
      <c r="GP88" s="17"/>
      <c r="GQ88" s="17"/>
      <c r="GR88" s="17"/>
      <c r="GS88" s="17"/>
      <c r="GT88" s="17"/>
      <c r="GU88" s="17"/>
      <c r="GV88" s="17"/>
      <c r="GW88" s="17"/>
      <c r="GX88" s="17"/>
      <c r="GY88" s="17"/>
      <c r="GZ88" s="17"/>
      <c r="HA88" s="17"/>
      <c r="HB88" s="17"/>
      <c r="HC88" s="17"/>
      <c r="HD88" s="17"/>
      <c r="HE88" s="17"/>
      <c r="HF88" s="17"/>
      <c r="HG88" s="17"/>
      <c r="HH88" s="17"/>
      <c r="HI88" s="17"/>
      <c r="HJ88" s="17"/>
      <c r="HK88" s="17"/>
      <c r="HL88" s="17"/>
      <c r="HM88" s="17"/>
      <c r="HN88" s="17"/>
      <c r="HO88" s="17"/>
      <c r="HP88" s="17"/>
      <c r="HQ88" s="17"/>
      <c r="HR88" s="17"/>
      <c r="HS88" s="17"/>
      <c r="HT88" s="17"/>
      <c r="HU88" s="17"/>
      <c r="HV88" s="17"/>
      <c r="HW88" s="17"/>
      <c r="HX88" s="17"/>
      <c r="HY88" s="17"/>
      <c r="HZ88" s="17"/>
    </row>
    <row r="89" spans="11:234" ht="15" x14ac:dyDescent="0.25">
      <c r="BU89" s="17"/>
      <c r="BV89" s="17"/>
      <c r="BW89" s="17"/>
      <c r="BX89" s="17"/>
      <c r="BY89" s="17"/>
      <c r="BZ89" s="17"/>
      <c r="CA89" s="17"/>
      <c r="CB89" s="17"/>
      <c r="CC89" s="17"/>
      <c r="CD89" s="17"/>
      <c r="CE89" s="17"/>
      <c r="CF89" s="1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CY89" s="17"/>
      <c r="CZ89" s="17"/>
      <c r="DA89" s="17"/>
      <c r="DB89" s="17"/>
      <c r="DC89" s="17"/>
      <c r="DD89" s="17"/>
      <c r="DE89" s="17"/>
      <c r="DF89" s="17"/>
      <c r="DG89" s="17"/>
      <c r="DH89" s="17"/>
      <c r="DI89" s="17"/>
      <c r="DJ89" s="17"/>
      <c r="DK89" s="17"/>
      <c r="DL89" s="17"/>
      <c r="DM89" s="17"/>
      <c r="DN89" s="17"/>
      <c r="DO89" s="17"/>
      <c r="DP89" s="17"/>
      <c r="DQ89" s="17"/>
      <c r="DR89" s="17"/>
      <c r="DS89" s="17"/>
      <c r="DT89" s="17"/>
      <c r="DU89" s="17"/>
      <c r="DV89" s="17"/>
      <c r="DW89" s="17"/>
      <c r="DX89" s="17"/>
      <c r="DY89" s="17"/>
      <c r="DZ89" s="17"/>
      <c r="EA89" s="17"/>
      <c r="EB89" s="17"/>
      <c r="EC89" s="17"/>
      <c r="ED89" s="17"/>
      <c r="EE89" s="17"/>
      <c r="EF89" s="17"/>
      <c r="EG89" s="17"/>
      <c r="EH89" s="17"/>
      <c r="EI89" s="17"/>
      <c r="EJ89" s="17"/>
      <c r="EK89" s="17"/>
      <c r="EL89" s="17"/>
      <c r="EM89" s="17"/>
      <c r="EN89" s="17"/>
      <c r="EO89" s="17"/>
      <c r="EP89" s="17"/>
      <c r="EQ89" s="17"/>
      <c r="ER89" s="17"/>
      <c r="ES89" s="17"/>
      <c r="ET89" s="17"/>
      <c r="EU89" s="17"/>
      <c r="EV89" s="17"/>
      <c r="EW89" s="17"/>
      <c r="EX89" s="17"/>
      <c r="EY89" s="17"/>
      <c r="EZ89" s="17"/>
      <c r="FA89" s="17"/>
      <c r="FB89" s="17"/>
      <c r="FC89" s="17"/>
      <c r="FD89" s="17"/>
      <c r="FE89" s="17"/>
      <c r="FF89" s="17"/>
      <c r="FG89" s="17"/>
      <c r="FH89" s="17"/>
      <c r="FI89" s="17"/>
      <c r="FJ89" s="17"/>
      <c r="FK89" s="17"/>
      <c r="FL89" s="17"/>
      <c r="FM89" s="17"/>
      <c r="FN89" s="17"/>
      <c r="FO89" s="17"/>
      <c r="FP89" s="17"/>
      <c r="FQ89" s="17"/>
      <c r="FR89" s="17"/>
      <c r="FS89" s="17"/>
      <c r="FT89" s="17"/>
      <c r="FU89" s="17"/>
      <c r="FV89" s="17"/>
      <c r="FW89" s="17"/>
      <c r="FX89" s="17"/>
      <c r="FY89" s="17"/>
      <c r="FZ89" s="17"/>
      <c r="GA89" s="17"/>
      <c r="GB89" s="17"/>
      <c r="GC89" s="17"/>
      <c r="GD89" s="17"/>
      <c r="GE89" s="17"/>
      <c r="GF89" s="17"/>
      <c r="GG89" s="17"/>
      <c r="GH89" s="17"/>
      <c r="GI89" s="17"/>
      <c r="GJ89" s="17"/>
      <c r="GK89" s="17"/>
      <c r="GL89" s="17"/>
      <c r="GM89" s="17"/>
      <c r="GN89" s="17"/>
      <c r="GO89" s="17"/>
      <c r="GP89" s="17"/>
      <c r="GQ89" s="17"/>
      <c r="GR89" s="17"/>
      <c r="GS89" s="17"/>
      <c r="GT89" s="17"/>
      <c r="GU89" s="17"/>
      <c r="GV89" s="17"/>
      <c r="GW89" s="17"/>
      <c r="GX89" s="17"/>
      <c r="GY89" s="17"/>
      <c r="GZ89" s="17"/>
      <c r="HA89" s="17"/>
      <c r="HB89" s="17"/>
      <c r="HC89" s="17"/>
      <c r="HD89" s="17"/>
      <c r="HE89" s="17"/>
      <c r="HF89" s="17"/>
      <c r="HG89" s="17"/>
      <c r="HH89" s="17"/>
      <c r="HI89" s="17"/>
      <c r="HJ89" s="17"/>
      <c r="HK89" s="17"/>
      <c r="HL89" s="17"/>
      <c r="HM89" s="17"/>
      <c r="HN89" s="17"/>
      <c r="HO89" s="17"/>
      <c r="HP89" s="17"/>
      <c r="HQ89" s="17"/>
      <c r="HR89" s="17"/>
      <c r="HS89" s="17"/>
      <c r="HT89" s="17"/>
      <c r="HU89" s="17"/>
      <c r="HV89" s="17"/>
      <c r="HW89" s="17"/>
      <c r="HX89" s="17"/>
      <c r="HY89" s="17"/>
      <c r="HZ89" s="17"/>
    </row>
    <row r="90" spans="11:234" ht="15" x14ac:dyDescent="0.25">
      <c r="BU90" s="17"/>
      <c r="BV90" s="17"/>
      <c r="BW90" s="17"/>
      <c r="BX90" s="17"/>
      <c r="BY90" s="17"/>
      <c r="BZ90" s="17"/>
      <c r="CA90" s="17"/>
      <c r="CB90" s="17"/>
      <c r="CC90" s="17"/>
      <c r="CD90" s="17"/>
      <c r="CE90" s="17"/>
      <c r="CF90" s="1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  <c r="CR90" s="17"/>
      <c r="CS90" s="17"/>
      <c r="CT90" s="17"/>
      <c r="CU90" s="17"/>
      <c r="CV90" s="17"/>
      <c r="CW90" s="17"/>
      <c r="CX90" s="17"/>
      <c r="CY90" s="17"/>
      <c r="CZ90" s="17"/>
      <c r="DA90" s="17"/>
      <c r="DB90" s="17"/>
      <c r="DC90" s="17"/>
      <c r="DD90" s="17"/>
      <c r="DE90" s="17"/>
      <c r="DF90" s="17"/>
      <c r="DG90" s="17"/>
      <c r="DH90" s="17"/>
      <c r="DI90" s="17"/>
      <c r="DJ90" s="17"/>
      <c r="DK90" s="17"/>
      <c r="DL90" s="17"/>
      <c r="DM90" s="17"/>
      <c r="DN90" s="17"/>
      <c r="DO90" s="17"/>
      <c r="DP90" s="17"/>
      <c r="DQ90" s="17"/>
      <c r="DR90" s="17"/>
      <c r="DS90" s="17"/>
      <c r="DT90" s="17"/>
      <c r="DU90" s="17"/>
      <c r="DV90" s="17"/>
      <c r="DW90" s="17"/>
      <c r="DX90" s="17"/>
      <c r="DY90" s="17"/>
      <c r="DZ90" s="17"/>
      <c r="EA90" s="17"/>
      <c r="EB90" s="17"/>
      <c r="EC90" s="17"/>
      <c r="ED90" s="17"/>
      <c r="EE90" s="17"/>
      <c r="EF90" s="17"/>
      <c r="EG90" s="17"/>
      <c r="EH90" s="17"/>
      <c r="EI90" s="17"/>
      <c r="EJ90" s="17"/>
      <c r="EK90" s="17"/>
      <c r="EL90" s="17"/>
      <c r="EM90" s="17"/>
      <c r="EN90" s="17"/>
      <c r="EO90" s="17"/>
      <c r="EP90" s="17"/>
      <c r="EQ90" s="17"/>
      <c r="ER90" s="17"/>
      <c r="ES90" s="17"/>
      <c r="ET90" s="17"/>
      <c r="EU90" s="17"/>
      <c r="EV90" s="17"/>
      <c r="EW90" s="17"/>
      <c r="EX90" s="17"/>
      <c r="EY90" s="17"/>
      <c r="EZ90" s="17"/>
      <c r="FA90" s="17"/>
      <c r="FB90" s="17"/>
      <c r="FC90" s="17"/>
      <c r="FD90" s="17"/>
      <c r="FE90" s="17"/>
      <c r="FF90" s="17"/>
      <c r="FG90" s="17"/>
      <c r="FH90" s="17"/>
      <c r="FI90" s="17"/>
      <c r="FJ90" s="17"/>
      <c r="FK90" s="17"/>
      <c r="FL90" s="17"/>
      <c r="FM90" s="17"/>
      <c r="FN90" s="17"/>
      <c r="FO90" s="17"/>
      <c r="FP90" s="17"/>
      <c r="FQ90" s="17"/>
      <c r="FR90" s="17"/>
      <c r="FS90" s="17"/>
      <c r="FT90" s="17"/>
      <c r="FU90" s="17"/>
      <c r="FV90" s="17"/>
      <c r="FW90" s="17"/>
      <c r="FX90" s="17"/>
      <c r="FY90" s="17"/>
      <c r="FZ90" s="17"/>
      <c r="GA90" s="17"/>
      <c r="GB90" s="17"/>
      <c r="GC90" s="17"/>
      <c r="GD90" s="17"/>
      <c r="GE90" s="17"/>
      <c r="GF90" s="17"/>
      <c r="GG90" s="17"/>
      <c r="GH90" s="17"/>
      <c r="GI90" s="17"/>
      <c r="GJ90" s="17"/>
      <c r="GK90" s="17"/>
      <c r="GL90" s="17"/>
      <c r="GM90" s="17"/>
      <c r="GN90" s="17"/>
      <c r="GO90" s="17"/>
      <c r="GP90" s="17"/>
      <c r="GQ90" s="17"/>
      <c r="GR90" s="17"/>
      <c r="GS90" s="17"/>
      <c r="GT90" s="17"/>
      <c r="GU90" s="17"/>
      <c r="GV90" s="17"/>
      <c r="GW90" s="17"/>
      <c r="GX90" s="17"/>
      <c r="GY90" s="17"/>
      <c r="GZ90" s="17"/>
      <c r="HA90" s="17"/>
      <c r="HB90" s="17"/>
      <c r="HC90" s="17"/>
      <c r="HD90" s="17"/>
      <c r="HE90" s="17"/>
      <c r="HF90" s="17"/>
      <c r="HG90" s="17"/>
      <c r="HH90" s="17"/>
      <c r="HI90" s="17"/>
      <c r="HJ90" s="17"/>
      <c r="HK90" s="17"/>
      <c r="HL90" s="17"/>
      <c r="HM90" s="17"/>
      <c r="HN90" s="17"/>
      <c r="HO90" s="17"/>
      <c r="HP90" s="17"/>
      <c r="HQ90" s="17"/>
      <c r="HR90" s="17"/>
      <c r="HS90" s="17"/>
      <c r="HT90" s="17"/>
      <c r="HU90" s="17"/>
      <c r="HV90" s="17"/>
      <c r="HW90" s="17"/>
      <c r="HX90" s="17"/>
      <c r="HY90" s="17"/>
      <c r="HZ90" s="17"/>
    </row>
    <row r="91" spans="11:234" ht="15" x14ac:dyDescent="0.25">
      <c r="BU91" s="17"/>
      <c r="BV91" s="17"/>
      <c r="BW91" s="17"/>
      <c r="BX91" s="17"/>
      <c r="BY91" s="17"/>
      <c r="BZ91" s="17"/>
      <c r="CA91" s="17"/>
      <c r="CB91" s="17"/>
      <c r="CC91" s="17"/>
      <c r="CD91" s="17"/>
      <c r="CE91" s="17"/>
      <c r="CF91" s="1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  <c r="CR91" s="17"/>
      <c r="CS91" s="17"/>
      <c r="CT91" s="17"/>
      <c r="CU91" s="17"/>
      <c r="CV91" s="17"/>
      <c r="CW91" s="17"/>
      <c r="CX91" s="17"/>
      <c r="CY91" s="17"/>
      <c r="CZ91" s="17"/>
      <c r="DA91" s="17"/>
      <c r="DB91" s="17"/>
      <c r="DC91" s="17"/>
      <c r="DD91" s="17"/>
      <c r="DE91" s="17"/>
      <c r="DF91" s="17"/>
      <c r="DG91" s="17"/>
      <c r="DH91" s="17"/>
      <c r="DI91" s="17"/>
      <c r="DJ91" s="17"/>
      <c r="DK91" s="17"/>
      <c r="DL91" s="17"/>
      <c r="DM91" s="17"/>
      <c r="DN91" s="17"/>
      <c r="DO91" s="17"/>
      <c r="DP91" s="17"/>
      <c r="DQ91" s="17"/>
      <c r="DR91" s="17"/>
      <c r="DS91" s="17"/>
      <c r="DT91" s="17"/>
      <c r="DU91" s="17"/>
      <c r="DV91" s="17"/>
      <c r="DW91" s="17"/>
      <c r="DX91" s="17"/>
      <c r="DY91" s="17"/>
      <c r="DZ91" s="17"/>
      <c r="EA91" s="17"/>
      <c r="EB91" s="17"/>
      <c r="EC91" s="17"/>
      <c r="ED91" s="17"/>
      <c r="EE91" s="17"/>
      <c r="EF91" s="17"/>
      <c r="EG91" s="17"/>
      <c r="EH91" s="17"/>
      <c r="EI91" s="17"/>
      <c r="EJ91" s="17"/>
      <c r="EK91" s="17"/>
      <c r="EL91" s="17"/>
      <c r="EM91" s="17"/>
      <c r="EN91" s="17"/>
      <c r="EO91" s="17"/>
      <c r="EP91" s="17"/>
      <c r="EQ91" s="17"/>
      <c r="ER91" s="17"/>
      <c r="ES91" s="17"/>
      <c r="ET91" s="17"/>
      <c r="EU91" s="17"/>
      <c r="EV91" s="17"/>
      <c r="EW91" s="17"/>
      <c r="EX91" s="17"/>
      <c r="EY91" s="17"/>
      <c r="EZ91" s="17"/>
      <c r="FA91" s="17"/>
      <c r="FB91" s="17"/>
      <c r="FC91" s="17"/>
      <c r="FD91" s="17"/>
      <c r="FE91" s="17"/>
      <c r="FF91" s="17"/>
      <c r="FG91" s="17"/>
      <c r="FH91" s="17"/>
      <c r="FI91" s="17"/>
      <c r="FJ91" s="17"/>
      <c r="FK91" s="17"/>
      <c r="FL91" s="17"/>
      <c r="FM91" s="17"/>
      <c r="FN91" s="17"/>
      <c r="FO91" s="17"/>
      <c r="FP91" s="17"/>
      <c r="FQ91" s="17"/>
      <c r="FR91" s="17"/>
      <c r="FS91" s="17"/>
      <c r="FT91" s="17"/>
      <c r="FU91" s="17"/>
      <c r="FV91" s="17"/>
      <c r="FW91" s="17"/>
      <c r="FX91" s="17"/>
      <c r="FY91" s="17"/>
      <c r="FZ91" s="17"/>
      <c r="GA91" s="17"/>
      <c r="GB91" s="17"/>
      <c r="GC91" s="17"/>
      <c r="GD91" s="17"/>
      <c r="GE91" s="17"/>
      <c r="GF91" s="17"/>
      <c r="GG91" s="17"/>
      <c r="GH91" s="17"/>
      <c r="GI91" s="17"/>
      <c r="GJ91" s="17"/>
      <c r="GK91" s="17"/>
      <c r="GL91" s="17"/>
      <c r="GM91" s="17"/>
      <c r="GN91" s="17"/>
      <c r="GO91" s="17"/>
      <c r="GP91" s="17"/>
      <c r="GQ91" s="17"/>
      <c r="GR91" s="17"/>
      <c r="GS91" s="17"/>
      <c r="GT91" s="17"/>
      <c r="GU91" s="17"/>
      <c r="GV91" s="17"/>
      <c r="GW91" s="17"/>
      <c r="GX91" s="17"/>
      <c r="GY91" s="17"/>
      <c r="GZ91" s="17"/>
      <c r="HA91" s="17"/>
      <c r="HB91" s="17"/>
      <c r="HC91" s="17"/>
      <c r="HD91" s="17"/>
      <c r="HE91" s="17"/>
      <c r="HF91" s="17"/>
      <c r="HG91" s="17"/>
      <c r="HH91" s="17"/>
      <c r="HI91" s="17"/>
      <c r="HJ91" s="17"/>
      <c r="HK91" s="17"/>
      <c r="HL91" s="17"/>
      <c r="HM91" s="17"/>
      <c r="HN91" s="17"/>
      <c r="HO91" s="17"/>
      <c r="HP91" s="17"/>
      <c r="HQ91" s="17"/>
      <c r="HR91" s="17"/>
      <c r="HS91" s="17"/>
      <c r="HT91" s="17"/>
      <c r="HU91" s="17"/>
      <c r="HV91" s="17"/>
      <c r="HW91" s="17"/>
      <c r="HX91" s="17"/>
      <c r="HY91" s="17"/>
      <c r="HZ91" s="17"/>
    </row>
    <row r="92" spans="11:234" ht="15" x14ac:dyDescent="0.25"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7"/>
      <c r="CF92" s="1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  <c r="CY92" s="17"/>
      <c r="CZ92" s="17"/>
      <c r="DA92" s="17"/>
      <c r="DB92" s="17"/>
      <c r="DC92" s="17"/>
      <c r="DD92" s="17"/>
      <c r="DE92" s="17"/>
      <c r="DF92" s="17"/>
      <c r="DG92" s="17"/>
      <c r="DH92" s="17"/>
      <c r="DI92" s="17"/>
      <c r="DJ92" s="17"/>
      <c r="DK92" s="17"/>
      <c r="DL92" s="17"/>
      <c r="DM92" s="17"/>
      <c r="DN92" s="17"/>
      <c r="DO92" s="17"/>
      <c r="DP92" s="17"/>
      <c r="DQ92" s="17"/>
      <c r="DR92" s="17"/>
      <c r="DS92" s="17"/>
      <c r="DT92" s="17"/>
      <c r="DU92" s="17"/>
      <c r="DV92" s="17"/>
      <c r="DW92" s="17"/>
      <c r="DX92" s="17"/>
      <c r="DY92" s="17"/>
      <c r="DZ92" s="17"/>
      <c r="EA92" s="17"/>
      <c r="EB92" s="17"/>
      <c r="EC92" s="17"/>
      <c r="ED92" s="17"/>
      <c r="EE92" s="17"/>
      <c r="EF92" s="17"/>
      <c r="EG92" s="17"/>
      <c r="EH92" s="17"/>
      <c r="EI92" s="17"/>
      <c r="EJ92" s="17"/>
      <c r="EK92" s="17"/>
      <c r="EL92" s="17"/>
      <c r="EM92" s="17"/>
      <c r="EN92" s="17"/>
      <c r="EO92" s="17"/>
      <c r="EP92" s="17"/>
      <c r="EQ92" s="17"/>
      <c r="ER92" s="17"/>
      <c r="ES92" s="17"/>
      <c r="ET92" s="17"/>
      <c r="EU92" s="17"/>
      <c r="EV92" s="17"/>
      <c r="EW92" s="17"/>
      <c r="EX92" s="17"/>
      <c r="EY92" s="17"/>
      <c r="EZ92" s="17"/>
      <c r="FA92" s="17"/>
      <c r="FB92" s="17"/>
      <c r="FC92" s="17"/>
      <c r="FD92" s="17"/>
      <c r="FE92" s="17"/>
      <c r="FF92" s="17"/>
      <c r="FG92" s="17"/>
      <c r="FH92" s="17"/>
      <c r="FI92" s="17"/>
      <c r="FJ92" s="17"/>
      <c r="FK92" s="17"/>
      <c r="FL92" s="17"/>
      <c r="FM92" s="17"/>
      <c r="FN92" s="17"/>
      <c r="FO92" s="17"/>
      <c r="FP92" s="17"/>
      <c r="FQ92" s="17"/>
      <c r="FR92" s="17"/>
      <c r="FS92" s="17"/>
      <c r="FT92" s="17"/>
      <c r="FU92" s="17"/>
      <c r="FV92" s="17"/>
      <c r="FW92" s="17"/>
      <c r="FX92" s="17"/>
      <c r="FY92" s="17"/>
      <c r="FZ92" s="17"/>
      <c r="GA92" s="17"/>
      <c r="GB92" s="17"/>
      <c r="GC92" s="17"/>
      <c r="GD92" s="17"/>
      <c r="GE92" s="17"/>
      <c r="GF92" s="17"/>
      <c r="GG92" s="17"/>
      <c r="GH92" s="17"/>
      <c r="GI92" s="17"/>
      <c r="GJ92" s="17"/>
      <c r="GK92" s="17"/>
      <c r="GL92" s="17"/>
      <c r="GM92" s="17"/>
      <c r="GN92" s="17"/>
      <c r="GO92" s="17"/>
      <c r="GP92" s="17"/>
      <c r="GQ92" s="17"/>
      <c r="GR92" s="17"/>
      <c r="GS92" s="17"/>
      <c r="GT92" s="17"/>
      <c r="GU92" s="17"/>
      <c r="GV92" s="17"/>
      <c r="GW92" s="17"/>
      <c r="GX92" s="17"/>
      <c r="GY92" s="17"/>
      <c r="GZ92" s="17"/>
      <c r="HA92" s="17"/>
      <c r="HB92" s="17"/>
      <c r="HC92" s="17"/>
      <c r="HD92" s="17"/>
      <c r="HE92" s="17"/>
      <c r="HF92" s="17"/>
      <c r="HG92" s="17"/>
      <c r="HH92" s="17"/>
      <c r="HI92" s="17"/>
      <c r="HJ92" s="17"/>
      <c r="HK92" s="17"/>
      <c r="HL92" s="17"/>
      <c r="HM92" s="17"/>
      <c r="HN92" s="17"/>
      <c r="HO92" s="17"/>
      <c r="HP92" s="17"/>
      <c r="HQ92" s="17"/>
      <c r="HR92" s="17"/>
      <c r="HS92" s="17"/>
      <c r="HT92" s="17"/>
      <c r="HU92" s="17"/>
      <c r="HV92" s="17"/>
      <c r="HW92" s="17"/>
      <c r="HX92" s="17"/>
      <c r="HY92" s="17"/>
      <c r="HZ92" s="17"/>
    </row>
    <row r="93" spans="11:234" ht="15" x14ac:dyDescent="0.25">
      <c r="BU93" s="17"/>
      <c r="BV93" s="17"/>
      <c r="BW93" s="17"/>
      <c r="BX93" s="17"/>
      <c r="BY93" s="17"/>
      <c r="BZ93" s="17"/>
      <c r="CA93" s="17"/>
      <c r="CB93" s="17"/>
      <c r="CC93" s="17"/>
      <c r="CD93" s="17"/>
      <c r="CE93" s="17"/>
      <c r="CF93" s="1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  <c r="CR93" s="17"/>
      <c r="CS93" s="17"/>
      <c r="CT93" s="17"/>
      <c r="CU93" s="17"/>
      <c r="CV93" s="17"/>
      <c r="CW93" s="17"/>
      <c r="CX93" s="17"/>
      <c r="CY93" s="17"/>
      <c r="CZ93" s="17"/>
      <c r="DA93" s="17"/>
      <c r="DB93" s="17"/>
      <c r="DC93" s="17"/>
      <c r="DD93" s="17"/>
      <c r="DE93" s="17"/>
      <c r="DF93" s="17"/>
      <c r="DG93" s="17"/>
      <c r="DH93" s="17"/>
      <c r="DI93" s="17"/>
      <c r="DJ93" s="17"/>
      <c r="DK93" s="17"/>
      <c r="DL93" s="17"/>
      <c r="DM93" s="17"/>
      <c r="DN93" s="17"/>
      <c r="DO93" s="17"/>
      <c r="DP93" s="17"/>
      <c r="DQ93" s="17"/>
      <c r="DR93" s="17"/>
      <c r="DS93" s="17"/>
      <c r="DT93" s="17"/>
      <c r="DU93" s="17"/>
      <c r="DV93" s="17"/>
      <c r="DW93" s="17"/>
      <c r="DX93" s="17"/>
      <c r="DY93" s="17"/>
      <c r="DZ93" s="17"/>
      <c r="EA93" s="17"/>
      <c r="EB93" s="17"/>
      <c r="EC93" s="17"/>
      <c r="ED93" s="17"/>
      <c r="EE93" s="17"/>
      <c r="EF93" s="17"/>
      <c r="EG93" s="17"/>
      <c r="EH93" s="17"/>
      <c r="EI93" s="17"/>
      <c r="EJ93" s="17"/>
      <c r="EK93" s="17"/>
      <c r="EL93" s="17"/>
      <c r="EM93" s="17"/>
      <c r="EN93" s="17"/>
      <c r="EO93" s="17"/>
      <c r="EP93" s="17"/>
      <c r="EQ93" s="17"/>
      <c r="ER93" s="17"/>
      <c r="ES93" s="17"/>
      <c r="ET93" s="17"/>
      <c r="EU93" s="17"/>
      <c r="EV93" s="17"/>
      <c r="EW93" s="17"/>
      <c r="EX93" s="17"/>
      <c r="EY93" s="17"/>
      <c r="EZ93" s="17"/>
      <c r="FA93" s="17"/>
      <c r="FB93" s="17"/>
      <c r="FC93" s="17"/>
      <c r="FD93" s="17"/>
      <c r="FE93" s="17"/>
      <c r="FF93" s="17"/>
      <c r="FG93" s="17"/>
      <c r="FH93" s="17"/>
      <c r="FI93" s="17"/>
      <c r="FJ93" s="17"/>
      <c r="FK93" s="17"/>
      <c r="FL93" s="17"/>
      <c r="FM93" s="17"/>
      <c r="FN93" s="17"/>
      <c r="FO93" s="17"/>
      <c r="FP93" s="17"/>
      <c r="FQ93" s="17"/>
      <c r="FR93" s="17"/>
      <c r="FS93" s="17"/>
      <c r="FT93" s="17"/>
      <c r="FU93" s="17"/>
      <c r="FV93" s="17"/>
      <c r="FW93" s="17"/>
      <c r="FX93" s="17"/>
      <c r="FY93" s="17"/>
      <c r="FZ93" s="17"/>
      <c r="GA93" s="17"/>
      <c r="GB93" s="17"/>
      <c r="GC93" s="17"/>
      <c r="GD93" s="17"/>
      <c r="GE93" s="17"/>
      <c r="GF93" s="17"/>
      <c r="GG93" s="17"/>
      <c r="GH93" s="17"/>
      <c r="GI93" s="17"/>
      <c r="GJ93" s="17"/>
      <c r="GK93" s="17"/>
      <c r="GL93" s="17"/>
      <c r="GM93" s="17"/>
      <c r="GN93" s="17"/>
      <c r="GO93" s="17"/>
      <c r="GP93" s="17"/>
      <c r="GQ93" s="17"/>
      <c r="GR93" s="17"/>
      <c r="GS93" s="17"/>
      <c r="GT93" s="17"/>
      <c r="GU93" s="17"/>
      <c r="GV93" s="17"/>
      <c r="GW93" s="17"/>
      <c r="GX93" s="17"/>
      <c r="GY93" s="17"/>
      <c r="GZ93" s="17"/>
      <c r="HA93" s="17"/>
      <c r="HB93" s="17"/>
      <c r="HC93" s="17"/>
      <c r="HD93" s="17"/>
      <c r="HE93" s="17"/>
      <c r="HF93" s="17"/>
      <c r="HG93" s="17"/>
      <c r="HH93" s="17"/>
      <c r="HI93" s="17"/>
      <c r="HJ93" s="17"/>
      <c r="HK93" s="17"/>
      <c r="HL93" s="17"/>
      <c r="HM93" s="17"/>
      <c r="HN93" s="17"/>
      <c r="HO93" s="17"/>
      <c r="HP93" s="17"/>
      <c r="HQ93" s="17"/>
      <c r="HR93" s="17"/>
      <c r="HS93" s="17"/>
      <c r="HT93" s="17"/>
      <c r="HU93" s="17"/>
      <c r="HV93" s="17"/>
      <c r="HW93" s="17"/>
      <c r="HX93" s="17"/>
      <c r="HY93" s="17"/>
      <c r="HZ93" s="17"/>
    </row>
    <row r="94" spans="11:234" ht="15" x14ac:dyDescent="0.25">
      <c r="BU94" s="17"/>
      <c r="BV94" s="17"/>
      <c r="BW94" s="17"/>
      <c r="BX94" s="17"/>
      <c r="BY94" s="17"/>
      <c r="BZ94" s="17"/>
      <c r="CA94" s="17"/>
      <c r="CB94" s="17"/>
      <c r="CC94" s="17"/>
      <c r="CD94" s="17"/>
      <c r="CE94" s="17"/>
      <c r="CF94" s="1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7"/>
      <c r="CW94" s="17"/>
      <c r="CX94" s="17"/>
      <c r="CY94" s="17"/>
      <c r="CZ94" s="17"/>
      <c r="DA94" s="17"/>
      <c r="DB94" s="17"/>
      <c r="DC94" s="17"/>
      <c r="DD94" s="17"/>
      <c r="DE94" s="17"/>
      <c r="DF94" s="17"/>
      <c r="DG94" s="17"/>
      <c r="DH94" s="17"/>
      <c r="DI94" s="17"/>
      <c r="DJ94" s="17"/>
      <c r="DK94" s="17"/>
      <c r="DL94" s="17"/>
      <c r="DM94" s="17"/>
      <c r="DN94" s="17"/>
      <c r="DO94" s="17"/>
      <c r="DP94" s="17"/>
      <c r="DQ94" s="17"/>
      <c r="DR94" s="17"/>
      <c r="DS94" s="17"/>
      <c r="DT94" s="17"/>
      <c r="DU94" s="17"/>
      <c r="DV94" s="17"/>
      <c r="DW94" s="17"/>
      <c r="DX94" s="17"/>
      <c r="DY94" s="17"/>
      <c r="DZ94" s="17"/>
      <c r="EA94" s="17"/>
      <c r="EB94" s="17"/>
      <c r="EC94" s="17"/>
      <c r="ED94" s="17"/>
      <c r="EE94" s="17"/>
      <c r="EF94" s="17"/>
      <c r="EG94" s="17"/>
      <c r="EH94" s="17"/>
      <c r="EI94" s="17"/>
      <c r="EJ94" s="17"/>
      <c r="EK94" s="17"/>
      <c r="EL94" s="17"/>
      <c r="EM94" s="17"/>
      <c r="EN94" s="17"/>
      <c r="EO94" s="17"/>
      <c r="EP94" s="17"/>
      <c r="EQ94" s="17"/>
      <c r="ER94" s="17"/>
      <c r="ES94" s="17"/>
      <c r="ET94" s="17"/>
      <c r="EU94" s="17"/>
      <c r="EV94" s="17"/>
      <c r="EW94" s="17"/>
      <c r="EX94" s="17"/>
      <c r="EY94" s="17"/>
      <c r="EZ94" s="17"/>
      <c r="FA94" s="17"/>
      <c r="FB94" s="17"/>
      <c r="FC94" s="17"/>
      <c r="FD94" s="17"/>
      <c r="FE94" s="17"/>
      <c r="FF94" s="17"/>
      <c r="FG94" s="17"/>
      <c r="FH94" s="17"/>
      <c r="FI94" s="17"/>
      <c r="FJ94" s="17"/>
      <c r="FK94" s="17"/>
      <c r="FL94" s="17"/>
      <c r="FM94" s="17"/>
      <c r="FN94" s="17"/>
      <c r="FO94" s="17"/>
      <c r="FP94" s="17"/>
      <c r="FQ94" s="17"/>
      <c r="FR94" s="17"/>
      <c r="FS94" s="17"/>
      <c r="FT94" s="17"/>
      <c r="FU94" s="17"/>
      <c r="FV94" s="17"/>
      <c r="FW94" s="17"/>
      <c r="FX94" s="17"/>
      <c r="FY94" s="17"/>
      <c r="FZ94" s="17"/>
      <c r="GA94" s="17"/>
      <c r="GB94" s="17"/>
      <c r="GC94" s="17"/>
      <c r="GD94" s="17"/>
      <c r="GE94" s="17"/>
      <c r="GF94" s="17"/>
      <c r="GG94" s="17"/>
      <c r="GH94" s="17"/>
      <c r="GI94" s="17"/>
      <c r="GJ94" s="17"/>
      <c r="GK94" s="17"/>
      <c r="GL94" s="17"/>
      <c r="GM94" s="17"/>
      <c r="GN94" s="17"/>
      <c r="GO94" s="17"/>
      <c r="GP94" s="17"/>
      <c r="GQ94" s="17"/>
      <c r="GR94" s="17"/>
      <c r="GS94" s="17"/>
      <c r="GT94" s="17"/>
      <c r="GU94" s="17"/>
      <c r="GV94" s="17"/>
      <c r="GW94" s="17"/>
      <c r="GX94" s="17"/>
      <c r="GY94" s="17"/>
      <c r="GZ94" s="17"/>
      <c r="HA94" s="17"/>
      <c r="HB94" s="17"/>
      <c r="HC94" s="17"/>
      <c r="HD94" s="17"/>
      <c r="HE94" s="17"/>
      <c r="HF94" s="17"/>
      <c r="HG94" s="17"/>
      <c r="HH94" s="17"/>
      <c r="HI94" s="17"/>
      <c r="HJ94" s="17"/>
      <c r="HK94" s="17"/>
      <c r="HL94" s="17"/>
      <c r="HM94" s="17"/>
      <c r="HN94" s="17"/>
      <c r="HO94" s="17"/>
      <c r="HP94" s="17"/>
      <c r="HQ94" s="17"/>
      <c r="HR94" s="17"/>
      <c r="HS94" s="17"/>
      <c r="HT94" s="17"/>
      <c r="HU94" s="17"/>
      <c r="HV94" s="17"/>
      <c r="HW94" s="17"/>
      <c r="HX94" s="17"/>
      <c r="HY94" s="17"/>
      <c r="HZ94" s="17"/>
    </row>
    <row r="95" spans="11:234" ht="15" x14ac:dyDescent="0.25">
      <c r="BU95" s="17"/>
      <c r="BV95" s="17"/>
      <c r="BW95" s="17"/>
      <c r="BX95" s="17"/>
      <c r="BY95" s="17"/>
      <c r="BZ95" s="17"/>
      <c r="CA95" s="17"/>
      <c r="CB95" s="17"/>
      <c r="CC95" s="17"/>
      <c r="CD95" s="17"/>
      <c r="CE95" s="17"/>
      <c r="CF95" s="1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  <c r="CR95" s="17"/>
      <c r="CS95" s="17"/>
      <c r="CT95" s="17"/>
      <c r="CU95" s="17"/>
      <c r="CV95" s="17"/>
      <c r="CW95" s="17"/>
      <c r="CX95" s="17"/>
      <c r="CY95" s="17"/>
      <c r="CZ95" s="17"/>
      <c r="DA95" s="17"/>
      <c r="DB95" s="17"/>
      <c r="DC95" s="17"/>
      <c r="DD95" s="17"/>
      <c r="DE95" s="17"/>
      <c r="DF95" s="17"/>
      <c r="DG95" s="17"/>
      <c r="DH95" s="17"/>
      <c r="DI95" s="17"/>
      <c r="DJ95" s="17"/>
      <c r="DK95" s="17"/>
      <c r="DL95" s="17"/>
      <c r="DM95" s="17"/>
      <c r="DN95" s="17"/>
      <c r="DO95" s="17"/>
      <c r="DP95" s="17"/>
      <c r="DQ95" s="17"/>
      <c r="DR95" s="17"/>
      <c r="DS95" s="17"/>
      <c r="DT95" s="17"/>
      <c r="DU95" s="17"/>
      <c r="DV95" s="17"/>
      <c r="DW95" s="17"/>
      <c r="DX95" s="17"/>
      <c r="DY95" s="17"/>
      <c r="DZ95" s="17"/>
      <c r="EA95" s="17"/>
      <c r="EB95" s="17"/>
      <c r="EC95" s="17"/>
      <c r="ED95" s="17"/>
      <c r="EE95" s="17"/>
      <c r="EF95" s="17"/>
      <c r="EG95" s="17"/>
      <c r="EH95" s="17"/>
      <c r="EI95" s="17"/>
      <c r="EJ95" s="17"/>
      <c r="EK95" s="17"/>
      <c r="EL95" s="17"/>
      <c r="EM95" s="17"/>
      <c r="EN95" s="17"/>
      <c r="EO95" s="17"/>
      <c r="EP95" s="17"/>
      <c r="EQ95" s="17"/>
      <c r="ER95" s="17"/>
      <c r="ES95" s="17"/>
      <c r="ET95" s="17"/>
      <c r="EU95" s="17"/>
      <c r="EV95" s="17"/>
      <c r="EW95" s="17"/>
      <c r="EX95" s="17"/>
      <c r="EY95" s="17"/>
      <c r="EZ95" s="17"/>
      <c r="FA95" s="17"/>
      <c r="FB95" s="17"/>
      <c r="FC95" s="17"/>
      <c r="FD95" s="17"/>
      <c r="FE95" s="17"/>
      <c r="FF95" s="17"/>
      <c r="FG95" s="17"/>
      <c r="FH95" s="17"/>
      <c r="FI95" s="17"/>
      <c r="FJ95" s="17"/>
      <c r="FK95" s="17"/>
      <c r="FL95" s="17"/>
      <c r="FM95" s="17"/>
      <c r="FN95" s="17"/>
      <c r="FO95" s="17"/>
      <c r="FP95" s="17"/>
      <c r="FQ95" s="17"/>
      <c r="FR95" s="17"/>
      <c r="FS95" s="17"/>
      <c r="FT95" s="17"/>
      <c r="FU95" s="17"/>
      <c r="FV95" s="17"/>
      <c r="FW95" s="17"/>
      <c r="FX95" s="17"/>
      <c r="FY95" s="17"/>
      <c r="FZ95" s="17"/>
      <c r="GA95" s="17"/>
      <c r="GB95" s="17"/>
      <c r="GC95" s="17"/>
      <c r="GD95" s="17"/>
      <c r="GE95" s="17"/>
      <c r="GF95" s="17"/>
      <c r="GG95" s="17"/>
      <c r="GH95" s="17"/>
      <c r="GI95" s="17"/>
      <c r="GJ95" s="17"/>
      <c r="GK95" s="17"/>
      <c r="GL95" s="17"/>
      <c r="GM95" s="17"/>
      <c r="GN95" s="17"/>
      <c r="GO95" s="17"/>
      <c r="GP95" s="17"/>
      <c r="GQ95" s="17"/>
      <c r="GR95" s="17"/>
      <c r="GS95" s="17"/>
      <c r="GT95" s="17"/>
      <c r="GU95" s="17"/>
      <c r="GV95" s="17"/>
      <c r="GW95" s="17"/>
      <c r="GX95" s="17"/>
      <c r="GY95" s="17"/>
      <c r="GZ95" s="17"/>
      <c r="HA95" s="17"/>
      <c r="HB95" s="17"/>
      <c r="HC95" s="17"/>
      <c r="HD95" s="17"/>
      <c r="HE95" s="17"/>
      <c r="HF95" s="17"/>
      <c r="HG95" s="17"/>
      <c r="HH95" s="17"/>
      <c r="HI95" s="17"/>
      <c r="HJ95" s="17"/>
      <c r="HK95" s="17"/>
      <c r="HL95" s="17"/>
      <c r="HM95" s="17"/>
      <c r="HN95" s="17"/>
      <c r="HO95" s="17"/>
      <c r="HP95" s="17"/>
      <c r="HQ95" s="17"/>
      <c r="HR95" s="17"/>
      <c r="HS95" s="17"/>
      <c r="HT95" s="17"/>
      <c r="HU95" s="17"/>
      <c r="HV95" s="17"/>
      <c r="HW95" s="17"/>
      <c r="HX95" s="17"/>
      <c r="HY95" s="17"/>
      <c r="HZ95" s="17"/>
    </row>
    <row r="96" spans="11:234" ht="15" x14ac:dyDescent="0.25">
      <c r="BU96" s="17"/>
      <c r="BV96" s="17"/>
      <c r="BW96" s="17"/>
      <c r="BX96" s="17"/>
      <c r="BY96" s="17"/>
      <c r="BZ96" s="17"/>
      <c r="CA96" s="17"/>
      <c r="CB96" s="17"/>
      <c r="CC96" s="17"/>
      <c r="CD96" s="17"/>
      <c r="CE96" s="17"/>
      <c r="CF96" s="1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CY96" s="17"/>
      <c r="CZ96" s="17"/>
      <c r="DA96" s="17"/>
      <c r="DB96" s="17"/>
      <c r="DC96" s="17"/>
      <c r="DD96" s="17"/>
      <c r="DE96" s="17"/>
      <c r="DF96" s="17"/>
      <c r="DG96" s="17"/>
      <c r="DH96" s="17"/>
      <c r="DI96" s="17"/>
      <c r="DJ96" s="17"/>
      <c r="DK96" s="17"/>
      <c r="DL96" s="17"/>
      <c r="DM96" s="17"/>
      <c r="DN96" s="17"/>
      <c r="DO96" s="17"/>
      <c r="DP96" s="17"/>
      <c r="DQ96" s="17"/>
      <c r="DR96" s="17"/>
      <c r="DS96" s="17"/>
      <c r="DT96" s="17"/>
      <c r="DU96" s="17"/>
      <c r="DV96" s="17"/>
      <c r="DW96" s="17"/>
      <c r="DX96" s="17"/>
      <c r="DY96" s="17"/>
      <c r="DZ96" s="17"/>
      <c r="EA96" s="17"/>
      <c r="EB96" s="17"/>
      <c r="EC96" s="17"/>
      <c r="ED96" s="17"/>
      <c r="EE96" s="17"/>
      <c r="EF96" s="17"/>
      <c r="EG96" s="17"/>
      <c r="EH96" s="17"/>
      <c r="EI96" s="17"/>
      <c r="EJ96" s="17"/>
      <c r="EK96" s="17"/>
      <c r="EL96" s="17"/>
      <c r="EM96" s="17"/>
      <c r="EN96" s="17"/>
      <c r="EO96" s="17"/>
      <c r="EP96" s="17"/>
      <c r="EQ96" s="17"/>
      <c r="ER96" s="17"/>
      <c r="ES96" s="17"/>
      <c r="ET96" s="17"/>
      <c r="EU96" s="17"/>
      <c r="EV96" s="17"/>
      <c r="EW96" s="17"/>
      <c r="EX96" s="17"/>
      <c r="EY96" s="17"/>
      <c r="EZ96" s="17"/>
      <c r="FA96" s="17"/>
      <c r="FB96" s="17"/>
      <c r="FC96" s="17"/>
      <c r="FD96" s="17"/>
      <c r="FE96" s="17"/>
      <c r="FF96" s="17"/>
      <c r="FG96" s="17"/>
      <c r="FH96" s="17"/>
      <c r="FI96" s="17"/>
      <c r="FJ96" s="17"/>
      <c r="FK96" s="17"/>
      <c r="FL96" s="17"/>
      <c r="FM96" s="17"/>
      <c r="FN96" s="17"/>
      <c r="FO96" s="17"/>
      <c r="FP96" s="17"/>
      <c r="FQ96" s="17"/>
      <c r="FR96" s="17"/>
      <c r="FS96" s="17"/>
      <c r="FT96" s="17"/>
      <c r="FU96" s="17"/>
      <c r="FV96" s="17"/>
      <c r="FW96" s="17"/>
      <c r="FX96" s="17"/>
      <c r="FY96" s="17"/>
      <c r="FZ96" s="17"/>
      <c r="GA96" s="17"/>
      <c r="GB96" s="17"/>
      <c r="GC96" s="17"/>
      <c r="GD96" s="17"/>
      <c r="GE96" s="17"/>
      <c r="GF96" s="17"/>
      <c r="GG96" s="17"/>
      <c r="GH96" s="17"/>
      <c r="GI96" s="17"/>
      <c r="GJ96" s="17"/>
      <c r="GK96" s="17"/>
      <c r="GL96" s="17"/>
      <c r="GM96" s="17"/>
      <c r="GN96" s="17"/>
      <c r="GO96" s="17"/>
      <c r="GP96" s="17"/>
      <c r="GQ96" s="17"/>
      <c r="GR96" s="17"/>
      <c r="GS96" s="17"/>
      <c r="GT96" s="17"/>
      <c r="GU96" s="17"/>
      <c r="GV96" s="17"/>
      <c r="GW96" s="17"/>
      <c r="GX96" s="17"/>
      <c r="GY96" s="17"/>
      <c r="GZ96" s="17"/>
      <c r="HA96" s="17"/>
      <c r="HB96" s="17"/>
      <c r="HC96" s="17"/>
      <c r="HD96" s="17"/>
      <c r="HE96" s="17"/>
      <c r="HF96" s="17"/>
      <c r="HG96" s="17"/>
      <c r="HH96" s="17"/>
      <c r="HI96" s="17"/>
      <c r="HJ96" s="17"/>
      <c r="HK96" s="17"/>
      <c r="HL96" s="17"/>
      <c r="HM96" s="17"/>
      <c r="HN96" s="17"/>
      <c r="HO96" s="17"/>
      <c r="HP96" s="17"/>
      <c r="HQ96" s="17"/>
      <c r="HR96" s="17"/>
      <c r="HS96" s="17"/>
      <c r="HT96" s="17"/>
      <c r="HU96" s="17"/>
      <c r="HV96" s="17"/>
      <c r="HW96" s="17"/>
      <c r="HX96" s="17"/>
      <c r="HY96" s="17"/>
      <c r="HZ96" s="17"/>
    </row>
    <row r="97" spans="73:234" ht="15" x14ac:dyDescent="0.25">
      <c r="BU97" s="17"/>
      <c r="BV97" s="17"/>
      <c r="BW97" s="17"/>
      <c r="BX97" s="17"/>
      <c r="BY97" s="17"/>
      <c r="BZ97" s="17"/>
      <c r="CA97" s="17"/>
      <c r="CB97" s="17"/>
      <c r="CC97" s="17"/>
      <c r="CD97" s="17"/>
      <c r="CE97" s="17"/>
      <c r="CF97" s="1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CY97" s="17"/>
      <c r="CZ97" s="17"/>
      <c r="DA97" s="17"/>
      <c r="DB97" s="17"/>
      <c r="DC97" s="17"/>
      <c r="DD97" s="17"/>
      <c r="DE97" s="17"/>
      <c r="DF97" s="17"/>
      <c r="DG97" s="17"/>
      <c r="DH97" s="17"/>
      <c r="DI97" s="17"/>
      <c r="DJ97" s="17"/>
      <c r="DK97" s="17"/>
      <c r="DL97" s="17"/>
      <c r="DM97" s="17"/>
      <c r="DN97" s="17"/>
      <c r="DO97" s="17"/>
      <c r="DP97" s="17"/>
      <c r="DQ97" s="17"/>
      <c r="DR97" s="17"/>
      <c r="DS97" s="17"/>
      <c r="DT97" s="17"/>
      <c r="DU97" s="17"/>
      <c r="DV97" s="17"/>
      <c r="DW97" s="17"/>
      <c r="DX97" s="17"/>
      <c r="DY97" s="17"/>
      <c r="DZ97" s="17"/>
      <c r="EA97" s="17"/>
      <c r="EB97" s="17"/>
      <c r="EC97" s="17"/>
      <c r="ED97" s="17"/>
      <c r="EE97" s="17"/>
      <c r="EF97" s="17"/>
      <c r="EG97" s="17"/>
      <c r="EH97" s="17"/>
      <c r="EI97" s="17"/>
      <c r="EJ97" s="17"/>
      <c r="EK97" s="17"/>
      <c r="EL97" s="17"/>
      <c r="EM97" s="17"/>
      <c r="EN97" s="17"/>
      <c r="EO97" s="17"/>
      <c r="EP97" s="17"/>
      <c r="EQ97" s="17"/>
      <c r="ER97" s="17"/>
      <c r="ES97" s="17"/>
      <c r="ET97" s="17"/>
      <c r="EU97" s="17"/>
      <c r="EV97" s="17"/>
      <c r="EW97" s="17"/>
      <c r="EX97" s="17"/>
      <c r="EY97" s="17"/>
      <c r="EZ97" s="17"/>
      <c r="FA97" s="17"/>
      <c r="FB97" s="17"/>
      <c r="FC97" s="17"/>
      <c r="FD97" s="17"/>
      <c r="FE97" s="17"/>
      <c r="FF97" s="17"/>
      <c r="FG97" s="17"/>
      <c r="FH97" s="17"/>
      <c r="FI97" s="17"/>
      <c r="FJ97" s="17"/>
      <c r="FK97" s="17"/>
      <c r="FL97" s="17"/>
      <c r="FM97" s="17"/>
      <c r="FN97" s="17"/>
      <c r="FO97" s="17"/>
      <c r="FP97" s="17"/>
      <c r="FQ97" s="17"/>
      <c r="FR97" s="17"/>
      <c r="FS97" s="17"/>
      <c r="FT97" s="17"/>
      <c r="FU97" s="17"/>
      <c r="FV97" s="17"/>
      <c r="FW97" s="17"/>
      <c r="FX97" s="17"/>
      <c r="FY97" s="17"/>
      <c r="FZ97" s="17"/>
      <c r="GA97" s="17"/>
      <c r="GB97" s="17"/>
      <c r="GC97" s="17"/>
      <c r="GD97" s="17"/>
      <c r="GE97" s="17"/>
      <c r="GF97" s="17"/>
      <c r="GG97" s="17"/>
      <c r="GH97" s="17"/>
      <c r="GI97" s="17"/>
      <c r="GJ97" s="17"/>
      <c r="GK97" s="17"/>
      <c r="GL97" s="17"/>
      <c r="GM97" s="17"/>
      <c r="GN97" s="17"/>
      <c r="GO97" s="17"/>
      <c r="GP97" s="17"/>
      <c r="GQ97" s="17"/>
      <c r="GR97" s="17"/>
      <c r="GS97" s="17"/>
      <c r="GT97" s="17"/>
      <c r="GU97" s="17"/>
      <c r="GV97" s="17"/>
      <c r="GW97" s="17"/>
      <c r="GX97" s="17"/>
      <c r="GY97" s="17"/>
      <c r="GZ97" s="17"/>
      <c r="HA97" s="17"/>
      <c r="HB97" s="17"/>
      <c r="HC97" s="17"/>
      <c r="HD97" s="17"/>
      <c r="HE97" s="17"/>
      <c r="HF97" s="17"/>
      <c r="HG97" s="17"/>
      <c r="HH97" s="17"/>
      <c r="HI97" s="17"/>
      <c r="HJ97" s="17"/>
      <c r="HK97" s="17"/>
      <c r="HL97" s="17"/>
      <c r="HM97" s="17"/>
      <c r="HN97" s="17"/>
      <c r="HO97" s="17"/>
      <c r="HP97" s="17"/>
      <c r="HQ97" s="17"/>
      <c r="HR97" s="17"/>
      <c r="HS97" s="17"/>
      <c r="HT97" s="17"/>
      <c r="HU97" s="17"/>
      <c r="HV97" s="17"/>
      <c r="HW97" s="17"/>
      <c r="HX97" s="17"/>
      <c r="HY97" s="17"/>
      <c r="HZ97" s="17"/>
    </row>
    <row r="98" spans="73:234" ht="15" x14ac:dyDescent="0.25"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  <c r="CZ98" s="17"/>
      <c r="DA98" s="17"/>
      <c r="DB98" s="17"/>
      <c r="DC98" s="17"/>
      <c r="DD98" s="17"/>
      <c r="DE98" s="17"/>
      <c r="DF98" s="17"/>
      <c r="DG98" s="17"/>
      <c r="DH98" s="17"/>
      <c r="DI98" s="17"/>
      <c r="DJ98" s="17"/>
      <c r="DK98" s="17"/>
      <c r="DL98" s="17"/>
      <c r="DM98" s="17"/>
      <c r="DN98" s="17"/>
      <c r="DO98" s="17"/>
      <c r="DP98" s="17"/>
      <c r="DQ98" s="17"/>
      <c r="DR98" s="17"/>
      <c r="DS98" s="17"/>
      <c r="DT98" s="17"/>
      <c r="DU98" s="17"/>
      <c r="DV98" s="17"/>
      <c r="DW98" s="17"/>
      <c r="DX98" s="17"/>
      <c r="DY98" s="17"/>
      <c r="DZ98" s="17"/>
      <c r="EA98" s="17"/>
      <c r="EB98" s="17"/>
      <c r="EC98" s="17"/>
      <c r="ED98" s="17"/>
      <c r="EE98" s="17"/>
      <c r="EF98" s="17"/>
      <c r="EG98" s="17"/>
      <c r="EH98" s="17"/>
      <c r="EI98" s="17"/>
      <c r="EJ98" s="17"/>
      <c r="EK98" s="17"/>
      <c r="EL98" s="17"/>
      <c r="EM98" s="17"/>
      <c r="EN98" s="17"/>
      <c r="EO98" s="17"/>
      <c r="EP98" s="17"/>
      <c r="EQ98" s="17"/>
      <c r="ER98" s="17"/>
      <c r="ES98" s="17"/>
      <c r="ET98" s="17"/>
      <c r="EU98" s="17"/>
      <c r="EV98" s="17"/>
      <c r="EW98" s="17"/>
      <c r="EX98" s="17"/>
      <c r="EY98" s="17"/>
      <c r="EZ98" s="17"/>
      <c r="FA98" s="17"/>
      <c r="FB98" s="17"/>
      <c r="FC98" s="17"/>
      <c r="FD98" s="17"/>
      <c r="FE98" s="17"/>
      <c r="FF98" s="17"/>
      <c r="FG98" s="17"/>
      <c r="FH98" s="17"/>
      <c r="FI98" s="17"/>
      <c r="FJ98" s="17"/>
      <c r="FK98" s="17"/>
      <c r="FL98" s="17"/>
      <c r="FM98" s="17"/>
      <c r="FN98" s="17"/>
      <c r="FO98" s="17"/>
      <c r="FP98" s="17"/>
      <c r="FQ98" s="17"/>
      <c r="FR98" s="17"/>
      <c r="FS98" s="17"/>
      <c r="FT98" s="17"/>
      <c r="FU98" s="17"/>
      <c r="FV98" s="17"/>
      <c r="FW98" s="17"/>
      <c r="FX98" s="17"/>
      <c r="FY98" s="17"/>
      <c r="FZ98" s="17"/>
      <c r="GA98" s="17"/>
      <c r="GB98" s="17"/>
      <c r="GC98" s="17"/>
      <c r="GD98" s="17"/>
      <c r="GE98" s="17"/>
      <c r="GF98" s="17"/>
      <c r="GG98" s="17"/>
      <c r="GH98" s="17"/>
      <c r="GI98" s="17"/>
      <c r="GJ98" s="17"/>
      <c r="GK98" s="17"/>
      <c r="GL98" s="17"/>
      <c r="GM98" s="17"/>
      <c r="GN98" s="17"/>
      <c r="GO98" s="17"/>
      <c r="GP98" s="17"/>
      <c r="GQ98" s="17"/>
      <c r="GR98" s="17"/>
      <c r="GS98" s="17"/>
      <c r="GT98" s="17"/>
      <c r="GU98" s="17"/>
      <c r="GV98" s="17"/>
      <c r="GW98" s="17"/>
      <c r="GX98" s="17"/>
      <c r="GY98" s="17"/>
      <c r="GZ98" s="17"/>
      <c r="HA98" s="17"/>
      <c r="HB98" s="17"/>
      <c r="HC98" s="17"/>
      <c r="HD98" s="17"/>
      <c r="HE98" s="17"/>
      <c r="HF98" s="17"/>
      <c r="HG98" s="17"/>
      <c r="HH98" s="17"/>
      <c r="HI98" s="17"/>
      <c r="HJ98" s="17"/>
      <c r="HK98" s="17"/>
      <c r="HL98" s="17"/>
      <c r="HM98" s="17"/>
      <c r="HN98" s="17"/>
      <c r="HO98" s="17"/>
      <c r="HP98" s="17"/>
      <c r="HQ98" s="17"/>
      <c r="HR98" s="17"/>
      <c r="HS98" s="17"/>
      <c r="HT98" s="17"/>
      <c r="HU98" s="17"/>
      <c r="HV98" s="17"/>
      <c r="HW98" s="17"/>
      <c r="HX98" s="17"/>
      <c r="HY98" s="17"/>
      <c r="HZ98" s="17"/>
    </row>
    <row r="99" spans="73:234" ht="15" x14ac:dyDescent="0.25"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  <c r="CZ99" s="17"/>
      <c r="DA99" s="17"/>
      <c r="DB99" s="17"/>
      <c r="DC99" s="17"/>
      <c r="DD99" s="17"/>
      <c r="DE99" s="17"/>
      <c r="DF99" s="17"/>
      <c r="DG99" s="17"/>
      <c r="DH99" s="17"/>
      <c r="DI99" s="17"/>
      <c r="DJ99" s="17"/>
      <c r="DK99" s="17"/>
      <c r="DL99" s="17"/>
      <c r="DM99" s="17"/>
      <c r="DN99" s="17"/>
      <c r="DO99" s="17"/>
      <c r="DP99" s="17"/>
      <c r="DQ99" s="17"/>
      <c r="DR99" s="17"/>
      <c r="DS99" s="17"/>
      <c r="DT99" s="17"/>
      <c r="DU99" s="17"/>
      <c r="DV99" s="17"/>
      <c r="DW99" s="17"/>
      <c r="DX99" s="17"/>
      <c r="DY99" s="17"/>
      <c r="DZ99" s="17"/>
      <c r="EA99" s="17"/>
      <c r="EB99" s="17"/>
      <c r="EC99" s="17"/>
      <c r="ED99" s="17"/>
      <c r="EE99" s="17"/>
      <c r="EF99" s="17"/>
      <c r="EG99" s="17"/>
      <c r="EH99" s="17"/>
      <c r="EI99" s="17"/>
      <c r="EJ99" s="17"/>
      <c r="EK99" s="17"/>
      <c r="EL99" s="17"/>
      <c r="EM99" s="17"/>
      <c r="EN99" s="17"/>
      <c r="EO99" s="17"/>
      <c r="EP99" s="17"/>
      <c r="EQ99" s="17"/>
      <c r="ER99" s="17"/>
      <c r="ES99" s="17"/>
      <c r="ET99" s="17"/>
      <c r="EU99" s="17"/>
      <c r="EV99" s="17"/>
      <c r="EW99" s="17"/>
      <c r="EX99" s="17"/>
      <c r="EY99" s="17"/>
      <c r="EZ99" s="17"/>
      <c r="FA99" s="17"/>
      <c r="FB99" s="17"/>
      <c r="FC99" s="17"/>
      <c r="FD99" s="17"/>
      <c r="FE99" s="17"/>
      <c r="FF99" s="17"/>
      <c r="FG99" s="17"/>
      <c r="FH99" s="17"/>
      <c r="FI99" s="17"/>
      <c r="FJ99" s="17"/>
      <c r="FK99" s="17"/>
      <c r="FL99" s="17"/>
      <c r="FM99" s="17"/>
      <c r="FN99" s="17"/>
      <c r="FO99" s="17"/>
      <c r="FP99" s="17"/>
      <c r="FQ99" s="17"/>
      <c r="FR99" s="17"/>
      <c r="FS99" s="17"/>
      <c r="FT99" s="17"/>
      <c r="FU99" s="17"/>
      <c r="FV99" s="17"/>
      <c r="FW99" s="17"/>
      <c r="FX99" s="17"/>
      <c r="FY99" s="17"/>
      <c r="FZ99" s="17"/>
      <c r="GA99" s="17"/>
      <c r="GB99" s="17"/>
      <c r="GC99" s="17"/>
      <c r="GD99" s="17"/>
      <c r="GE99" s="17"/>
      <c r="GF99" s="17"/>
      <c r="GG99" s="17"/>
      <c r="GH99" s="17"/>
      <c r="GI99" s="17"/>
      <c r="GJ99" s="17"/>
      <c r="GK99" s="17"/>
      <c r="GL99" s="17"/>
      <c r="GM99" s="17"/>
      <c r="GN99" s="17"/>
      <c r="GO99" s="17"/>
      <c r="GP99" s="17"/>
      <c r="GQ99" s="17"/>
      <c r="GR99" s="17"/>
      <c r="GS99" s="17"/>
      <c r="GT99" s="17"/>
      <c r="GU99" s="17"/>
      <c r="GV99" s="17"/>
      <c r="GW99" s="17"/>
      <c r="GX99" s="17"/>
      <c r="GY99" s="17"/>
      <c r="GZ99" s="17"/>
      <c r="HA99" s="17"/>
      <c r="HB99" s="17"/>
      <c r="HC99" s="17"/>
      <c r="HD99" s="17"/>
      <c r="HE99" s="17"/>
      <c r="HF99" s="17"/>
      <c r="HG99" s="17"/>
      <c r="HH99" s="17"/>
      <c r="HI99" s="17"/>
      <c r="HJ99" s="17"/>
      <c r="HK99" s="17"/>
      <c r="HL99" s="17"/>
      <c r="HM99" s="17"/>
      <c r="HN99" s="17"/>
      <c r="HO99" s="17"/>
      <c r="HP99" s="17"/>
      <c r="HQ99" s="17"/>
      <c r="HR99" s="17"/>
      <c r="HS99" s="17"/>
      <c r="HT99" s="17"/>
      <c r="HU99" s="17"/>
      <c r="HV99" s="17"/>
      <c r="HW99" s="17"/>
      <c r="HX99" s="17"/>
      <c r="HY99" s="17"/>
      <c r="HZ99" s="17"/>
    </row>
    <row r="100" spans="73:234" ht="15" x14ac:dyDescent="0.25"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  <c r="CZ100" s="17"/>
      <c r="DA100" s="17"/>
      <c r="DB100" s="17"/>
      <c r="DC100" s="17"/>
      <c r="DD100" s="17"/>
      <c r="DE100" s="17"/>
      <c r="DF100" s="17"/>
      <c r="DG100" s="17"/>
      <c r="DH100" s="17"/>
      <c r="DI100" s="17"/>
      <c r="DJ100" s="17"/>
      <c r="DK100" s="17"/>
      <c r="DL100" s="17"/>
      <c r="DM100" s="17"/>
      <c r="DN100" s="17"/>
      <c r="DO100" s="17"/>
      <c r="DP100" s="17"/>
      <c r="DQ100" s="17"/>
      <c r="DR100" s="17"/>
      <c r="DS100" s="17"/>
      <c r="DT100" s="17"/>
      <c r="DU100" s="17"/>
      <c r="DV100" s="17"/>
      <c r="DW100" s="17"/>
      <c r="DX100" s="17"/>
      <c r="DY100" s="17"/>
      <c r="DZ100" s="17"/>
      <c r="EA100" s="17"/>
      <c r="EB100" s="17"/>
      <c r="EC100" s="17"/>
      <c r="ED100" s="17"/>
      <c r="EE100" s="17"/>
      <c r="EF100" s="17"/>
      <c r="EG100" s="17"/>
      <c r="EH100" s="17"/>
      <c r="EI100" s="17"/>
      <c r="EJ100" s="17"/>
      <c r="EK100" s="17"/>
      <c r="EL100" s="17"/>
      <c r="EM100" s="17"/>
      <c r="EN100" s="17"/>
      <c r="EO100" s="17"/>
      <c r="EP100" s="17"/>
      <c r="EQ100" s="17"/>
      <c r="ER100" s="17"/>
      <c r="ES100" s="17"/>
      <c r="ET100" s="17"/>
      <c r="EU100" s="17"/>
      <c r="EV100" s="17"/>
      <c r="EW100" s="17"/>
      <c r="EX100" s="17"/>
      <c r="EY100" s="17"/>
      <c r="EZ100" s="17"/>
      <c r="FA100" s="17"/>
      <c r="FB100" s="17"/>
      <c r="FC100" s="17"/>
      <c r="FD100" s="17"/>
      <c r="FE100" s="17"/>
      <c r="FF100" s="17"/>
      <c r="FG100" s="17"/>
      <c r="FH100" s="17"/>
      <c r="FI100" s="17"/>
      <c r="FJ100" s="17"/>
      <c r="FK100" s="17"/>
      <c r="FL100" s="17"/>
      <c r="FM100" s="17"/>
      <c r="FN100" s="17"/>
      <c r="FO100" s="17"/>
      <c r="FP100" s="17"/>
      <c r="FQ100" s="17"/>
      <c r="FR100" s="17"/>
      <c r="FS100" s="17"/>
      <c r="FT100" s="17"/>
      <c r="FU100" s="17"/>
      <c r="FV100" s="17"/>
      <c r="FW100" s="17"/>
      <c r="FX100" s="17"/>
      <c r="FY100" s="17"/>
      <c r="FZ100" s="17"/>
      <c r="GA100" s="17"/>
      <c r="GB100" s="17"/>
      <c r="GC100" s="17"/>
      <c r="GD100" s="17"/>
      <c r="GE100" s="17"/>
      <c r="GF100" s="17"/>
      <c r="GG100" s="17"/>
      <c r="GH100" s="17"/>
      <c r="GI100" s="17"/>
      <c r="GJ100" s="17"/>
      <c r="GK100" s="17"/>
      <c r="GL100" s="17"/>
      <c r="GM100" s="17"/>
      <c r="GN100" s="17"/>
      <c r="GO100" s="17"/>
      <c r="GP100" s="17"/>
      <c r="GQ100" s="17"/>
      <c r="GR100" s="17"/>
      <c r="GS100" s="17"/>
      <c r="GT100" s="17"/>
      <c r="GU100" s="17"/>
      <c r="GV100" s="17"/>
      <c r="GW100" s="17"/>
      <c r="GX100" s="17"/>
      <c r="GY100" s="17"/>
      <c r="GZ100" s="17"/>
      <c r="HA100" s="17"/>
      <c r="HB100" s="17"/>
      <c r="HC100" s="17"/>
      <c r="HD100" s="17"/>
      <c r="HE100" s="17"/>
      <c r="HF100" s="17"/>
      <c r="HG100" s="17"/>
      <c r="HH100" s="17"/>
      <c r="HI100" s="17"/>
      <c r="HJ100" s="17"/>
      <c r="HK100" s="17"/>
      <c r="HL100" s="17"/>
      <c r="HM100" s="17"/>
      <c r="HN100" s="17"/>
      <c r="HO100" s="17"/>
      <c r="HP100" s="17"/>
      <c r="HQ100" s="17"/>
      <c r="HR100" s="17"/>
      <c r="HS100" s="17"/>
      <c r="HT100" s="17"/>
      <c r="HU100" s="17"/>
      <c r="HV100" s="17"/>
      <c r="HW100" s="17"/>
      <c r="HX100" s="17"/>
      <c r="HY100" s="17"/>
      <c r="HZ100" s="17"/>
    </row>
    <row r="101" spans="73:234" ht="15" x14ac:dyDescent="0.25"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  <c r="CZ101" s="17"/>
      <c r="DA101" s="17"/>
      <c r="DB101" s="17"/>
      <c r="DC101" s="17"/>
      <c r="DD101" s="17"/>
      <c r="DE101" s="17"/>
      <c r="DF101" s="17"/>
      <c r="DG101" s="17"/>
      <c r="DH101" s="17"/>
      <c r="DI101" s="17"/>
      <c r="DJ101" s="17"/>
      <c r="DK101" s="17"/>
      <c r="DL101" s="17"/>
      <c r="DM101" s="17"/>
      <c r="DN101" s="17"/>
      <c r="DO101" s="17"/>
      <c r="DP101" s="17"/>
      <c r="DQ101" s="17"/>
      <c r="DR101" s="17"/>
      <c r="DS101" s="17"/>
      <c r="DT101" s="17"/>
      <c r="DU101" s="17"/>
      <c r="DV101" s="17"/>
      <c r="DW101" s="17"/>
      <c r="DX101" s="17"/>
      <c r="DY101" s="17"/>
      <c r="DZ101" s="17"/>
      <c r="EA101" s="17"/>
      <c r="EB101" s="17"/>
      <c r="EC101" s="17"/>
      <c r="ED101" s="17"/>
      <c r="EE101" s="17"/>
      <c r="EF101" s="17"/>
      <c r="EG101" s="17"/>
      <c r="EH101" s="17"/>
      <c r="EI101" s="17"/>
      <c r="EJ101" s="17"/>
      <c r="EK101" s="17"/>
      <c r="EL101" s="17"/>
      <c r="EM101" s="17"/>
      <c r="EN101" s="17"/>
      <c r="EO101" s="17"/>
      <c r="EP101" s="17"/>
      <c r="EQ101" s="17"/>
      <c r="ER101" s="17"/>
      <c r="ES101" s="17"/>
      <c r="ET101" s="17"/>
      <c r="EU101" s="17"/>
      <c r="EV101" s="17"/>
      <c r="EW101" s="17"/>
      <c r="EX101" s="17"/>
      <c r="EY101" s="17"/>
      <c r="EZ101" s="17"/>
      <c r="FA101" s="17"/>
      <c r="FB101" s="17"/>
      <c r="FC101" s="17"/>
      <c r="FD101" s="17"/>
      <c r="FE101" s="17"/>
      <c r="FF101" s="17"/>
      <c r="FG101" s="17"/>
      <c r="FH101" s="17"/>
      <c r="FI101" s="17"/>
      <c r="FJ101" s="17"/>
      <c r="FK101" s="17"/>
      <c r="FL101" s="17"/>
      <c r="FM101" s="17"/>
      <c r="FN101" s="17"/>
      <c r="FO101" s="17"/>
      <c r="FP101" s="17"/>
      <c r="FQ101" s="17"/>
      <c r="FR101" s="17"/>
      <c r="FS101" s="17"/>
      <c r="FT101" s="17"/>
      <c r="FU101" s="17"/>
      <c r="FV101" s="17"/>
      <c r="FW101" s="17"/>
      <c r="FX101" s="17"/>
      <c r="FY101" s="17"/>
      <c r="FZ101" s="17"/>
      <c r="GA101" s="17"/>
      <c r="GB101" s="17"/>
      <c r="GC101" s="17"/>
      <c r="GD101" s="17"/>
      <c r="GE101" s="17"/>
      <c r="GF101" s="17"/>
      <c r="GG101" s="17"/>
      <c r="GH101" s="17"/>
      <c r="GI101" s="17"/>
      <c r="GJ101" s="17"/>
      <c r="GK101" s="17"/>
      <c r="GL101" s="17"/>
      <c r="GM101" s="17"/>
      <c r="GN101" s="17"/>
      <c r="GO101" s="17"/>
      <c r="GP101" s="17"/>
      <c r="GQ101" s="17"/>
      <c r="GR101" s="17"/>
      <c r="GS101" s="17"/>
      <c r="GT101" s="17"/>
      <c r="GU101" s="17"/>
      <c r="GV101" s="17"/>
      <c r="GW101" s="17"/>
      <c r="GX101" s="17"/>
      <c r="GY101" s="17"/>
      <c r="GZ101" s="17"/>
      <c r="HA101" s="17"/>
      <c r="HB101" s="17"/>
      <c r="HC101" s="17"/>
      <c r="HD101" s="17"/>
      <c r="HE101" s="17"/>
      <c r="HF101" s="17"/>
      <c r="HG101" s="17"/>
      <c r="HH101" s="17"/>
      <c r="HI101" s="17"/>
      <c r="HJ101" s="17"/>
      <c r="HK101" s="17"/>
      <c r="HL101" s="17"/>
      <c r="HM101" s="17"/>
      <c r="HN101" s="17"/>
      <c r="HO101" s="17"/>
      <c r="HP101" s="17"/>
      <c r="HQ101" s="17"/>
      <c r="HR101" s="17"/>
      <c r="HS101" s="17"/>
      <c r="HT101" s="17"/>
      <c r="HU101" s="17"/>
      <c r="HV101" s="17"/>
      <c r="HW101" s="17"/>
      <c r="HX101" s="17"/>
      <c r="HY101" s="17"/>
      <c r="HZ101" s="17"/>
    </row>
    <row r="102" spans="73:234" ht="15" x14ac:dyDescent="0.25">
      <c r="BU102" s="17"/>
      <c r="BV102" s="17"/>
      <c r="BW102" s="17"/>
      <c r="BX102" s="17"/>
      <c r="BY102" s="17"/>
      <c r="BZ102" s="17"/>
      <c r="CA102" s="17"/>
      <c r="CB102" s="17"/>
      <c r="CC102" s="17"/>
      <c r="CD102" s="17"/>
      <c r="CE102" s="1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  <c r="CZ102" s="17"/>
      <c r="DA102" s="17"/>
      <c r="DB102" s="17"/>
      <c r="DC102" s="17"/>
      <c r="DD102" s="17"/>
      <c r="DE102" s="17"/>
      <c r="DF102" s="17"/>
      <c r="DG102" s="17"/>
      <c r="DH102" s="17"/>
      <c r="DI102" s="17"/>
      <c r="DJ102" s="17"/>
      <c r="DK102" s="17"/>
      <c r="DL102" s="17"/>
      <c r="DM102" s="17"/>
      <c r="DN102" s="17"/>
      <c r="DO102" s="17"/>
      <c r="DP102" s="17"/>
      <c r="DQ102" s="17"/>
      <c r="DR102" s="17"/>
      <c r="DS102" s="17"/>
      <c r="DT102" s="17"/>
      <c r="DU102" s="17"/>
      <c r="DV102" s="17"/>
      <c r="DW102" s="17"/>
      <c r="DX102" s="17"/>
      <c r="DY102" s="17"/>
      <c r="DZ102" s="17"/>
      <c r="EA102" s="17"/>
      <c r="EB102" s="17"/>
      <c r="EC102" s="17"/>
      <c r="ED102" s="17"/>
      <c r="EE102" s="17"/>
      <c r="EF102" s="17"/>
      <c r="EG102" s="17"/>
      <c r="EH102" s="17"/>
      <c r="EI102" s="17"/>
      <c r="EJ102" s="17"/>
      <c r="EK102" s="17"/>
      <c r="EL102" s="17"/>
      <c r="EM102" s="17"/>
      <c r="EN102" s="17"/>
      <c r="EO102" s="17"/>
      <c r="EP102" s="17"/>
      <c r="EQ102" s="17"/>
      <c r="ER102" s="17"/>
      <c r="ES102" s="17"/>
      <c r="ET102" s="17"/>
      <c r="EU102" s="17"/>
      <c r="EV102" s="17"/>
      <c r="EW102" s="17"/>
      <c r="EX102" s="17"/>
      <c r="EY102" s="17"/>
      <c r="EZ102" s="17"/>
      <c r="FA102" s="17"/>
      <c r="FB102" s="17"/>
      <c r="FC102" s="17"/>
      <c r="FD102" s="17"/>
      <c r="FE102" s="17"/>
      <c r="FF102" s="17"/>
      <c r="FG102" s="17"/>
      <c r="FH102" s="17"/>
      <c r="FI102" s="17"/>
      <c r="FJ102" s="17"/>
      <c r="FK102" s="17"/>
      <c r="FL102" s="17"/>
      <c r="FM102" s="17"/>
      <c r="FN102" s="17"/>
      <c r="FO102" s="17"/>
      <c r="FP102" s="17"/>
      <c r="FQ102" s="17"/>
      <c r="FR102" s="17"/>
      <c r="FS102" s="17"/>
      <c r="FT102" s="17"/>
      <c r="FU102" s="17"/>
      <c r="FV102" s="17"/>
      <c r="FW102" s="17"/>
      <c r="FX102" s="17"/>
      <c r="FY102" s="17"/>
      <c r="FZ102" s="17"/>
      <c r="GA102" s="17"/>
      <c r="GB102" s="17"/>
      <c r="GC102" s="17"/>
      <c r="GD102" s="17"/>
      <c r="GE102" s="17"/>
      <c r="GF102" s="17"/>
      <c r="GG102" s="17"/>
      <c r="GH102" s="17"/>
      <c r="GI102" s="17"/>
      <c r="GJ102" s="17"/>
      <c r="GK102" s="17"/>
      <c r="GL102" s="17"/>
      <c r="GM102" s="17"/>
      <c r="GN102" s="17"/>
      <c r="GO102" s="17"/>
      <c r="GP102" s="17"/>
      <c r="GQ102" s="17"/>
      <c r="GR102" s="17"/>
      <c r="GS102" s="17"/>
      <c r="GT102" s="17"/>
      <c r="GU102" s="17"/>
      <c r="GV102" s="17"/>
      <c r="GW102" s="17"/>
      <c r="GX102" s="17"/>
      <c r="GY102" s="17"/>
      <c r="GZ102" s="17"/>
      <c r="HA102" s="17"/>
      <c r="HB102" s="17"/>
      <c r="HC102" s="17"/>
      <c r="HD102" s="17"/>
      <c r="HE102" s="17"/>
      <c r="HF102" s="17"/>
      <c r="HG102" s="17"/>
      <c r="HH102" s="17"/>
      <c r="HI102" s="17"/>
      <c r="HJ102" s="17"/>
      <c r="HK102" s="17"/>
      <c r="HL102" s="17"/>
      <c r="HM102" s="17"/>
      <c r="HN102" s="17"/>
      <c r="HO102" s="17"/>
      <c r="HP102" s="17"/>
      <c r="HQ102" s="17"/>
      <c r="HR102" s="17"/>
      <c r="HS102" s="17"/>
      <c r="HT102" s="17"/>
      <c r="HU102" s="17"/>
      <c r="HV102" s="17"/>
      <c r="HW102" s="17"/>
      <c r="HX102" s="17"/>
      <c r="HY102" s="17"/>
      <c r="HZ102" s="17"/>
    </row>
    <row r="103" spans="73:234" ht="15" x14ac:dyDescent="0.25">
      <c r="BU103" s="17"/>
      <c r="BV103" s="17"/>
      <c r="BW103" s="17"/>
      <c r="BX103" s="17"/>
      <c r="BY103" s="17"/>
      <c r="BZ103" s="17"/>
      <c r="CA103" s="17"/>
      <c r="CB103" s="17"/>
      <c r="CC103" s="17"/>
      <c r="CD103" s="17"/>
      <c r="CE103" s="17"/>
      <c r="CF103" s="1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CY103" s="17"/>
      <c r="CZ103" s="17"/>
      <c r="DA103" s="17"/>
      <c r="DB103" s="17"/>
      <c r="DC103" s="17"/>
      <c r="DD103" s="17"/>
      <c r="DE103" s="17"/>
      <c r="DF103" s="17"/>
      <c r="DG103" s="17"/>
      <c r="DH103" s="17"/>
      <c r="DI103" s="17"/>
      <c r="DJ103" s="17"/>
      <c r="DK103" s="17"/>
      <c r="DL103" s="17"/>
      <c r="DM103" s="17"/>
      <c r="DN103" s="17"/>
      <c r="DO103" s="17"/>
      <c r="DP103" s="17"/>
      <c r="DQ103" s="17"/>
      <c r="DR103" s="17"/>
      <c r="DS103" s="17"/>
      <c r="DT103" s="17"/>
      <c r="DU103" s="17"/>
      <c r="DV103" s="17"/>
      <c r="DW103" s="17"/>
      <c r="DX103" s="17"/>
      <c r="DY103" s="17"/>
      <c r="DZ103" s="17"/>
      <c r="EA103" s="17"/>
      <c r="EB103" s="17"/>
      <c r="EC103" s="17"/>
      <c r="ED103" s="17"/>
      <c r="EE103" s="17"/>
      <c r="EF103" s="17"/>
      <c r="EG103" s="17"/>
      <c r="EH103" s="17"/>
      <c r="EI103" s="17"/>
      <c r="EJ103" s="17"/>
      <c r="EK103" s="17"/>
      <c r="EL103" s="17"/>
      <c r="EM103" s="17"/>
      <c r="EN103" s="17"/>
      <c r="EO103" s="17"/>
      <c r="EP103" s="17"/>
      <c r="EQ103" s="17"/>
      <c r="ER103" s="17"/>
      <c r="ES103" s="17"/>
      <c r="ET103" s="17"/>
      <c r="EU103" s="17"/>
      <c r="EV103" s="17"/>
      <c r="EW103" s="17"/>
      <c r="EX103" s="17"/>
      <c r="EY103" s="17"/>
      <c r="EZ103" s="17"/>
      <c r="FA103" s="17"/>
      <c r="FB103" s="17"/>
      <c r="FC103" s="17"/>
      <c r="FD103" s="17"/>
      <c r="FE103" s="17"/>
      <c r="FF103" s="17"/>
      <c r="FG103" s="17"/>
      <c r="FH103" s="17"/>
      <c r="FI103" s="17"/>
      <c r="FJ103" s="17"/>
      <c r="FK103" s="17"/>
      <c r="FL103" s="17"/>
      <c r="FM103" s="17"/>
      <c r="FN103" s="17"/>
      <c r="FO103" s="17"/>
      <c r="FP103" s="17"/>
      <c r="FQ103" s="17"/>
      <c r="FR103" s="17"/>
      <c r="FS103" s="17"/>
      <c r="FT103" s="17"/>
      <c r="FU103" s="17"/>
      <c r="FV103" s="17"/>
      <c r="FW103" s="17"/>
      <c r="FX103" s="17"/>
      <c r="FY103" s="17"/>
      <c r="FZ103" s="17"/>
      <c r="GA103" s="17"/>
      <c r="GB103" s="17"/>
      <c r="GC103" s="17"/>
      <c r="GD103" s="17"/>
      <c r="GE103" s="17"/>
      <c r="GF103" s="17"/>
      <c r="GG103" s="17"/>
      <c r="GH103" s="17"/>
      <c r="GI103" s="17"/>
      <c r="GJ103" s="17"/>
      <c r="GK103" s="17"/>
      <c r="GL103" s="17"/>
      <c r="GM103" s="17"/>
      <c r="GN103" s="17"/>
      <c r="GO103" s="17"/>
      <c r="GP103" s="17"/>
      <c r="GQ103" s="17"/>
      <c r="GR103" s="17"/>
      <c r="GS103" s="17"/>
      <c r="GT103" s="17"/>
      <c r="GU103" s="17"/>
      <c r="GV103" s="17"/>
      <c r="GW103" s="17"/>
      <c r="GX103" s="17"/>
      <c r="GY103" s="17"/>
      <c r="GZ103" s="17"/>
      <c r="HA103" s="17"/>
      <c r="HB103" s="17"/>
      <c r="HC103" s="17"/>
      <c r="HD103" s="17"/>
      <c r="HE103" s="17"/>
      <c r="HF103" s="17"/>
      <c r="HG103" s="17"/>
      <c r="HH103" s="17"/>
      <c r="HI103" s="17"/>
      <c r="HJ103" s="17"/>
      <c r="HK103" s="17"/>
      <c r="HL103" s="17"/>
      <c r="HM103" s="17"/>
      <c r="HN103" s="17"/>
      <c r="HO103" s="17"/>
      <c r="HP103" s="17"/>
      <c r="HQ103" s="17"/>
      <c r="HR103" s="17"/>
      <c r="HS103" s="17"/>
      <c r="HT103" s="17"/>
      <c r="HU103" s="17"/>
      <c r="HV103" s="17"/>
      <c r="HW103" s="17"/>
      <c r="HX103" s="17"/>
      <c r="HY103" s="17"/>
      <c r="HZ103" s="17"/>
    </row>
    <row r="104" spans="73:234" ht="15" x14ac:dyDescent="0.25"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CY104" s="17"/>
      <c r="CZ104" s="17"/>
      <c r="DA104" s="17"/>
      <c r="DB104" s="17"/>
      <c r="DC104" s="17"/>
      <c r="DD104" s="17"/>
      <c r="DE104" s="17"/>
      <c r="DF104" s="17"/>
      <c r="DG104" s="17"/>
      <c r="DH104" s="17"/>
      <c r="DI104" s="17"/>
      <c r="DJ104" s="17"/>
      <c r="DK104" s="17"/>
      <c r="DL104" s="17"/>
      <c r="DM104" s="17"/>
      <c r="DN104" s="17"/>
      <c r="DO104" s="17"/>
      <c r="DP104" s="17"/>
      <c r="DQ104" s="17"/>
      <c r="DR104" s="17"/>
      <c r="DS104" s="17"/>
      <c r="DT104" s="17"/>
      <c r="DU104" s="17"/>
      <c r="DV104" s="17"/>
      <c r="DW104" s="17"/>
      <c r="DX104" s="17"/>
      <c r="DY104" s="17"/>
      <c r="DZ104" s="17"/>
      <c r="EA104" s="17"/>
      <c r="EB104" s="17"/>
      <c r="EC104" s="17"/>
      <c r="ED104" s="17"/>
      <c r="EE104" s="17"/>
      <c r="EF104" s="17"/>
      <c r="EG104" s="17"/>
      <c r="EH104" s="17"/>
      <c r="EI104" s="17"/>
      <c r="EJ104" s="17"/>
      <c r="EK104" s="17"/>
      <c r="EL104" s="17"/>
      <c r="EM104" s="17"/>
      <c r="EN104" s="17"/>
      <c r="EO104" s="17"/>
      <c r="EP104" s="17"/>
      <c r="EQ104" s="17"/>
      <c r="ER104" s="17"/>
      <c r="ES104" s="17"/>
      <c r="ET104" s="17"/>
      <c r="EU104" s="17"/>
      <c r="EV104" s="17"/>
      <c r="EW104" s="17"/>
      <c r="EX104" s="17"/>
      <c r="EY104" s="17"/>
      <c r="EZ104" s="17"/>
      <c r="FA104" s="17"/>
      <c r="FB104" s="17"/>
      <c r="FC104" s="17"/>
      <c r="FD104" s="17"/>
      <c r="FE104" s="17"/>
      <c r="FF104" s="17"/>
      <c r="FG104" s="17"/>
      <c r="FH104" s="17"/>
      <c r="FI104" s="17"/>
      <c r="FJ104" s="17"/>
      <c r="FK104" s="17"/>
      <c r="FL104" s="17"/>
      <c r="FM104" s="17"/>
      <c r="FN104" s="17"/>
      <c r="FO104" s="17"/>
      <c r="FP104" s="17"/>
      <c r="FQ104" s="17"/>
      <c r="FR104" s="17"/>
      <c r="FS104" s="17"/>
      <c r="FT104" s="17"/>
      <c r="FU104" s="17"/>
      <c r="FV104" s="17"/>
      <c r="FW104" s="17"/>
      <c r="FX104" s="17"/>
      <c r="FY104" s="17"/>
      <c r="FZ104" s="17"/>
      <c r="GA104" s="17"/>
      <c r="GB104" s="17"/>
      <c r="GC104" s="17"/>
      <c r="GD104" s="17"/>
      <c r="GE104" s="17"/>
      <c r="GF104" s="17"/>
      <c r="GG104" s="17"/>
      <c r="GH104" s="17"/>
      <c r="GI104" s="17"/>
      <c r="GJ104" s="17"/>
      <c r="GK104" s="17"/>
      <c r="GL104" s="17"/>
      <c r="GM104" s="17"/>
      <c r="GN104" s="17"/>
      <c r="GO104" s="17"/>
      <c r="GP104" s="17"/>
      <c r="GQ104" s="17"/>
      <c r="GR104" s="17"/>
      <c r="GS104" s="17"/>
      <c r="GT104" s="17"/>
      <c r="GU104" s="17"/>
      <c r="GV104" s="17"/>
      <c r="GW104" s="17"/>
      <c r="GX104" s="17"/>
      <c r="GY104" s="17"/>
      <c r="GZ104" s="17"/>
      <c r="HA104" s="17"/>
      <c r="HB104" s="17"/>
      <c r="HC104" s="17"/>
      <c r="HD104" s="17"/>
      <c r="HE104" s="17"/>
      <c r="HF104" s="17"/>
      <c r="HG104" s="17"/>
      <c r="HH104" s="17"/>
      <c r="HI104" s="17"/>
      <c r="HJ104" s="17"/>
      <c r="HK104" s="17"/>
      <c r="HL104" s="17"/>
      <c r="HM104" s="17"/>
      <c r="HN104" s="17"/>
      <c r="HO104" s="17"/>
      <c r="HP104" s="17"/>
      <c r="HQ104" s="17"/>
      <c r="HR104" s="17"/>
      <c r="HS104" s="17"/>
      <c r="HT104" s="17"/>
      <c r="HU104" s="17"/>
      <c r="HV104" s="17"/>
      <c r="HW104" s="17"/>
      <c r="HX104" s="17"/>
      <c r="HY104" s="17"/>
      <c r="HZ104" s="17"/>
    </row>
    <row r="105" spans="73:234" ht="15" x14ac:dyDescent="0.25">
      <c r="BU105" s="17"/>
      <c r="BV105" s="17"/>
      <c r="BW105" s="17"/>
      <c r="BX105" s="17"/>
      <c r="BY105" s="17"/>
      <c r="BZ105" s="17"/>
      <c r="CA105" s="17"/>
      <c r="CB105" s="17"/>
      <c r="CC105" s="17"/>
      <c r="CD105" s="17"/>
      <c r="CE105" s="17"/>
      <c r="CF105" s="1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CY105" s="17"/>
      <c r="CZ105" s="17"/>
      <c r="DA105" s="17"/>
      <c r="DB105" s="17"/>
      <c r="DC105" s="17"/>
      <c r="DD105" s="17"/>
      <c r="DE105" s="17"/>
      <c r="DF105" s="17"/>
      <c r="DG105" s="17"/>
      <c r="DH105" s="17"/>
      <c r="DI105" s="17"/>
      <c r="DJ105" s="17"/>
      <c r="DK105" s="17"/>
      <c r="DL105" s="17"/>
      <c r="DM105" s="17"/>
      <c r="DN105" s="17"/>
      <c r="DO105" s="17"/>
      <c r="DP105" s="17"/>
      <c r="DQ105" s="17"/>
      <c r="DR105" s="17"/>
      <c r="DS105" s="17"/>
      <c r="DT105" s="17"/>
      <c r="DU105" s="17"/>
      <c r="DV105" s="17"/>
      <c r="DW105" s="17"/>
      <c r="DX105" s="17"/>
      <c r="DY105" s="17"/>
      <c r="DZ105" s="17"/>
      <c r="EA105" s="17"/>
      <c r="EB105" s="17"/>
      <c r="EC105" s="17"/>
      <c r="ED105" s="17"/>
      <c r="EE105" s="17"/>
      <c r="EF105" s="17"/>
      <c r="EG105" s="17"/>
      <c r="EH105" s="17"/>
      <c r="EI105" s="17"/>
      <c r="EJ105" s="17"/>
      <c r="EK105" s="17"/>
      <c r="EL105" s="17"/>
      <c r="EM105" s="17"/>
      <c r="EN105" s="17"/>
      <c r="EO105" s="17"/>
      <c r="EP105" s="17"/>
      <c r="EQ105" s="17"/>
      <c r="ER105" s="17"/>
      <c r="ES105" s="17"/>
      <c r="ET105" s="17"/>
      <c r="EU105" s="17"/>
      <c r="EV105" s="17"/>
      <c r="EW105" s="17"/>
      <c r="EX105" s="17"/>
      <c r="EY105" s="17"/>
      <c r="EZ105" s="17"/>
      <c r="FA105" s="17"/>
      <c r="FB105" s="17"/>
      <c r="FC105" s="17"/>
      <c r="FD105" s="17"/>
      <c r="FE105" s="17"/>
      <c r="FF105" s="17"/>
      <c r="FG105" s="17"/>
      <c r="FH105" s="17"/>
      <c r="FI105" s="17"/>
      <c r="FJ105" s="17"/>
      <c r="FK105" s="17"/>
      <c r="FL105" s="17"/>
      <c r="FM105" s="17"/>
      <c r="FN105" s="17"/>
      <c r="FO105" s="17"/>
      <c r="FP105" s="17"/>
      <c r="FQ105" s="17"/>
      <c r="FR105" s="17"/>
      <c r="FS105" s="17"/>
      <c r="FT105" s="17"/>
      <c r="FU105" s="17"/>
      <c r="FV105" s="17"/>
      <c r="FW105" s="17"/>
      <c r="FX105" s="17"/>
      <c r="FY105" s="17"/>
      <c r="FZ105" s="17"/>
      <c r="GA105" s="17"/>
      <c r="GB105" s="17"/>
      <c r="GC105" s="17"/>
      <c r="GD105" s="17"/>
      <c r="GE105" s="17"/>
      <c r="GF105" s="17"/>
      <c r="GG105" s="17"/>
      <c r="GH105" s="17"/>
      <c r="GI105" s="17"/>
      <c r="GJ105" s="17"/>
      <c r="GK105" s="17"/>
      <c r="GL105" s="17"/>
      <c r="GM105" s="17"/>
      <c r="GN105" s="17"/>
      <c r="GO105" s="17"/>
      <c r="GP105" s="17"/>
      <c r="GQ105" s="17"/>
      <c r="GR105" s="17"/>
      <c r="GS105" s="17"/>
      <c r="GT105" s="17"/>
      <c r="GU105" s="17"/>
      <c r="GV105" s="17"/>
      <c r="GW105" s="17"/>
      <c r="GX105" s="17"/>
      <c r="GY105" s="17"/>
      <c r="GZ105" s="17"/>
      <c r="HA105" s="17"/>
      <c r="HB105" s="17"/>
      <c r="HC105" s="17"/>
      <c r="HD105" s="17"/>
      <c r="HE105" s="17"/>
      <c r="HF105" s="17"/>
      <c r="HG105" s="17"/>
      <c r="HH105" s="17"/>
      <c r="HI105" s="17"/>
      <c r="HJ105" s="17"/>
      <c r="HK105" s="17"/>
      <c r="HL105" s="17"/>
      <c r="HM105" s="17"/>
      <c r="HN105" s="17"/>
      <c r="HO105" s="17"/>
      <c r="HP105" s="17"/>
      <c r="HQ105" s="17"/>
      <c r="HR105" s="17"/>
      <c r="HS105" s="17"/>
      <c r="HT105" s="17"/>
      <c r="HU105" s="17"/>
      <c r="HV105" s="17"/>
      <c r="HW105" s="17"/>
      <c r="HX105" s="17"/>
      <c r="HY105" s="17"/>
      <c r="HZ105" s="17"/>
    </row>
    <row r="106" spans="73:234" ht="15" x14ac:dyDescent="0.25"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7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7"/>
      <c r="DT106" s="17"/>
      <c r="DU106" s="17"/>
      <c r="DV106" s="17"/>
      <c r="DW106" s="17"/>
      <c r="DX106" s="17"/>
      <c r="DY106" s="17"/>
      <c r="DZ106" s="17"/>
      <c r="EA106" s="17"/>
      <c r="EB106" s="17"/>
      <c r="EC106" s="17"/>
      <c r="ED106" s="17"/>
      <c r="EE106" s="17"/>
      <c r="EF106" s="17"/>
      <c r="EG106" s="17"/>
      <c r="EH106" s="17"/>
      <c r="EI106" s="17"/>
      <c r="EJ106" s="17"/>
      <c r="EK106" s="17"/>
      <c r="EL106" s="17"/>
      <c r="EM106" s="17"/>
      <c r="EN106" s="17"/>
      <c r="EO106" s="17"/>
      <c r="EP106" s="17"/>
      <c r="EQ106" s="17"/>
      <c r="ER106" s="17"/>
      <c r="ES106" s="17"/>
      <c r="ET106" s="17"/>
      <c r="EU106" s="17"/>
      <c r="EV106" s="17"/>
      <c r="EW106" s="17"/>
      <c r="EX106" s="17"/>
      <c r="EY106" s="17"/>
      <c r="EZ106" s="17"/>
      <c r="FA106" s="17"/>
      <c r="FB106" s="17"/>
      <c r="FC106" s="17"/>
      <c r="FD106" s="17"/>
      <c r="FE106" s="17"/>
      <c r="FF106" s="17"/>
      <c r="FG106" s="17"/>
      <c r="FH106" s="17"/>
      <c r="FI106" s="17"/>
      <c r="FJ106" s="17"/>
      <c r="FK106" s="17"/>
      <c r="FL106" s="17"/>
      <c r="FM106" s="17"/>
      <c r="FN106" s="17"/>
      <c r="FO106" s="17"/>
      <c r="FP106" s="17"/>
      <c r="FQ106" s="17"/>
      <c r="FR106" s="17"/>
      <c r="FS106" s="17"/>
      <c r="FT106" s="17"/>
      <c r="FU106" s="17"/>
      <c r="FV106" s="17"/>
      <c r="FW106" s="17"/>
      <c r="FX106" s="17"/>
      <c r="FY106" s="17"/>
      <c r="FZ106" s="17"/>
      <c r="GA106" s="17"/>
      <c r="GB106" s="17"/>
      <c r="GC106" s="17"/>
      <c r="GD106" s="17"/>
      <c r="GE106" s="17"/>
      <c r="GF106" s="17"/>
      <c r="GG106" s="17"/>
      <c r="GH106" s="17"/>
      <c r="GI106" s="17"/>
      <c r="GJ106" s="17"/>
      <c r="GK106" s="17"/>
      <c r="GL106" s="17"/>
      <c r="GM106" s="17"/>
      <c r="GN106" s="17"/>
      <c r="GO106" s="17"/>
      <c r="GP106" s="17"/>
      <c r="GQ106" s="17"/>
      <c r="GR106" s="17"/>
      <c r="GS106" s="17"/>
      <c r="GT106" s="17"/>
      <c r="GU106" s="17"/>
      <c r="GV106" s="17"/>
      <c r="GW106" s="17"/>
      <c r="GX106" s="17"/>
      <c r="GY106" s="17"/>
      <c r="GZ106" s="17"/>
      <c r="HA106" s="17"/>
      <c r="HB106" s="17"/>
      <c r="HC106" s="17"/>
      <c r="HD106" s="17"/>
      <c r="HE106" s="17"/>
      <c r="HF106" s="17"/>
      <c r="HG106" s="17"/>
      <c r="HH106" s="17"/>
      <c r="HI106" s="17"/>
      <c r="HJ106" s="17"/>
      <c r="HK106" s="17"/>
      <c r="HL106" s="17"/>
      <c r="HM106" s="17"/>
      <c r="HN106" s="17"/>
      <c r="HO106" s="17"/>
      <c r="HP106" s="17"/>
      <c r="HQ106" s="17"/>
      <c r="HR106" s="17"/>
      <c r="HS106" s="17"/>
      <c r="HT106" s="17"/>
      <c r="HU106" s="17"/>
      <c r="HV106" s="17"/>
      <c r="HW106" s="17"/>
      <c r="HX106" s="17"/>
      <c r="HY106" s="17"/>
      <c r="HZ106" s="17"/>
    </row>
    <row r="107" spans="73:234" ht="15" x14ac:dyDescent="0.25">
      <c r="BU107" s="17"/>
      <c r="BV107" s="17"/>
      <c r="BW107" s="17"/>
      <c r="BX107" s="17"/>
      <c r="BY107" s="17"/>
      <c r="BZ107" s="17"/>
      <c r="CA107" s="17"/>
      <c r="CB107" s="17"/>
      <c r="CC107" s="17"/>
      <c r="CD107" s="17"/>
      <c r="CE107" s="17"/>
      <c r="CF107" s="1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  <c r="CY107" s="17"/>
      <c r="CZ107" s="17"/>
      <c r="DA107" s="17"/>
      <c r="DB107" s="17"/>
      <c r="DC107" s="17"/>
      <c r="DD107" s="17"/>
      <c r="DE107" s="17"/>
      <c r="DF107" s="17"/>
      <c r="DG107" s="17"/>
      <c r="DH107" s="17"/>
      <c r="DI107" s="17"/>
      <c r="DJ107" s="17"/>
      <c r="DK107" s="17"/>
      <c r="DL107" s="17"/>
      <c r="DM107" s="17"/>
      <c r="DN107" s="17"/>
      <c r="DO107" s="17"/>
      <c r="DP107" s="17"/>
      <c r="DQ107" s="17"/>
      <c r="DR107" s="17"/>
      <c r="DS107" s="17"/>
      <c r="DT107" s="17"/>
      <c r="DU107" s="17"/>
      <c r="DV107" s="17"/>
      <c r="DW107" s="17"/>
      <c r="DX107" s="17"/>
      <c r="DY107" s="17"/>
      <c r="DZ107" s="17"/>
      <c r="EA107" s="17"/>
      <c r="EB107" s="17"/>
      <c r="EC107" s="17"/>
      <c r="ED107" s="17"/>
      <c r="EE107" s="17"/>
      <c r="EF107" s="17"/>
      <c r="EG107" s="17"/>
      <c r="EH107" s="17"/>
      <c r="EI107" s="17"/>
      <c r="EJ107" s="17"/>
      <c r="EK107" s="17"/>
      <c r="EL107" s="17"/>
      <c r="EM107" s="17"/>
      <c r="EN107" s="17"/>
      <c r="EO107" s="17"/>
      <c r="EP107" s="17"/>
      <c r="EQ107" s="17"/>
      <c r="ER107" s="17"/>
      <c r="ES107" s="17"/>
      <c r="ET107" s="17"/>
      <c r="EU107" s="17"/>
      <c r="EV107" s="17"/>
      <c r="EW107" s="17"/>
      <c r="EX107" s="17"/>
      <c r="EY107" s="17"/>
      <c r="EZ107" s="17"/>
      <c r="FA107" s="17"/>
      <c r="FB107" s="17"/>
      <c r="FC107" s="17"/>
      <c r="FD107" s="17"/>
      <c r="FE107" s="17"/>
      <c r="FF107" s="17"/>
      <c r="FG107" s="17"/>
      <c r="FH107" s="17"/>
      <c r="FI107" s="17"/>
      <c r="FJ107" s="17"/>
      <c r="FK107" s="17"/>
      <c r="FL107" s="17"/>
      <c r="FM107" s="17"/>
      <c r="FN107" s="17"/>
      <c r="FO107" s="17"/>
      <c r="FP107" s="17"/>
      <c r="FQ107" s="17"/>
      <c r="FR107" s="17"/>
      <c r="FS107" s="17"/>
      <c r="FT107" s="17"/>
      <c r="FU107" s="17"/>
      <c r="FV107" s="17"/>
      <c r="FW107" s="17"/>
      <c r="FX107" s="17"/>
      <c r="FY107" s="17"/>
      <c r="FZ107" s="17"/>
      <c r="GA107" s="17"/>
      <c r="GB107" s="17"/>
      <c r="GC107" s="17"/>
      <c r="GD107" s="17"/>
      <c r="GE107" s="17"/>
      <c r="GF107" s="17"/>
      <c r="GG107" s="17"/>
      <c r="GH107" s="17"/>
      <c r="GI107" s="17"/>
      <c r="GJ107" s="17"/>
      <c r="GK107" s="17"/>
      <c r="GL107" s="17"/>
      <c r="GM107" s="17"/>
      <c r="GN107" s="17"/>
      <c r="GO107" s="17"/>
      <c r="GP107" s="17"/>
      <c r="GQ107" s="17"/>
      <c r="GR107" s="17"/>
      <c r="GS107" s="17"/>
      <c r="GT107" s="17"/>
      <c r="GU107" s="17"/>
      <c r="GV107" s="17"/>
      <c r="GW107" s="17"/>
      <c r="GX107" s="17"/>
      <c r="GY107" s="17"/>
      <c r="GZ107" s="17"/>
      <c r="HA107" s="17"/>
      <c r="HB107" s="17"/>
      <c r="HC107" s="17"/>
      <c r="HD107" s="17"/>
      <c r="HE107" s="17"/>
      <c r="HF107" s="17"/>
      <c r="HG107" s="17"/>
      <c r="HH107" s="17"/>
      <c r="HI107" s="17"/>
      <c r="HJ107" s="17"/>
      <c r="HK107" s="17"/>
      <c r="HL107" s="17"/>
      <c r="HM107" s="17"/>
      <c r="HN107" s="17"/>
      <c r="HO107" s="17"/>
      <c r="HP107" s="17"/>
      <c r="HQ107" s="17"/>
      <c r="HR107" s="17"/>
      <c r="HS107" s="17"/>
      <c r="HT107" s="17"/>
      <c r="HU107" s="17"/>
      <c r="HV107" s="17"/>
      <c r="HW107" s="17"/>
      <c r="HX107" s="17"/>
      <c r="HY107" s="17"/>
      <c r="HZ107" s="17"/>
    </row>
    <row r="108" spans="73:234" ht="15" x14ac:dyDescent="0.25">
      <c r="BU108" s="17"/>
      <c r="BV108" s="17"/>
      <c r="BW108" s="17"/>
      <c r="BX108" s="17"/>
      <c r="BY108" s="17"/>
      <c r="BZ108" s="17"/>
      <c r="CA108" s="17"/>
      <c r="CB108" s="17"/>
      <c r="CC108" s="17"/>
      <c r="CD108" s="17"/>
      <c r="CE108" s="17"/>
      <c r="CF108" s="1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  <c r="CY108" s="17"/>
      <c r="CZ108" s="17"/>
      <c r="DA108" s="17"/>
      <c r="DB108" s="17"/>
      <c r="DC108" s="17"/>
      <c r="DD108" s="17"/>
      <c r="DE108" s="17"/>
      <c r="DF108" s="17"/>
      <c r="DG108" s="17"/>
      <c r="DH108" s="17"/>
      <c r="DI108" s="17"/>
      <c r="DJ108" s="17"/>
      <c r="DK108" s="17"/>
      <c r="DL108" s="17"/>
      <c r="DM108" s="17"/>
      <c r="DN108" s="17"/>
      <c r="DO108" s="17"/>
      <c r="DP108" s="17"/>
      <c r="DQ108" s="17"/>
      <c r="DR108" s="17"/>
      <c r="DS108" s="17"/>
      <c r="DT108" s="17"/>
      <c r="DU108" s="17"/>
      <c r="DV108" s="17"/>
      <c r="DW108" s="17"/>
      <c r="DX108" s="17"/>
      <c r="DY108" s="17"/>
      <c r="DZ108" s="17"/>
      <c r="EA108" s="17"/>
      <c r="EB108" s="17"/>
      <c r="EC108" s="17"/>
      <c r="ED108" s="17"/>
      <c r="EE108" s="17"/>
      <c r="EF108" s="17"/>
      <c r="EG108" s="17"/>
      <c r="EH108" s="17"/>
      <c r="EI108" s="17"/>
      <c r="EJ108" s="17"/>
      <c r="EK108" s="17"/>
      <c r="EL108" s="17"/>
      <c r="EM108" s="17"/>
      <c r="EN108" s="17"/>
      <c r="EO108" s="17"/>
      <c r="EP108" s="17"/>
      <c r="EQ108" s="17"/>
      <c r="ER108" s="17"/>
      <c r="ES108" s="17"/>
      <c r="ET108" s="17"/>
      <c r="EU108" s="17"/>
      <c r="EV108" s="17"/>
      <c r="EW108" s="17"/>
      <c r="EX108" s="17"/>
      <c r="EY108" s="17"/>
      <c r="EZ108" s="17"/>
      <c r="FA108" s="17"/>
      <c r="FB108" s="17"/>
      <c r="FC108" s="17"/>
      <c r="FD108" s="17"/>
      <c r="FE108" s="17"/>
      <c r="FF108" s="17"/>
      <c r="FG108" s="17"/>
      <c r="FH108" s="17"/>
      <c r="FI108" s="17"/>
      <c r="FJ108" s="17"/>
      <c r="FK108" s="17"/>
      <c r="FL108" s="17"/>
      <c r="FM108" s="17"/>
      <c r="FN108" s="17"/>
      <c r="FO108" s="17"/>
      <c r="FP108" s="17"/>
      <c r="FQ108" s="17"/>
      <c r="FR108" s="17"/>
      <c r="FS108" s="17"/>
      <c r="FT108" s="17"/>
      <c r="FU108" s="17"/>
      <c r="FV108" s="17"/>
      <c r="FW108" s="17"/>
      <c r="FX108" s="17"/>
      <c r="FY108" s="17"/>
      <c r="FZ108" s="17"/>
      <c r="GA108" s="17"/>
      <c r="GB108" s="17"/>
      <c r="GC108" s="17"/>
      <c r="GD108" s="17"/>
      <c r="GE108" s="17"/>
      <c r="GF108" s="17"/>
      <c r="GG108" s="17"/>
      <c r="GH108" s="17"/>
      <c r="GI108" s="17"/>
      <c r="GJ108" s="17"/>
      <c r="GK108" s="17"/>
      <c r="GL108" s="17"/>
      <c r="GM108" s="17"/>
      <c r="GN108" s="17"/>
      <c r="GO108" s="17"/>
      <c r="GP108" s="17"/>
      <c r="GQ108" s="17"/>
      <c r="GR108" s="17"/>
      <c r="GS108" s="17"/>
      <c r="GT108" s="17"/>
      <c r="GU108" s="17"/>
      <c r="GV108" s="17"/>
      <c r="GW108" s="17"/>
      <c r="GX108" s="17"/>
      <c r="GY108" s="17"/>
      <c r="GZ108" s="17"/>
      <c r="HA108" s="17"/>
      <c r="HB108" s="17"/>
      <c r="HC108" s="17"/>
      <c r="HD108" s="17"/>
      <c r="HE108" s="17"/>
      <c r="HF108" s="17"/>
      <c r="HG108" s="17"/>
      <c r="HH108" s="17"/>
      <c r="HI108" s="17"/>
      <c r="HJ108" s="17"/>
      <c r="HK108" s="17"/>
      <c r="HL108" s="17"/>
      <c r="HM108" s="17"/>
      <c r="HN108" s="17"/>
      <c r="HO108" s="17"/>
      <c r="HP108" s="17"/>
      <c r="HQ108" s="17"/>
      <c r="HR108" s="17"/>
      <c r="HS108" s="17"/>
      <c r="HT108" s="17"/>
      <c r="HU108" s="17"/>
      <c r="HV108" s="17"/>
      <c r="HW108" s="17"/>
      <c r="HX108" s="17"/>
      <c r="HY108" s="17"/>
      <c r="HZ108" s="17"/>
    </row>
    <row r="109" spans="73:234" ht="15" x14ac:dyDescent="0.25">
      <c r="BU109" s="17"/>
      <c r="BV109" s="17"/>
      <c r="BW109" s="17"/>
      <c r="BX109" s="17"/>
      <c r="BY109" s="17"/>
      <c r="BZ109" s="17"/>
      <c r="CA109" s="17"/>
      <c r="CB109" s="17"/>
      <c r="CC109" s="17"/>
      <c r="CD109" s="17"/>
      <c r="CE109" s="17"/>
      <c r="CF109" s="1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  <c r="CY109" s="17"/>
      <c r="CZ109" s="17"/>
      <c r="DA109" s="17"/>
      <c r="DB109" s="17"/>
      <c r="DC109" s="17"/>
      <c r="DD109" s="17"/>
      <c r="DE109" s="17"/>
      <c r="DF109" s="17"/>
      <c r="DG109" s="17"/>
      <c r="DH109" s="17"/>
      <c r="DI109" s="17"/>
      <c r="DJ109" s="17"/>
      <c r="DK109" s="17"/>
      <c r="DL109" s="17"/>
      <c r="DM109" s="17"/>
      <c r="DN109" s="17"/>
      <c r="DO109" s="17"/>
      <c r="DP109" s="17"/>
      <c r="DQ109" s="17"/>
      <c r="DR109" s="17"/>
      <c r="DS109" s="17"/>
      <c r="DT109" s="17"/>
      <c r="DU109" s="17"/>
      <c r="DV109" s="17"/>
      <c r="DW109" s="17"/>
      <c r="DX109" s="17"/>
      <c r="DY109" s="17"/>
      <c r="DZ109" s="17"/>
      <c r="EA109" s="17"/>
      <c r="EB109" s="17"/>
      <c r="EC109" s="17"/>
      <c r="ED109" s="17"/>
      <c r="EE109" s="17"/>
      <c r="EF109" s="17"/>
      <c r="EG109" s="17"/>
      <c r="EH109" s="17"/>
      <c r="EI109" s="17"/>
      <c r="EJ109" s="17"/>
      <c r="EK109" s="17"/>
      <c r="EL109" s="17"/>
      <c r="EM109" s="17"/>
      <c r="EN109" s="17"/>
      <c r="EO109" s="17"/>
      <c r="EP109" s="17"/>
      <c r="EQ109" s="17"/>
      <c r="ER109" s="17"/>
      <c r="ES109" s="17"/>
      <c r="ET109" s="17"/>
      <c r="EU109" s="17"/>
      <c r="EV109" s="17"/>
      <c r="EW109" s="17"/>
      <c r="EX109" s="17"/>
      <c r="EY109" s="17"/>
      <c r="EZ109" s="17"/>
      <c r="FA109" s="17"/>
      <c r="FB109" s="17"/>
      <c r="FC109" s="17"/>
      <c r="FD109" s="17"/>
      <c r="FE109" s="17"/>
      <c r="FF109" s="17"/>
      <c r="FG109" s="17"/>
      <c r="FH109" s="17"/>
      <c r="FI109" s="17"/>
      <c r="FJ109" s="17"/>
      <c r="FK109" s="17"/>
      <c r="FL109" s="17"/>
      <c r="FM109" s="17"/>
      <c r="FN109" s="17"/>
      <c r="FO109" s="17"/>
      <c r="FP109" s="17"/>
      <c r="FQ109" s="17"/>
      <c r="FR109" s="17"/>
      <c r="FS109" s="17"/>
      <c r="FT109" s="17"/>
      <c r="FU109" s="17"/>
      <c r="FV109" s="17"/>
      <c r="FW109" s="17"/>
      <c r="FX109" s="17"/>
      <c r="FY109" s="17"/>
      <c r="FZ109" s="17"/>
      <c r="GA109" s="17"/>
      <c r="GB109" s="17"/>
      <c r="GC109" s="17"/>
      <c r="GD109" s="17"/>
      <c r="GE109" s="17"/>
      <c r="GF109" s="17"/>
      <c r="GG109" s="17"/>
      <c r="GH109" s="17"/>
      <c r="GI109" s="17"/>
      <c r="GJ109" s="17"/>
      <c r="GK109" s="17"/>
      <c r="GL109" s="17"/>
      <c r="GM109" s="17"/>
      <c r="GN109" s="17"/>
      <c r="GO109" s="17"/>
      <c r="GP109" s="17"/>
      <c r="GQ109" s="17"/>
      <c r="GR109" s="17"/>
      <c r="GS109" s="17"/>
      <c r="GT109" s="17"/>
      <c r="GU109" s="17"/>
      <c r="GV109" s="17"/>
      <c r="GW109" s="17"/>
      <c r="GX109" s="17"/>
      <c r="GY109" s="17"/>
      <c r="GZ109" s="17"/>
      <c r="HA109" s="17"/>
      <c r="HB109" s="17"/>
      <c r="HC109" s="17"/>
      <c r="HD109" s="17"/>
      <c r="HE109" s="17"/>
      <c r="HF109" s="17"/>
      <c r="HG109" s="17"/>
      <c r="HH109" s="17"/>
      <c r="HI109" s="17"/>
      <c r="HJ109" s="17"/>
      <c r="HK109" s="17"/>
      <c r="HL109" s="17"/>
      <c r="HM109" s="17"/>
      <c r="HN109" s="17"/>
      <c r="HO109" s="17"/>
      <c r="HP109" s="17"/>
      <c r="HQ109" s="17"/>
      <c r="HR109" s="17"/>
      <c r="HS109" s="17"/>
      <c r="HT109" s="17"/>
      <c r="HU109" s="17"/>
      <c r="HV109" s="17"/>
      <c r="HW109" s="17"/>
      <c r="HX109" s="17"/>
      <c r="HY109" s="17"/>
      <c r="HZ109" s="17"/>
    </row>
    <row r="110" spans="73:234" ht="15" x14ac:dyDescent="0.25">
      <c r="BU110" s="17"/>
      <c r="BV110" s="17"/>
      <c r="BW110" s="17"/>
      <c r="BX110" s="17"/>
      <c r="BY110" s="17"/>
      <c r="BZ110" s="17"/>
      <c r="CA110" s="17"/>
      <c r="CB110" s="17"/>
      <c r="CC110" s="17"/>
      <c r="CD110" s="17"/>
      <c r="CE110" s="17"/>
      <c r="CF110" s="1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  <c r="CY110" s="17"/>
      <c r="CZ110" s="17"/>
      <c r="DA110" s="17"/>
      <c r="DB110" s="17"/>
      <c r="DC110" s="17"/>
      <c r="DD110" s="17"/>
      <c r="DE110" s="17"/>
      <c r="DF110" s="17"/>
      <c r="DG110" s="17"/>
      <c r="DH110" s="17"/>
      <c r="DI110" s="17"/>
      <c r="DJ110" s="17"/>
      <c r="DK110" s="17"/>
      <c r="DL110" s="17"/>
      <c r="DM110" s="17"/>
      <c r="DN110" s="17"/>
      <c r="DO110" s="17"/>
      <c r="DP110" s="17"/>
      <c r="DQ110" s="17"/>
      <c r="DR110" s="17"/>
      <c r="DS110" s="17"/>
      <c r="DT110" s="17"/>
      <c r="DU110" s="17"/>
      <c r="DV110" s="17"/>
      <c r="DW110" s="17"/>
      <c r="DX110" s="17"/>
      <c r="DY110" s="17"/>
      <c r="DZ110" s="17"/>
      <c r="EA110" s="17"/>
      <c r="EB110" s="17"/>
      <c r="EC110" s="17"/>
      <c r="ED110" s="17"/>
      <c r="EE110" s="17"/>
      <c r="EF110" s="17"/>
      <c r="EG110" s="17"/>
      <c r="EH110" s="17"/>
      <c r="EI110" s="17"/>
      <c r="EJ110" s="17"/>
      <c r="EK110" s="17"/>
      <c r="EL110" s="17"/>
      <c r="EM110" s="17"/>
      <c r="EN110" s="17"/>
      <c r="EO110" s="17"/>
      <c r="EP110" s="17"/>
      <c r="EQ110" s="17"/>
      <c r="ER110" s="17"/>
      <c r="ES110" s="17"/>
      <c r="ET110" s="17"/>
      <c r="EU110" s="17"/>
      <c r="EV110" s="17"/>
      <c r="EW110" s="17"/>
      <c r="EX110" s="17"/>
      <c r="EY110" s="17"/>
      <c r="EZ110" s="17"/>
      <c r="FA110" s="17"/>
      <c r="FB110" s="17"/>
      <c r="FC110" s="17"/>
      <c r="FD110" s="17"/>
      <c r="FE110" s="17"/>
      <c r="FF110" s="17"/>
      <c r="FG110" s="17"/>
      <c r="FH110" s="17"/>
      <c r="FI110" s="17"/>
      <c r="FJ110" s="17"/>
      <c r="FK110" s="17"/>
      <c r="FL110" s="17"/>
      <c r="FM110" s="17"/>
      <c r="FN110" s="17"/>
      <c r="FO110" s="17"/>
      <c r="FP110" s="17"/>
      <c r="FQ110" s="17"/>
      <c r="FR110" s="17"/>
      <c r="FS110" s="17"/>
      <c r="FT110" s="17"/>
      <c r="FU110" s="17"/>
      <c r="FV110" s="17"/>
      <c r="FW110" s="17"/>
      <c r="FX110" s="17"/>
      <c r="FY110" s="17"/>
      <c r="FZ110" s="17"/>
      <c r="GA110" s="17"/>
      <c r="GB110" s="17"/>
      <c r="GC110" s="17"/>
      <c r="GD110" s="17"/>
      <c r="GE110" s="17"/>
      <c r="GF110" s="17"/>
      <c r="GG110" s="17"/>
      <c r="GH110" s="17"/>
      <c r="GI110" s="17"/>
      <c r="GJ110" s="17"/>
      <c r="GK110" s="17"/>
      <c r="GL110" s="17"/>
      <c r="GM110" s="17"/>
      <c r="GN110" s="17"/>
      <c r="GO110" s="17"/>
      <c r="GP110" s="17"/>
      <c r="GQ110" s="17"/>
      <c r="GR110" s="17"/>
      <c r="GS110" s="17"/>
      <c r="GT110" s="17"/>
      <c r="GU110" s="17"/>
      <c r="GV110" s="17"/>
      <c r="GW110" s="17"/>
      <c r="GX110" s="17"/>
      <c r="GY110" s="17"/>
      <c r="GZ110" s="17"/>
      <c r="HA110" s="17"/>
      <c r="HB110" s="17"/>
      <c r="HC110" s="17"/>
      <c r="HD110" s="17"/>
      <c r="HE110" s="17"/>
      <c r="HF110" s="17"/>
      <c r="HG110" s="17"/>
      <c r="HH110" s="17"/>
      <c r="HI110" s="17"/>
      <c r="HJ110" s="17"/>
      <c r="HK110" s="17"/>
      <c r="HL110" s="17"/>
      <c r="HM110" s="17"/>
      <c r="HN110" s="17"/>
      <c r="HO110" s="17"/>
      <c r="HP110" s="17"/>
      <c r="HQ110" s="17"/>
      <c r="HR110" s="17"/>
      <c r="HS110" s="17"/>
      <c r="HT110" s="17"/>
      <c r="HU110" s="17"/>
      <c r="HV110" s="17"/>
      <c r="HW110" s="17"/>
      <c r="HX110" s="17"/>
      <c r="HY110" s="17"/>
      <c r="HZ110" s="17"/>
    </row>
    <row r="111" spans="73:234" ht="15" x14ac:dyDescent="0.25">
      <c r="BU111" s="17"/>
      <c r="BV111" s="17"/>
      <c r="BW111" s="17"/>
      <c r="BX111" s="17"/>
      <c r="BY111" s="17"/>
      <c r="BZ111" s="17"/>
      <c r="CA111" s="17"/>
      <c r="CB111" s="17"/>
      <c r="CC111" s="17"/>
      <c r="CD111" s="17"/>
      <c r="CE111" s="17"/>
      <c r="CF111" s="1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  <c r="CY111" s="17"/>
      <c r="CZ111" s="17"/>
      <c r="DA111" s="17"/>
      <c r="DB111" s="17"/>
      <c r="DC111" s="17"/>
      <c r="DD111" s="17"/>
      <c r="DE111" s="17"/>
      <c r="DF111" s="17"/>
      <c r="DG111" s="17"/>
      <c r="DH111" s="17"/>
      <c r="DI111" s="17"/>
      <c r="DJ111" s="17"/>
      <c r="DK111" s="17"/>
      <c r="DL111" s="17"/>
      <c r="DM111" s="17"/>
      <c r="DN111" s="17"/>
      <c r="DO111" s="17"/>
      <c r="DP111" s="17"/>
      <c r="DQ111" s="17"/>
      <c r="DR111" s="17"/>
      <c r="DS111" s="17"/>
      <c r="DT111" s="17"/>
      <c r="DU111" s="17"/>
      <c r="DV111" s="17"/>
      <c r="DW111" s="17"/>
      <c r="DX111" s="17"/>
      <c r="DY111" s="17"/>
      <c r="DZ111" s="17"/>
      <c r="EA111" s="17"/>
      <c r="EB111" s="17"/>
      <c r="EC111" s="17"/>
      <c r="ED111" s="17"/>
      <c r="EE111" s="17"/>
      <c r="EF111" s="17"/>
      <c r="EG111" s="17"/>
      <c r="EH111" s="17"/>
      <c r="EI111" s="17"/>
      <c r="EJ111" s="17"/>
      <c r="EK111" s="17"/>
      <c r="EL111" s="17"/>
      <c r="EM111" s="17"/>
      <c r="EN111" s="17"/>
      <c r="EO111" s="17"/>
      <c r="EP111" s="17"/>
      <c r="EQ111" s="17"/>
      <c r="ER111" s="17"/>
      <c r="ES111" s="17"/>
      <c r="ET111" s="17"/>
      <c r="EU111" s="17"/>
      <c r="EV111" s="17"/>
      <c r="EW111" s="17"/>
      <c r="EX111" s="17"/>
      <c r="EY111" s="17"/>
      <c r="EZ111" s="17"/>
      <c r="FA111" s="17"/>
      <c r="FB111" s="17"/>
      <c r="FC111" s="17"/>
      <c r="FD111" s="17"/>
      <c r="FE111" s="17"/>
      <c r="FF111" s="17"/>
      <c r="FG111" s="17"/>
      <c r="FH111" s="17"/>
      <c r="FI111" s="17"/>
      <c r="FJ111" s="17"/>
      <c r="FK111" s="17"/>
      <c r="FL111" s="17"/>
      <c r="FM111" s="17"/>
      <c r="FN111" s="17"/>
      <c r="FO111" s="17"/>
      <c r="FP111" s="17"/>
      <c r="FQ111" s="17"/>
      <c r="FR111" s="17"/>
      <c r="FS111" s="17"/>
      <c r="FT111" s="17"/>
      <c r="FU111" s="17"/>
      <c r="FV111" s="17"/>
      <c r="FW111" s="17"/>
      <c r="FX111" s="17"/>
      <c r="FY111" s="17"/>
      <c r="FZ111" s="17"/>
      <c r="GA111" s="17"/>
      <c r="GB111" s="17"/>
      <c r="GC111" s="17"/>
      <c r="GD111" s="17"/>
      <c r="GE111" s="17"/>
      <c r="GF111" s="17"/>
      <c r="GG111" s="17"/>
      <c r="GH111" s="17"/>
      <c r="GI111" s="17"/>
      <c r="GJ111" s="17"/>
      <c r="GK111" s="17"/>
      <c r="GL111" s="17"/>
      <c r="GM111" s="17"/>
      <c r="GN111" s="17"/>
      <c r="GO111" s="17"/>
      <c r="GP111" s="17"/>
      <c r="GQ111" s="17"/>
      <c r="GR111" s="17"/>
      <c r="GS111" s="17"/>
      <c r="GT111" s="17"/>
      <c r="GU111" s="17"/>
      <c r="GV111" s="17"/>
      <c r="GW111" s="17"/>
      <c r="GX111" s="17"/>
      <c r="GY111" s="17"/>
      <c r="GZ111" s="17"/>
      <c r="HA111" s="17"/>
      <c r="HB111" s="17"/>
      <c r="HC111" s="17"/>
      <c r="HD111" s="17"/>
      <c r="HE111" s="17"/>
      <c r="HF111" s="17"/>
      <c r="HG111" s="17"/>
      <c r="HH111" s="17"/>
      <c r="HI111" s="17"/>
      <c r="HJ111" s="17"/>
      <c r="HK111" s="17"/>
      <c r="HL111" s="17"/>
      <c r="HM111" s="17"/>
      <c r="HN111" s="17"/>
      <c r="HO111" s="17"/>
      <c r="HP111" s="17"/>
      <c r="HQ111" s="17"/>
      <c r="HR111" s="17"/>
      <c r="HS111" s="17"/>
      <c r="HT111" s="17"/>
      <c r="HU111" s="17"/>
      <c r="HV111" s="17"/>
      <c r="HW111" s="17"/>
      <c r="HX111" s="17"/>
      <c r="HY111" s="17"/>
      <c r="HZ111" s="17"/>
    </row>
    <row r="112" spans="73:234" ht="15" x14ac:dyDescent="0.25">
      <c r="BU112" s="17"/>
      <c r="BV112" s="17"/>
      <c r="BW112" s="17"/>
      <c r="BX112" s="17"/>
      <c r="BY112" s="17"/>
      <c r="BZ112" s="17"/>
      <c r="CA112" s="17"/>
      <c r="CB112" s="17"/>
      <c r="CC112" s="17"/>
      <c r="CD112" s="17"/>
      <c r="CE112" s="17"/>
      <c r="CF112" s="1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7"/>
      <c r="CW112" s="17"/>
      <c r="CX112" s="17"/>
      <c r="CY112" s="17"/>
      <c r="CZ112" s="17"/>
      <c r="DA112" s="17"/>
      <c r="DB112" s="17"/>
      <c r="DC112" s="17"/>
      <c r="DD112" s="17"/>
      <c r="DE112" s="17"/>
      <c r="DF112" s="17"/>
      <c r="DG112" s="17"/>
      <c r="DH112" s="17"/>
      <c r="DI112" s="17"/>
      <c r="DJ112" s="17"/>
      <c r="DK112" s="17"/>
      <c r="DL112" s="17"/>
      <c r="DM112" s="17"/>
      <c r="DN112" s="17"/>
      <c r="DO112" s="17"/>
      <c r="DP112" s="17"/>
      <c r="DQ112" s="17"/>
      <c r="DR112" s="17"/>
      <c r="DS112" s="17"/>
      <c r="DT112" s="17"/>
      <c r="DU112" s="17"/>
      <c r="DV112" s="17"/>
      <c r="DW112" s="17"/>
      <c r="DX112" s="17"/>
      <c r="DY112" s="17"/>
      <c r="DZ112" s="17"/>
      <c r="EA112" s="17"/>
      <c r="EB112" s="17"/>
      <c r="EC112" s="17"/>
      <c r="ED112" s="17"/>
      <c r="EE112" s="17"/>
      <c r="EF112" s="17"/>
      <c r="EG112" s="17"/>
      <c r="EH112" s="17"/>
      <c r="EI112" s="17"/>
      <c r="EJ112" s="17"/>
      <c r="EK112" s="17"/>
      <c r="EL112" s="17"/>
      <c r="EM112" s="17"/>
      <c r="EN112" s="17"/>
      <c r="EO112" s="17"/>
      <c r="EP112" s="17"/>
      <c r="EQ112" s="17"/>
      <c r="ER112" s="17"/>
      <c r="ES112" s="17"/>
      <c r="ET112" s="17"/>
      <c r="EU112" s="17"/>
      <c r="EV112" s="17"/>
      <c r="EW112" s="17"/>
      <c r="EX112" s="17"/>
      <c r="EY112" s="17"/>
      <c r="EZ112" s="17"/>
      <c r="FA112" s="17"/>
      <c r="FB112" s="17"/>
      <c r="FC112" s="17"/>
      <c r="FD112" s="17"/>
      <c r="FE112" s="17"/>
      <c r="FF112" s="17"/>
      <c r="FG112" s="17"/>
      <c r="FH112" s="17"/>
      <c r="FI112" s="17"/>
      <c r="FJ112" s="17"/>
      <c r="FK112" s="17"/>
      <c r="FL112" s="17"/>
      <c r="FM112" s="17"/>
      <c r="FN112" s="17"/>
      <c r="FO112" s="17"/>
      <c r="FP112" s="17"/>
      <c r="FQ112" s="17"/>
      <c r="FR112" s="17"/>
      <c r="FS112" s="17"/>
      <c r="FT112" s="17"/>
      <c r="FU112" s="17"/>
      <c r="FV112" s="17"/>
      <c r="FW112" s="17"/>
      <c r="FX112" s="17"/>
      <c r="FY112" s="17"/>
      <c r="FZ112" s="17"/>
      <c r="GA112" s="17"/>
      <c r="GB112" s="17"/>
      <c r="GC112" s="17"/>
      <c r="GD112" s="17"/>
      <c r="GE112" s="17"/>
      <c r="GF112" s="17"/>
      <c r="GG112" s="17"/>
      <c r="GH112" s="17"/>
      <c r="GI112" s="17"/>
      <c r="GJ112" s="17"/>
      <c r="GK112" s="17"/>
      <c r="GL112" s="17"/>
      <c r="GM112" s="17"/>
      <c r="GN112" s="17"/>
      <c r="GO112" s="17"/>
      <c r="GP112" s="17"/>
      <c r="GQ112" s="17"/>
      <c r="GR112" s="17"/>
      <c r="GS112" s="17"/>
      <c r="GT112" s="17"/>
      <c r="GU112" s="17"/>
      <c r="GV112" s="17"/>
      <c r="GW112" s="17"/>
      <c r="GX112" s="17"/>
      <c r="GY112" s="17"/>
      <c r="GZ112" s="17"/>
      <c r="HA112" s="17"/>
      <c r="HB112" s="17"/>
      <c r="HC112" s="17"/>
      <c r="HD112" s="17"/>
      <c r="HE112" s="17"/>
      <c r="HF112" s="17"/>
      <c r="HG112" s="17"/>
      <c r="HH112" s="17"/>
      <c r="HI112" s="17"/>
      <c r="HJ112" s="17"/>
      <c r="HK112" s="17"/>
      <c r="HL112" s="17"/>
      <c r="HM112" s="17"/>
      <c r="HN112" s="17"/>
      <c r="HO112" s="17"/>
      <c r="HP112" s="17"/>
      <c r="HQ112" s="17"/>
      <c r="HR112" s="17"/>
      <c r="HS112" s="17"/>
      <c r="HT112" s="17"/>
      <c r="HU112" s="17"/>
      <c r="HV112" s="17"/>
      <c r="HW112" s="17"/>
      <c r="HX112" s="17"/>
      <c r="HY112" s="17"/>
      <c r="HZ112" s="17"/>
    </row>
    <row r="113" spans="73:234" ht="15" x14ac:dyDescent="0.25">
      <c r="BU113" s="17"/>
      <c r="BV113" s="17"/>
      <c r="BW113" s="17"/>
      <c r="BX113" s="17"/>
      <c r="BY113" s="17"/>
      <c r="BZ113" s="17"/>
      <c r="CA113" s="17"/>
      <c r="CB113" s="17"/>
      <c r="CC113" s="17"/>
      <c r="CD113" s="17"/>
      <c r="CE113" s="17"/>
      <c r="CF113" s="1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  <c r="CY113" s="17"/>
      <c r="CZ113" s="17"/>
      <c r="DA113" s="17"/>
      <c r="DB113" s="17"/>
      <c r="DC113" s="17"/>
      <c r="DD113" s="17"/>
      <c r="DE113" s="17"/>
      <c r="DF113" s="17"/>
      <c r="DG113" s="17"/>
      <c r="DH113" s="17"/>
      <c r="DI113" s="17"/>
      <c r="DJ113" s="17"/>
      <c r="DK113" s="17"/>
      <c r="DL113" s="17"/>
      <c r="DM113" s="17"/>
      <c r="DN113" s="17"/>
      <c r="DO113" s="17"/>
      <c r="DP113" s="17"/>
      <c r="DQ113" s="17"/>
      <c r="DR113" s="17"/>
      <c r="DS113" s="17"/>
      <c r="DT113" s="17"/>
      <c r="DU113" s="17"/>
      <c r="DV113" s="17"/>
      <c r="DW113" s="17"/>
      <c r="DX113" s="17"/>
      <c r="DY113" s="17"/>
      <c r="DZ113" s="17"/>
      <c r="EA113" s="17"/>
      <c r="EB113" s="17"/>
      <c r="EC113" s="17"/>
      <c r="ED113" s="17"/>
      <c r="EE113" s="17"/>
      <c r="EF113" s="17"/>
      <c r="EG113" s="17"/>
      <c r="EH113" s="17"/>
      <c r="EI113" s="17"/>
      <c r="EJ113" s="17"/>
      <c r="EK113" s="17"/>
      <c r="EL113" s="17"/>
      <c r="EM113" s="17"/>
      <c r="EN113" s="17"/>
      <c r="EO113" s="17"/>
      <c r="EP113" s="17"/>
      <c r="EQ113" s="17"/>
      <c r="ER113" s="17"/>
      <c r="ES113" s="17"/>
      <c r="ET113" s="17"/>
      <c r="EU113" s="17"/>
      <c r="EV113" s="17"/>
      <c r="EW113" s="17"/>
      <c r="EX113" s="17"/>
      <c r="EY113" s="17"/>
      <c r="EZ113" s="17"/>
      <c r="FA113" s="17"/>
      <c r="FB113" s="17"/>
      <c r="FC113" s="17"/>
      <c r="FD113" s="17"/>
      <c r="FE113" s="17"/>
      <c r="FF113" s="17"/>
      <c r="FG113" s="17"/>
      <c r="FH113" s="17"/>
      <c r="FI113" s="17"/>
      <c r="FJ113" s="17"/>
      <c r="FK113" s="17"/>
      <c r="FL113" s="17"/>
      <c r="FM113" s="17"/>
      <c r="FN113" s="17"/>
      <c r="FO113" s="17"/>
      <c r="FP113" s="17"/>
      <c r="FQ113" s="17"/>
      <c r="FR113" s="17"/>
      <c r="FS113" s="17"/>
      <c r="FT113" s="17"/>
      <c r="FU113" s="17"/>
      <c r="FV113" s="17"/>
      <c r="FW113" s="17"/>
      <c r="FX113" s="17"/>
      <c r="FY113" s="17"/>
      <c r="FZ113" s="17"/>
      <c r="GA113" s="17"/>
      <c r="GB113" s="17"/>
      <c r="GC113" s="17"/>
      <c r="GD113" s="17"/>
      <c r="GE113" s="17"/>
      <c r="GF113" s="17"/>
      <c r="GG113" s="17"/>
      <c r="GH113" s="17"/>
      <c r="GI113" s="17"/>
      <c r="GJ113" s="17"/>
      <c r="GK113" s="17"/>
      <c r="GL113" s="17"/>
      <c r="GM113" s="17"/>
      <c r="GN113" s="17"/>
      <c r="GO113" s="17"/>
      <c r="GP113" s="17"/>
      <c r="GQ113" s="17"/>
      <c r="GR113" s="17"/>
      <c r="GS113" s="17"/>
      <c r="GT113" s="17"/>
      <c r="GU113" s="17"/>
      <c r="GV113" s="17"/>
      <c r="GW113" s="17"/>
      <c r="GX113" s="17"/>
      <c r="GY113" s="17"/>
      <c r="GZ113" s="17"/>
      <c r="HA113" s="17"/>
      <c r="HB113" s="17"/>
      <c r="HC113" s="17"/>
      <c r="HD113" s="17"/>
      <c r="HE113" s="17"/>
      <c r="HF113" s="17"/>
      <c r="HG113" s="17"/>
      <c r="HH113" s="17"/>
      <c r="HI113" s="17"/>
      <c r="HJ113" s="17"/>
      <c r="HK113" s="17"/>
      <c r="HL113" s="17"/>
      <c r="HM113" s="17"/>
      <c r="HN113" s="17"/>
      <c r="HO113" s="17"/>
      <c r="HP113" s="17"/>
      <c r="HQ113" s="17"/>
      <c r="HR113" s="17"/>
      <c r="HS113" s="17"/>
      <c r="HT113" s="17"/>
      <c r="HU113" s="17"/>
      <c r="HV113" s="17"/>
      <c r="HW113" s="17"/>
      <c r="HX113" s="17"/>
      <c r="HY113" s="17"/>
      <c r="HZ113" s="17"/>
    </row>
    <row r="114" spans="73:234" ht="15" x14ac:dyDescent="0.25"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CY114" s="17"/>
      <c r="CZ114" s="17"/>
      <c r="DA114" s="17"/>
      <c r="DB114" s="17"/>
      <c r="DC114" s="17"/>
      <c r="DD114" s="17"/>
      <c r="DE114" s="17"/>
      <c r="DF114" s="17"/>
      <c r="DG114" s="17"/>
      <c r="DH114" s="17"/>
      <c r="DI114" s="17"/>
      <c r="DJ114" s="17"/>
      <c r="DK114" s="17"/>
      <c r="DL114" s="17"/>
      <c r="DM114" s="17"/>
      <c r="DN114" s="17"/>
      <c r="DO114" s="17"/>
      <c r="DP114" s="17"/>
      <c r="DQ114" s="17"/>
      <c r="DR114" s="17"/>
      <c r="DS114" s="17"/>
      <c r="DT114" s="17"/>
      <c r="DU114" s="17"/>
      <c r="DV114" s="17"/>
      <c r="DW114" s="17"/>
      <c r="DX114" s="17"/>
      <c r="DY114" s="17"/>
      <c r="DZ114" s="17"/>
      <c r="EA114" s="17"/>
      <c r="EB114" s="17"/>
      <c r="EC114" s="17"/>
      <c r="ED114" s="17"/>
      <c r="EE114" s="17"/>
      <c r="EF114" s="17"/>
      <c r="EG114" s="17"/>
      <c r="EH114" s="17"/>
      <c r="EI114" s="17"/>
      <c r="EJ114" s="17"/>
      <c r="EK114" s="17"/>
      <c r="EL114" s="17"/>
      <c r="EM114" s="17"/>
      <c r="EN114" s="17"/>
      <c r="EO114" s="17"/>
      <c r="EP114" s="17"/>
      <c r="EQ114" s="17"/>
      <c r="ER114" s="17"/>
      <c r="ES114" s="17"/>
      <c r="ET114" s="17"/>
      <c r="EU114" s="17"/>
      <c r="EV114" s="17"/>
      <c r="EW114" s="17"/>
      <c r="EX114" s="17"/>
      <c r="EY114" s="17"/>
      <c r="EZ114" s="17"/>
      <c r="FA114" s="17"/>
      <c r="FB114" s="17"/>
      <c r="FC114" s="17"/>
      <c r="FD114" s="17"/>
      <c r="FE114" s="17"/>
      <c r="FF114" s="17"/>
      <c r="FG114" s="17"/>
      <c r="FH114" s="17"/>
      <c r="FI114" s="17"/>
      <c r="FJ114" s="17"/>
      <c r="FK114" s="17"/>
      <c r="FL114" s="17"/>
      <c r="FM114" s="17"/>
      <c r="FN114" s="17"/>
      <c r="FO114" s="17"/>
      <c r="FP114" s="17"/>
      <c r="FQ114" s="17"/>
      <c r="FR114" s="17"/>
      <c r="FS114" s="17"/>
      <c r="FT114" s="17"/>
      <c r="FU114" s="17"/>
      <c r="FV114" s="17"/>
      <c r="FW114" s="17"/>
      <c r="FX114" s="17"/>
      <c r="FY114" s="17"/>
      <c r="FZ114" s="17"/>
      <c r="GA114" s="17"/>
      <c r="GB114" s="17"/>
      <c r="GC114" s="17"/>
      <c r="GD114" s="17"/>
      <c r="GE114" s="17"/>
      <c r="GF114" s="17"/>
      <c r="GG114" s="17"/>
      <c r="GH114" s="17"/>
      <c r="GI114" s="17"/>
      <c r="GJ114" s="17"/>
      <c r="GK114" s="17"/>
      <c r="GL114" s="17"/>
      <c r="GM114" s="17"/>
      <c r="GN114" s="17"/>
      <c r="GO114" s="17"/>
      <c r="GP114" s="17"/>
      <c r="GQ114" s="17"/>
      <c r="GR114" s="17"/>
      <c r="GS114" s="17"/>
      <c r="GT114" s="17"/>
      <c r="GU114" s="17"/>
      <c r="GV114" s="17"/>
      <c r="GW114" s="17"/>
      <c r="GX114" s="17"/>
      <c r="GY114" s="17"/>
      <c r="GZ114" s="17"/>
      <c r="HA114" s="17"/>
      <c r="HB114" s="17"/>
      <c r="HC114" s="17"/>
      <c r="HD114" s="17"/>
      <c r="HE114" s="17"/>
      <c r="HF114" s="17"/>
      <c r="HG114" s="17"/>
      <c r="HH114" s="17"/>
      <c r="HI114" s="17"/>
      <c r="HJ114" s="17"/>
      <c r="HK114" s="17"/>
      <c r="HL114" s="17"/>
      <c r="HM114" s="17"/>
      <c r="HN114" s="17"/>
      <c r="HO114" s="17"/>
      <c r="HP114" s="17"/>
      <c r="HQ114" s="17"/>
      <c r="HR114" s="17"/>
      <c r="HS114" s="17"/>
      <c r="HT114" s="17"/>
      <c r="HU114" s="17"/>
      <c r="HV114" s="17"/>
      <c r="HW114" s="17"/>
      <c r="HX114" s="17"/>
      <c r="HY114" s="17"/>
      <c r="HZ114" s="17"/>
    </row>
    <row r="115" spans="73:234" ht="15" x14ac:dyDescent="0.25">
      <c r="BU115" s="17"/>
      <c r="BV115" s="17"/>
      <c r="BW115" s="17"/>
      <c r="BX115" s="17"/>
      <c r="BY115" s="17"/>
      <c r="BZ115" s="17"/>
      <c r="CA115" s="17"/>
      <c r="CB115" s="17"/>
      <c r="CC115" s="17"/>
      <c r="CD115" s="17"/>
      <c r="CE115" s="17"/>
      <c r="CF115" s="1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7"/>
      <c r="CW115" s="17"/>
      <c r="CX115" s="17"/>
      <c r="CY115" s="17"/>
      <c r="CZ115" s="17"/>
      <c r="DA115" s="17"/>
      <c r="DB115" s="17"/>
      <c r="DC115" s="17"/>
      <c r="DD115" s="17"/>
      <c r="DE115" s="17"/>
      <c r="DF115" s="17"/>
      <c r="DG115" s="17"/>
      <c r="DH115" s="17"/>
      <c r="DI115" s="17"/>
      <c r="DJ115" s="17"/>
      <c r="DK115" s="17"/>
      <c r="DL115" s="17"/>
      <c r="DM115" s="17"/>
      <c r="DN115" s="17"/>
      <c r="DO115" s="17"/>
      <c r="DP115" s="17"/>
      <c r="DQ115" s="17"/>
      <c r="DR115" s="17"/>
      <c r="DS115" s="17"/>
      <c r="DT115" s="17"/>
      <c r="DU115" s="17"/>
      <c r="DV115" s="17"/>
      <c r="DW115" s="17"/>
      <c r="DX115" s="17"/>
      <c r="DY115" s="17"/>
      <c r="DZ115" s="17"/>
      <c r="EA115" s="17"/>
      <c r="EB115" s="17"/>
      <c r="EC115" s="17"/>
      <c r="ED115" s="17"/>
      <c r="EE115" s="17"/>
      <c r="EF115" s="17"/>
      <c r="EG115" s="17"/>
      <c r="EH115" s="17"/>
      <c r="EI115" s="17"/>
      <c r="EJ115" s="17"/>
      <c r="EK115" s="17"/>
      <c r="EL115" s="17"/>
      <c r="EM115" s="17"/>
      <c r="EN115" s="17"/>
      <c r="EO115" s="17"/>
      <c r="EP115" s="17"/>
      <c r="EQ115" s="17"/>
      <c r="ER115" s="17"/>
      <c r="ES115" s="17"/>
      <c r="ET115" s="17"/>
      <c r="EU115" s="17"/>
      <c r="EV115" s="17"/>
      <c r="EW115" s="17"/>
      <c r="EX115" s="17"/>
      <c r="EY115" s="17"/>
      <c r="EZ115" s="17"/>
      <c r="FA115" s="17"/>
      <c r="FB115" s="17"/>
      <c r="FC115" s="17"/>
      <c r="FD115" s="17"/>
      <c r="FE115" s="17"/>
      <c r="FF115" s="17"/>
      <c r="FG115" s="17"/>
      <c r="FH115" s="17"/>
      <c r="FI115" s="17"/>
      <c r="FJ115" s="17"/>
      <c r="FK115" s="17"/>
      <c r="FL115" s="17"/>
      <c r="FM115" s="17"/>
      <c r="FN115" s="17"/>
      <c r="FO115" s="17"/>
      <c r="FP115" s="17"/>
      <c r="FQ115" s="17"/>
      <c r="FR115" s="17"/>
      <c r="FS115" s="17"/>
      <c r="FT115" s="17"/>
      <c r="FU115" s="17"/>
      <c r="FV115" s="17"/>
      <c r="FW115" s="17"/>
      <c r="FX115" s="17"/>
      <c r="FY115" s="17"/>
      <c r="FZ115" s="17"/>
      <c r="GA115" s="17"/>
      <c r="GB115" s="17"/>
      <c r="GC115" s="17"/>
      <c r="GD115" s="17"/>
      <c r="GE115" s="17"/>
      <c r="GF115" s="17"/>
      <c r="GG115" s="17"/>
      <c r="GH115" s="17"/>
      <c r="GI115" s="17"/>
      <c r="GJ115" s="17"/>
      <c r="GK115" s="17"/>
      <c r="GL115" s="17"/>
      <c r="GM115" s="17"/>
      <c r="GN115" s="17"/>
      <c r="GO115" s="17"/>
      <c r="GP115" s="17"/>
      <c r="GQ115" s="17"/>
      <c r="GR115" s="17"/>
      <c r="GS115" s="17"/>
      <c r="GT115" s="17"/>
      <c r="GU115" s="17"/>
      <c r="GV115" s="17"/>
      <c r="GW115" s="17"/>
      <c r="GX115" s="17"/>
      <c r="GY115" s="17"/>
      <c r="GZ115" s="17"/>
      <c r="HA115" s="17"/>
      <c r="HB115" s="17"/>
      <c r="HC115" s="17"/>
      <c r="HD115" s="17"/>
      <c r="HE115" s="17"/>
      <c r="HF115" s="17"/>
      <c r="HG115" s="17"/>
      <c r="HH115" s="17"/>
      <c r="HI115" s="17"/>
      <c r="HJ115" s="17"/>
      <c r="HK115" s="17"/>
      <c r="HL115" s="17"/>
      <c r="HM115" s="17"/>
      <c r="HN115" s="17"/>
      <c r="HO115" s="17"/>
      <c r="HP115" s="17"/>
      <c r="HQ115" s="17"/>
      <c r="HR115" s="17"/>
      <c r="HS115" s="17"/>
      <c r="HT115" s="17"/>
      <c r="HU115" s="17"/>
      <c r="HV115" s="17"/>
      <c r="HW115" s="17"/>
      <c r="HX115" s="17"/>
      <c r="HY115" s="17"/>
      <c r="HZ115" s="17"/>
    </row>
    <row r="116" spans="73:234" ht="15" x14ac:dyDescent="0.25">
      <c r="BU116" s="17"/>
      <c r="BV116" s="17"/>
      <c r="BW116" s="17"/>
      <c r="BX116" s="17"/>
      <c r="BY116" s="17"/>
      <c r="BZ116" s="17"/>
      <c r="CA116" s="17"/>
      <c r="CB116" s="17"/>
      <c r="CC116" s="17"/>
      <c r="CD116" s="17"/>
      <c r="CE116" s="17"/>
      <c r="CF116" s="1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  <c r="CY116" s="17"/>
      <c r="CZ116" s="17"/>
      <c r="DA116" s="17"/>
      <c r="DB116" s="17"/>
      <c r="DC116" s="17"/>
      <c r="DD116" s="17"/>
      <c r="DE116" s="17"/>
      <c r="DF116" s="17"/>
      <c r="DG116" s="17"/>
      <c r="DH116" s="17"/>
      <c r="DI116" s="17"/>
      <c r="DJ116" s="17"/>
      <c r="DK116" s="17"/>
      <c r="DL116" s="17"/>
      <c r="DM116" s="17"/>
      <c r="DN116" s="17"/>
      <c r="DO116" s="17"/>
      <c r="DP116" s="17"/>
      <c r="DQ116" s="17"/>
      <c r="DR116" s="17"/>
      <c r="DS116" s="17"/>
      <c r="DT116" s="17"/>
      <c r="DU116" s="17"/>
      <c r="DV116" s="17"/>
      <c r="DW116" s="17"/>
      <c r="DX116" s="17"/>
      <c r="DY116" s="17"/>
      <c r="DZ116" s="17"/>
      <c r="EA116" s="17"/>
      <c r="EB116" s="17"/>
      <c r="EC116" s="17"/>
      <c r="ED116" s="17"/>
      <c r="EE116" s="17"/>
      <c r="EF116" s="17"/>
      <c r="EG116" s="17"/>
      <c r="EH116" s="17"/>
      <c r="EI116" s="17"/>
      <c r="EJ116" s="17"/>
      <c r="EK116" s="17"/>
      <c r="EL116" s="17"/>
      <c r="EM116" s="17"/>
      <c r="EN116" s="17"/>
      <c r="EO116" s="17"/>
      <c r="EP116" s="17"/>
      <c r="EQ116" s="17"/>
      <c r="ER116" s="17"/>
      <c r="ES116" s="17"/>
      <c r="ET116" s="17"/>
      <c r="EU116" s="17"/>
      <c r="EV116" s="17"/>
      <c r="EW116" s="17"/>
      <c r="EX116" s="17"/>
      <c r="EY116" s="17"/>
      <c r="EZ116" s="17"/>
      <c r="FA116" s="17"/>
      <c r="FB116" s="17"/>
      <c r="FC116" s="17"/>
      <c r="FD116" s="17"/>
      <c r="FE116" s="17"/>
      <c r="FF116" s="17"/>
      <c r="FG116" s="17"/>
      <c r="FH116" s="17"/>
      <c r="FI116" s="17"/>
      <c r="FJ116" s="17"/>
      <c r="FK116" s="17"/>
      <c r="FL116" s="17"/>
      <c r="FM116" s="17"/>
      <c r="FN116" s="17"/>
      <c r="FO116" s="17"/>
      <c r="FP116" s="17"/>
      <c r="FQ116" s="17"/>
      <c r="FR116" s="17"/>
      <c r="FS116" s="17"/>
      <c r="FT116" s="17"/>
      <c r="FU116" s="17"/>
      <c r="FV116" s="17"/>
      <c r="FW116" s="17"/>
      <c r="FX116" s="17"/>
      <c r="FY116" s="17"/>
      <c r="FZ116" s="17"/>
      <c r="GA116" s="17"/>
      <c r="GB116" s="17"/>
      <c r="GC116" s="17"/>
      <c r="GD116" s="17"/>
      <c r="GE116" s="17"/>
      <c r="GF116" s="17"/>
      <c r="GG116" s="17"/>
      <c r="GH116" s="17"/>
      <c r="GI116" s="17"/>
      <c r="GJ116" s="17"/>
      <c r="GK116" s="17"/>
      <c r="GL116" s="17"/>
      <c r="GM116" s="17"/>
      <c r="GN116" s="17"/>
      <c r="GO116" s="17"/>
      <c r="GP116" s="17"/>
      <c r="GQ116" s="17"/>
      <c r="GR116" s="17"/>
      <c r="GS116" s="17"/>
      <c r="GT116" s="17"/>
      <c r="GU116" s="17"/>
      <c r="GV116" s="17"/>
      <c r="GW116" s="17"/>
      <c r="GX116" s="17"/>
      <c r="GY116" s="17"/>
      <c r="GZ116" s="17"/>
      <c r="HA116" s="17"/>
      <c r="HB116" s="17"/>
      <c r="HC116" s="17"/>
      <c r="HD116" s="17"/>
      <c r="HE116" s="17"/>
      <c r="HF116" s="17"/>
      <c r="HG116" s="17"/>
      <c r="HH116" s="17"/>
      <c r="HI116" s="17"/>
      <c r="HJ116" s="17"/>
      <c r="HK116" s="17"/>
      <c r="HL116" s="17"/>
      <c r="HM116" s="17"/>
      <c r="HN116" s="17"/>
      <c r="HO116" s="17"/>
      <c r="HP116" s="17"/>
      <c r="HQ116" s="17"/>
      <c r="HR116" s="17"/>
      <c r="HS116" s="17"/>
      <c r="HT116" s="17"/>
      <c r="HU116" s="17"/>
      <c r="HV116" s="17"/>
      <c r="HW116" s="17"/>
      <c r="HX116" s="17"/>
      <c r="HY116" s="17"/>
      <c r="HZ116" s="17"/>
    </row>
    <row r="117" spans="73:234" ht="15" x14ac:dyDescent="0.25">
      <c r="BU117" s="17"/>
      <c r="BV117" s="17"/>
      <c r="BW117" s="17"/>
      <c r="BX117" s="17"/>
      <c r="BY117" s="17"/>
      <c r="BZ117" s="17"/>
      <c r="CA117" s="17"/>
      <c r="CB117" s="17"/>
      <c r="CC117" s="17"/>
      <c r="CD117" s="17"/>
      <c r="CE117" s="17"/>
      <c r="CF117" s="1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  <c r="CY117" s="17"/>
      <c r="CZ117" s="17"/>
      <c r="DA117" s="17"/>
      <c r="DB117" s="17"/>
      <c r="DC117" s="17"/>
      <c r="DD117" s="17"/>
      <c r="DE117" s="17"/>
      <c r="DF117" s="17"/>
      <c r="DG117" s="17"/>
      <c r="DH117" s="17"/>
      <c r="DI117" s="17"/>
      <c r="DJ117" s="17"/>
      <c r="DK117" s="17"/>
      <c r="DL117" s="17"/>
      <c r="DM117" s="17"/>
      <c r="DN117" s="17"/>
      <c r="DO117" s="17"/>
      <c r="DP117" s="17"/>
      <c r="DQ117" s="17"/>
      <c r="DR117" s="17"/>
      <c r="DS117" s="17"/>
      <c r="DT117" s="17"/>
      <c r="DU117" s="17"/>
      <c r="DV117" s="17"/>
      <c r="DW117" s="17"/>
      <c r="DX117" s="17"/>
      <c r="DY117" s="17"/>
      <c r="DZ117" s="17"/>
      <c r="EA117" s="17"/>
      <c r="EB117" s="17"/>
      <c r="EC117" s="17"/>
      <c r="ED117" s="17"/>
      <c r="EE117" s="17"/>
      <c r="EF117" s="17"/>
      <c r="EG117" s="17"/>
      <c r="EH117" s="17"/>
      <c r="EI117" s="17"/>
      <c r="EJ117" s="17"/>
      <c r="EK117" s="17"/>
      <c r="EL117" s="17"/>
      <c r="EM117" s="17"/>
      <c r="EN117" s="17"/>
      <c r="EO117" s="17"/>
      <c r="EP117" s="17"/>
      <c r="EQ117" s="17"/>
      <c r="ER117" s="17"/>
      <c r="ES117" s="17"/>
      <c r="ET117" s="17"/>
      <c r="EU117" s="17"/>
      <c r="EV117" s="17"/>
      <c r="EW117" s="17"/>
      <c r="EX117" s="17"/>
      <c r="EY117" s="17"/>
      <c r="EZ117" s="17"/>
      <c r="FA117" s="17"/>
      <c r="FB117" s="17"/>
      <c r="FC117" s="17"/>
      <c r="FD117" s="17"/>
      <c r="FE117" s="17"/>
      <c r="FF117" s="17"/>
      <c r="FG117" s="17"/>
      <c r="FH117" s="17"/>
      <c r="FI117" s="17"/>
      <c r="FJ117" s="17"/>
      <c r="FK117" s="17"/>
      <c r="FL117" s="17"/>
      <c r="FM117" s="17"/>
      <c r="FN117" s="17"/>
      <c r="FO117" s="17"/>
      <c r="FP117" s="17"/>
      <c r="FQ117" s="17"/>
      <c r="FR117" s="17"/>
      <c r="FS117" s="17"/>
      <c r="FT117" s="17"/>
      <c r="FU117" s="17"/>
      <c r="FV117" s="17"/>
      <c r="FW117" s="17"/>
      <c r="FX117" s="17"/>
      <c r="FY117" s="17"/>
      <c r="FZ117" s="17"/>
      <c r="GA117" s="17"/>
      <c r="GB117" s="17"/>
      <c r="GC117" s="17"/>
      <c r="GD117" s="17"/>
      <c r="GE117" s="17"/>
      <c r="GF117" s="17"/>
      <c r="GG117" s="17"/>
      <c r="GH117" s="17"/>
      <c r="GI117" s="17"/>
      <c r="GJ117" s="17"/>
      <c r="GK117" s="17"/>
      <c r="GL117" s="17"/>
      <c r="GM117" s="17"/>
      <c r="GN117" s="17"/>
      <c r="GO117" s="17"/>
      <c r="GP117" s="17"/>
      <c r="GQ117" s="17"/>
      <c r="GR117" s="17"/>
      <c r="GS117" s="17"/>
      <c r="GT117" s="17"/>
      <c r="GU117" s="17"/>
      <c r="GV117" s="17"/>
      <c r="GW117" s="17"/>
      <c r="GX117" s="17"/>
      <c r="GY117" s="17"/>
      <c r="GZ117" s="17"/>
      <c r="HA117" s="17"/>
      <c r="HB117" s="17"/>
      <c r="HC117" s="17"/>
      <c r="HD117" s="17"/>
      <c r="HE117" s="17"/>
      <c r="HF117" s="17"/>
      <c r="HG117" s="17"/>
      <c r="HH117" s="17"/>
      <c r="HI117" s="17"/>
      <c r="HJ117" s="17"/>
      <c r="HK117" s="17"/>
      <c r="HL117" s="17"/>
      <c r="HM117" s="17"/>
      <c r="HN117" s="17"/>
      <c r="HO117" s="17"/>
      <c r="HP117" s="17"/>
      <c r="HQ117" s="17"/>
      <c r="HR117" s="17"/>
      <c r="HS117" s="17"/>
      <c r="HT117" s="17"/>
      <c r="HU117" s="17"/>
      <c r="HV117" s="17"/>
      <c r="HW117" s="17"/>
      <c r="HX117" s="17"/>
      <c r="HY117" s="17"/>
      <c r="HZ117" s="17"/>
    </row>
    <row r="118" spans="73:234" ht="15" x14ac:dyDescent="0.25">
      <c r="BU118" s="17"/>
      <c r="BV118" s="17"/>
      <c r="BW118" s="17"/>
      <c r="BX118" s="17"/>
      <c r="BY118" s="17"/>
      <c r="BZ118" s="17"/>
      <c r="CA118" s="17"/>
      <c r="CB118" s="17"/>
      <c r="CC118" s="17"/>
      <c r="CD118" s="17"/>
      <c r="CE118" s="17"/>
      <c r="CF118" s="1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  <c r="CY118" s="17"/>
      <c r="CZ118" s="17"/>
      <c r="DA118" s="17"/>
      <c r="DB118" s="17"/>
      <c r="DC118" s="17"/>
      <c r="DD118" s="17"/>
      <c r="DE118" s="17"/>
      <c r="DF118" s="17"/>
      <c r="DG118" s="17"/>
      <c r="DH118" s="17"/>
      <c r="DI118" s="17"/>
      <c r="DJ118" s="17"/>
      <c r="DK118" s="17"/>
      <c r="DL118" s="17"/>
      <c r="DM118" s="17"/>
      <c r="DN118" s="17"/>
      <c r="DO118" s="17"/>
      <c r="DP118" s="17"/>
      <c r="DQ118" s="17"/>
      <c r="DR118" s="17"/>
      <c r="DS118" s="17"/>
      <c r="DT118" s="17"/>
      <c r="DU118" s="17"/>
      <c r="DV118" s="17"/>
      <c r="DW118" s="17"/>
      <c r="DX118" s="17"/>
      <c r="DY118" s="17"/>
      <c r="DZ118" s="17"/>
      <c r="EA118" s="17"/>
      <c r="EB118" s="17"/>
      <c r="EC118" s="17"/>
      <c r="ED118" s="17"/>
      <c r="EE118" s="17"/>
      <c r="EF118" s="17"/>
      <c r="EG118" s="17"/>
      <c r="EH118" s="17"/>
      <c r="EI118" s="17"/>
      <c r="EJ118" s="17"/>
      <c r="EK118" s="17"/>
      <c r="EL118" s="17"/>
      <c r="EM118" s="17"/>
      <c r="EN118" s="17"/>
      <c r="EO118" s="17"/>
      <c r="EP118" s="17"/>
      <c r="EQ118" s="17"/>
      <c r="ER118" s="17"/>
      <c r="ES118" s="17"/>
      <c r="ET118" s="17"/>
      <c r="EU118" s="17"/>
      <c r="EV118" s="17"/>
      <c r="EW118" s="17"/>
      <c r="EX118" s="17"/>
      <c r="EY118" s="17"/>
      <c r="EZ118" s="17"/>
      <c r="FA118" s="17"/>
      <c r="FB118" s="17"/>
      <c r="FC118" s="17"/>
      <c r="FD118" s="17"/>
      <c r="FE118" s="17"/>
      <c r="FF118" s="17"/>
      <c r="FG118" s="17"/>
      <c r="FH118" s="17"/>
      <c r="FI118" s="17"/>
      <c r="FJ118" s="17"/>
      <c r="FK118" s="17"/>
      <c r="FL118" s="17"/>
      <c r="FM118" s="17"/>
      <c r="FN118" s="17"/>
      <c r="FO118" s="17"/>
      <c r="FP118" s="17"/>
      <c r="FQ118" s="17"/>
      <c r="FR118" s="17"/>
      <c r="FS118" s="17"/>
      <c r="FT118" s="17"/>
      <c r="FU118" s="17"/>
      <c r="FV118" s="17"/>
      <c r="FW118" s="17"/>
      <c r="FX118" s="17"/>
      <c r="FY118" s="17"/>
      <c r="FZ118" s="17"/>
      <c r="GA118" s="17"/>
      <c r="GB118" s="17"/>
      <c r="GC118" s="17"/>
      <c r="GD118" s="17"/>
      <c r="GE118" s="17"/>
      <c r="GF118" s="17"/>
      <c r="GG118" s="17"/>
      <c r="GH118" s="17"/>
      <c r="GI118" s="17"/>
      <c r="GJ118" s="17"/>
      <c r="GK118" s="17"/>
      <c r="GL118" s="17"/>
      <c r="GM118" s="17"/>
      <c r="GN118" s="17"/>
      <c r="GO118" s="17"/>
      <c r="GP118" s="17"/>
      <c r="GQ118" s="17"/>
      <c r="GR118" s="17"/>
      <c r="GS118" s="17"/>
      <c r="GT118" s="17"/>
      <c r="GU118" s="17"/>
      <c r="GV118" s="17"/>
      <c r="GW118" s="17"/>
      <c r="GX118" s="17"/>
      <c r="GY118" s="17"/>
      <c r="GZ118" s="17"/>
      <c r="HA118" s="17"/>
      <c r="HB118" s="17"/>
      <c r="HC118" s="17"/>
      <c r="HD118" s="17"/>
      <c r="HE118" s="17"/>
      <c r="HF118" s="17"/>
      <c r="HG118" s="17"/>
      <c r="HH118" s="17"/>
      <c r="HI118" s="17"/>
      <c r="HJ118" s="17"/>
      <c r="HK118" s="17"/>
      <c r="HL118" s="17"/>
      <c r="HM118" s="17"/>
      <c r="HN118" s="17"/>
      <c r="HO118" s="17"/>
      <c r="HP118" s="17"/>
      <c r="HQ118" s="17"/>
      <c r="HR118" s="17"/>
      <c r="HS118" s="17"/>
      <c r="HT118" s="17"/>
      <c r="HU118" s="17"/>
      <c r="HV118" s="17"/>
      <c r="HW118" s="17"/>
      <c r="HX118" s="17"/>
      <c r="HY118" s="17"/>
      <c r="HZ118" s="17"/>
    </row>
    <row r="119" spans="73:234" ht="15" x14ac:dyDescent="0.25">
      <c r="BU119" s="17"/>
      <c r="BV119" s="17"/>
      <c r="BW119" s="17"/>
      <c r="BX119" s="17"/>
      <c r="BY119" s="17"/>
      <c r="BZ119" s="17"/>
      <c r="CA119" s="17"/>
      <c r="CB119" s="17"/>
      <c r="CC119" s="17"/>
      <c r="CD119" s="17"/>
      <c r="CE119" s="17"/>
      <c r="CF119" s="17"/>
      <c r="CG119" s="17"/>
      <c r="CH119" s="17"/>
      <c r="CI119" s="17"/>
      <c r="CJ119" s="17"/>
      <c r="CK119" s="17"/>
      <c r="CL119" s="17"/>
      <c r="CM119" s="17"/>
      <c r="CN119" s="17"/>
      <c r="CO119" s="17"/>
      <c r="CP119" s="17"/>
      <c r="CQ119" s="17"/>
      <c r="CR119" s="17"/>
      <c r="CS119" s="17"/>
      <c r="CT119" s="17"/>
      <c r="CU119" s="17"/>
      <c r="CV119" s="17"/>
      <c r="CW119" s="17"/>
      <c r="CX119" s="17"/>
      <c r="CY119" s="17"/>
      <c r="CZ119" s="17"/>
      <c r="DA119" s="17"/>
      <c r="DB119" s="17"/>
      <c r="DC119" s="17"/>
      <c r="DD119" s="17"/>
      <c r="DE119" s="17"/>
      <c r="DF119" s="17"/>
      <c r="DG119" s="17"/>
      <c r="DH119" s="17"/>
      <c r="DI119" s="17"/>
      <c r="DJ119" s="17"/>
      <c r="DK119" s="17"/>
      <c r="DL119" s="17"/>
      <c r="DM119" s="17"/>
      <c r="DN119" s="17"/>
      <c r="DO119" s="17"/>
      <c r="DP119" s="17"/>
      <c r="DQ119" s="17"/>
      <c r="DR119" s="17"/>
      <c r="DS119" s="17"/>
      <c r="DT119" s="17"/>
      <c r="DU119" s="17"/>
      <c r="DV119" s="17"/>
      <c r="DW119" s="17"/>
      <c r="DX119" s="17"/>
      <c r="DY119" s="17"/>
      <c r="DZ119" s="17"/>
      <c r="EA119" s="17"/>
      <c r="EB119" s="17"/>
      <c r="EC119" s="17"/>
      <c r="ED119" s="17"/>
      <c r="EE119" s="17"/>
      <c r="EF119" s="17"/>
      <c r="EG119" s="17"/>
      <c r="EH119" s="17"/>
      <c r="EI119" s="17"/>
      <c r="EJ119" s="17"/>
      <c r="EK119" s="17"/>
      <c r="EL119" s="17"/>
      <c r="EM119" s="17"/>
      <c r="EN119" s="17"/>
      <c r="EO119" s="17"/>
      <c r="EP119" s="17"/>
      <c r="EQ119" s="17"/>
      <c r="ER119" s="17"/>
      <c r="ES119" s="17"/>
      <c r="ET119" s="17"/>
      <c r="EU119" s="17"/>
      <c r="EV119" s="17"/>
      <c r="EW119" s="17"/>
      <c r="EX119" s="17"/>
      <c r="EY119" s="17"/>
      <c r="EZ119" s="17"/>
      <c r="FA119" s="17"/>
      <c r="FB119" s="17"/>
      <c r="FC119" s="17"/>
      <c r="FD119" s="17"/>
      <c r="FE119" s="17"/>
      <c r="FF119" s="17"/>
      <c r="FG119" s="17"/>
      <c r="FH119" s="17"/>
      <c r="FI119" s="17"/>
      <c r="FJ119" s="17"/>
      <c r="FK119" s="17"/>
      <c r="FL119" s="17"/>
      <c r="FM119" s="17"/>
      <c r="FN119" s="17"/>
      <c r="FO119" s="17"/>
      <c r="FP119" s="17"/>
      <c r="FQ119" s="17"/>
      <c r="FR119" s="17"/>
      <c r="FS119" s="17"/>
      <c r="FT119" s="17"/>
      <c r="FU119" s="17"/>
      <c r="FV119" s="17"/>
      <c r="FW119" s="17"/>
      <c r="FX119" s="17"/>
      <c r="FY119" s="17"/>
      <c r="FZ119" s="17"/>
      <c r="GA119" s="17"/>
      <c r="GB119" s="17"/>
      <c r="GC119" s="17"/>
      <c r="GD119" s="17"/>
      <c r="GE119" s="17"/>
      <c r="GF119" s="17"/>
      <c r="GG119" s="17"/>
      <c r="GH119" s="17"/>
      <c r="GI119" s="17"/>
      <c r="GJ119" s="17"/>
      <c r="GK119" s="17"/>
      <c r="GL119" s="17"/>
      <c r="GM119" s="17"/>
      <c r="GN119" s="17"/>
      <c r="GO119" s="17"/>
      <c r="GP119" s="17"/>
      <c r="GQ119" s="17"/>
      <c r="GR119" s="17"/>
      <c r="GS119" s="17"/>
      <c r="GT119" s="17"/>
      <c r="GU119" s="17"/>
      <c r="GV119" s="17"/>
      <c r="GW119" s="17"/>
      <c r="GX119" s="17"/>
      <c r="GY119" s="17"/>
      <c r="GZ119" s="17"/>
      <c r="HA119" s="17"/>
      <c r="HB119" s="17"/>
      <c r="HC119" s="17"/>
      <c r="HD119" s="17"/>
      <c r="HE119" s="17"/>
      <c r="HF119" s="17"/>
      <c r="HG119" s="17"/>
      <c r="HH119" s="17"/>
      <c r="HI119" s="17"/>
      <c r="HJ119" s="17"/>
      <c r="HK119" s="17"/>
      <c r="HL119" s="17"/>
      <c r="HM119" s="17"/>
      <c r="HN119" s="17"/>
      <c r="HO119" s="17"/>
      <c r="HP119" s="17"/>
      <c r="HQ119" s="17"/>
      <c r="HR119" s="17"/>
      <c r="HS119" s="17"/>
      <c r="HT119" s="17"/>
      <c r="HU119" s="17"/>
      <c r="HV119" s="17"/>
      <c r="HW119" s="17"/>
      <c r="HX119" s="17"/>
      <c r="HY119" s="17"/>
      <c r="HZ119" s="17"/>
    </row>
    <row r="120" spans="73:234" ht="15" x14ac:dyDescent="0.25">
      <c r="BU120" s="17"/>
      <c r="BV120" s="17"/>
      <c r="BW120" s="17"/>
      <c r="BX120" s="17"/>
      <c r="BY120" s="17"/>
      <c r="BZ120" s="17"/>
      <c r="CA120" s="17"/>
      <c r="CB120" s="17"/>
      <c r="CC120" s="17"/>
      <c r="CD120" s="17"/>
      <c r="CE120" s="17"/>
      <c r="CF120" s="1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CY120" s="17"/>
      <c r="CZ120" s="17"/>
      <c r="DA120" s="17"/>
      <c r="DB120" s="17"/>
      <c r="DC120" s="17"/>
      <c r="DD120" s="17"/>
      <c r="DE120" s="17"/>
      <c r="DF120" s="17"/>
      <c r="DG120" s="17"/>
      <c r="DH120" s="17"/>
      <c r="DI120" s="17"/>
      <c r="DJ120" s="17"/>
      <c r="DK120" s="17"/>
      <c r="DL120" s="17"/>
      <c r="DM120" s="17"/>
      <c r="DN120" s="17"/>
      <c r="DO120" s="17"/>
      <c r="DP120" s="17"/>
      <c r="DQ120" s="17"/>
      <c r="DR120" s="17"/>
      <c r="DS120" s="17"/>
      <c r="DT120" s="17"/>
      <c r="DU120" s="17"/>
      <c r="DV120" s="17"/>
      <c r="DW120" s="17"/>
      <c r="DX120" s="17"/>
      <c r="DY120" s="17"/>
      <c r="DZ120" s="17"/>
      <c r="EA120" s="17"/>
      <c r="EB120" s="17"/>
      <c r="EC120" s="17"/>
      <c r="ED120" s="17"/>
      <c r="EE120" s="17"/>
      <c r="EF120" s="17"/>
      <c r="EG120" s="17"/>
      <c r="EH120" s="17"/>
      <c r="EI120" s="17"/>
      <c r="EJ120" s="17"/>
      <c r="EK120" s="17"/>
      <c r="EL120" s="17"/>
      <c r="EM120" s="17"/>
      <c r="EN120" s="17"/>
      <c r="EO120" s="17"/>
      <c r="EP120" s="17"/>
      <c r="EQ120" s="17"/>
      <c r="ER120" s="17"/>
      <c r="ES120" s="17"/>
      <c r="ET120" s="17"/>
      <c r="EU120" s="17"/>
      <c r="EV120" s="17"/>
      <c r="EW120" s="17"/>
      <c r="EX120" s="17"/>
      <c r="EY120" s="17"/>
      <c r="EZ120" s="17"/>
      <c r="FA120" s="17"/>
      <c r="FB120" s="17"/>
      <c r="FC120" s="17"/>
      <c r="FD120" s="17"/>
      <c r="FE120" s="17"/>
      <c r="FF120" s="17"/>
      <c r="FG120" s="17"/>
      <c r="FH120" s="17"/>
      <c r="FI120" s="17"/>
      <c r="FJ120" s="17"/>
      <c r="FK120" s="17"/>
      <c r="FL120" s="17"/>
      <c r="FM120" s="17"/>
      <c r="FN120" s="17"/>
      <c r="FO120" s="17"/>
      <c r="FP120" s="17"/>
      <c r="FQ120" s="17"/>
      <c r="FR120" s="17"/>
      <c r="FS120" s="17"/>
      <c r="FT120" s="17"/>
      <c r="FU120" s="17"/>
      <c r="FV120" s="17"/>
      <c r="FW120" s="17"/>
      <c r="FX120" s="17"/>
      <c r="FY120" s="17"/>
      <c r="FZ120" s="17"/>
      <c r="GA120" s="17"/>
      <c r="GB120" s="17"/>
      <c r="GC120" s="17"/>
      <c r="GD120" s="17"/>
      <c r="GE120" s="17"/>
      <c r="GF120" s="17"/>
      <c r="GG120" s="17"/>
      <c r="GH120" s="17"/>
      <c r="GI120" s="17"/>
      <c r="GJ120" s="17"/>
      <c r="GK120" s="17"/>
      <c r="GL120" s="17"/>
      <c r="GM120" s="17"/>
      <c r="GN120" s="17"/>
      <c r="GO120" s="17"/>
      <c r="GP120" s="17"/>
      <c r="GQ120" s="17"/>
      <c r="GR120" s="17"/>
      <c r="GS120" s="17"/>
      <c r="GT120" s="17"/>
      <c r="GU120" s="17"/>
      <c r="GV120" s="17"/>
      <c r="GW120" s="17"/>
      <c r="GX120" s="17"/>
      <c r="GY120" s="17"/>
      <c r="GZ120" s="17"/>
      <c r="HA120" s="17"/>
      <c r="HB120" s="17"/>
      <c r="HC120" s="17"/>
      <c r="HD120" s="17"/>
      <c r="HE120" s="17"/>
      <c r="HF120" s="17"/>
      <c r="HG120" s="17"/>
      <c r="HH120" s="17"/>
      <c r="HI120" s="17"/>
      <c r="HJ120" s="17"/>
      <c r="HK120" s="17"/>
      <c r="HL120" s="17"/>
      <c r="HM120" s="17"/>
      <c r="HN120" s="17"/>
      <c r="HO120" s="17"/>
      <c r="HP120" s="17"/>
      <c r="HQ120" s="17"/>
      <c r="HR120" s="17"/>
      <c r="HS120" s="17"/>
      <c r="HT120" s="17"/>
      <c r="HU120" s="17"/>
      <c r="HV120" s="17"/>
      <c r="HW120" s="17"/>
      <c r="HX120" s="17"/>
      <c r="HY120" s="17"/>
      <c r="HZ120" s="17"/>
    </row>
    <row r="121" spans="73:234" ht="15" x14ac:dyDescent="0.25">
      <c r="BU121" s="17"/>
      <c r="BV121" s="17"/>
      <c r="BW121" s="17"/>
      <c r="BX121" s="17"/>
      <c r="BY121" s="17"/>
      <c r="BZ121" s="17"/>
      <c r="CA121" s="17"/>
      <c r="CB121" s="17"/>
      <c r="CC121" s="17"/>
      <c r="CD121" s="17"/>
      <c r="CE121" s="17"/>
      <c r="CF121" s="17"/>
      <c r="CG121" s="17"/>
      <c r="CH121" s="17"/>
      <c r="CI121" s="17"/>
      <c r="CJ121" s="17"/>
      <c r="CK121" s="17"/>
      <c r="CL121" s="17"/>
      <c r="CM121" s="17"/>
      <c r="CN121" s="17"/>
      <c r="CO121" s="17"/>
      <c r="CP121" s="17"/>
      <c r="CQ121" s="17"/>
      <c r="CR121" s="17"/>
      <c r="CS121" s="17"/>
      <c r="CT121" s="17"/>
      <c r="CU121" s="17"/>
      <c r="CV121" s="17"/>
      <c r="CW121" s="17"/>
      <c r="CX121" s="17"/>
      <c r="CY121" s="17"/>
      <c r="CZ121" s="17"/>
      <c r="DA121" s="17"/>
      <c r="DB121" s="17"/>
      <c r="DC121" s="17"/>
      <c r="DD121" s="17"/>
      <c r="DE121" s="17"/>
      <c r="DF121" s="17"/>
      <c r="DG121" s="17"/>
      <c r="DH121" s="17"/>
      <c r="DI121" s="17"/>
      <c r="DJ121" s="17"/>
      <c r="DK121" s="17"/>
      <c r="DL121" s="17"/>
      <c r="DM121" s="17"/>
      <c r="DN121" s="17"/>
      <c r="DO121" s="17"/>
      <c r="DP121" s="17"/>
      <c r="DQ121" s="17"/>
      <c r="DR121" s="17"/>
      <c r="DS121" s="17"/>
      <c r="DT121" s="17"/>
      <c r="DU121" s="17"/>
      <c r="DV121" s="17"/>
      <c r="DW121" s="17"/>
      <c r="DX121" s="17"/>
      <c r="DY121" s="17"/>
      <c r="DZ121" s="17"/>
      <c r="EA121" s="17"/>
      <c r="EB121" s="17"/>
      <c r="EC121" s="17"/>
      <c r="ED121" s="17"/>
      <c r="EE121" s="17"/>
      <c r="EF121" s="17"/>
      <c r="EG121" s="17"/>
      <c r="EH121" s="17"/>
      <c r="EI121" s="17"/>
      <c r="EJ121" s="17"/>
      <c r="EK121" s="17"/>
      <c r="EL121" s="17"/>
      <c r="EM121" s="17"/>
      <c r="EN121" s="17"/>
      <c r="EO121" s="17"/>
      <c r="EP121" s="17"/>
      <c r="EQ121" s="17"/>
      <c r="ER121" s="17"/>
      <c r="ES121" s="17"/>
      <c r="ET121" s="17"/>
      <c r="EU121" s="17"/>
      <c r="EV121" s="17"/>
      <c r="EW121" s="17"/>
      <c r="EX121" s="17"/>
      <c r="EY121" s="17"/>
      <c r="EZ121" s="17"/>
      <c r="FA121" s="17"/>
      <c r="FB121" s="17"/>
      <c r="FC121" s="17"/>
      <c r="FD121" s="17"/>
      <c r="FE121" s="17"/>
      <c r="FF121" s="17"/>
      <c r="FG121" s="17"/>
      <c r="FH121" s="17"/>
      <c r="FI121" s="17"/>
      <c r="FJ121" s="17"/>
      <c r="FK121" s="17"/>
      <c r="FL121" s="17"/>
      <c r="FM121" s="17"/>
      <c r="FN121" s="17"/>
      <c r="FO121" s="17"/>
      <c r="FP121" s="17"/>
      <c r="FQ121" s="17"/>
      <c r="FR121" s="17"/>
      <c r="FS121" s="17"/>
      <c r="FT121" s="17"/>
      <c r="FU121" s="17"/>
      <c r="FV121" s="17"/>
      <c r="FW121" s="17"/>
      <c r="FX121" s="17"/>
      <c r="FY121" s="17"/>
      <c r="FZ121" s="17"/>
      <c r="GA121" s="17"/>
      <c r="GB121" s="17"/>
      <c r="GC121" s="17"/>
      <c r="GD121" s="17"/>
      <c r="GE121" s="17"/>
      <c r="GF121" s="17"/>
      <c r="GG121" s="17"/>
      <c r="GH121" s="17"/>
      <c r="GI121" s="17"/>
      <c r="GJ121" s="17"/>
      <c r="GK121" s="17"/>
      <c r="GL121" s="17"/>
      <c r="GM121" s="17"/>
      <c r="GN121" s="17"/>
      <c r="GO121" s="17"/>
      <c r="GP121" s="17"/>
      <c r="GQ121" s="17"/>
      <c r="GR121" s="17"/>
      <c r="GS121" s="17"/>
      <c r="GT121" s="17"/>
      <c r="GU121" s="17"/>
      <c r="GV121" s="17"/>
      <c r="GW121" s="17"/>
      <c r="GX121" s="17"/>
      <c r="GY121" s="17"/>
      <c r="GZ121" s="17"/>
      <c r="HA121" s="17"/>
      <c r="HB121" s="17"/>
      <c r="HC121" s="17"/>
      <c r="HD121" s="17"/>
      <c r="HE121" s="17"/>
      <c r="HF121" s="17"/>
      <c r="HG121" s="17"/>
      <c r="HH121" s="17"/>
      <c r="HI121" s="17"/>
      <c r="HJ121" s="17"/>
      <c r="HK121" s="17"/>
      <c r="HL121" s="17"/>
      <c r="HM121" s="17"/>
      <c r="HN121" s="17"/>
      <c r="HO121" s="17"/>
      <c r="HP121" s="17"/>
      <c r="HQ121" s="17"/>
      <c r="HR121" s="17"/>
      <c r="HS121" s="17"/>
      <c r="HT121" s="17"/>
      <c r="HU121" s="17"/>
      <c r="HV121" s="17"/>
      <c r="HW121" s="17"/>
      <c r="HX121" s="17"/>
      <c r="HY121" s="17"/>
      <c r="HZ121" s="17"/>
    </row>
    <row r="122" spans="73:234" ht="15" x14ac:dyDescent="0.25">
      <c r="BU122" s="17"/>
      <c r="BV122" s="17"/>
      <c r="BW122" s="17"/>
      <c r="BX122" s="17"/>
      <c r="BY122" s="17"/>
      <c r="BZ122" s="17"/>
      <c r="CA122" s="17"/>
      <c r="CB122" s="17"/>
      <c r="CC122" s="17"/>
      <c r="CD122" s="17"/>
      <c r="CE122" s="17"/>
      <c r="CF122" s="17"/>
      <c r="CG122" s="17"/>
      <c r="CH122" s="17"/>
      <c r="CI122" s="17"/>
      <c r="CJ122" s="17"/>
      <c r="CK122" s="17"/>
      <c r="CL122" s="17"/>
      <c r="CM122" s="17"/>
      <c r="CN122" s="17"/>
      <c r="CO122" s="17"/>
      <c r="CP122" s="17"/>
      <c r="CQ122" s="17"/>
      <c r="CR122" s="17"/>
      <c r="CS122" s="17"/>
      <c r="CT122" s="17"/>
      <c r="CU122" s="17"/>
      <c r="CV122" s="17"/>
      <c r="CW122" s="17"/>
      <c r="CX122" s="17"/>
      <c r="CY122" s="17"/>
      <c r="CZ122" s="17"/>
      <c r="DA122" s="17"/>
      <c r="DB122" s="17"/>
      <c r="DC122" s="17"/>
      <c r="DD122" s="17"/>
      <c r="DE122" s="17"/>
      <c r="DF122" s="17"/>
      <c r="DG122" s="17"/>
      <c r="DH122" s="17"/>
      <c r="DI122" s="17"/>
      <c r="DJ122" s="17"/>
      <c r="DK122" s="17"/>
      <c r="DL122" s="17"/>
      <c r="DM122" s="17"/>
      <c r="DN122" s="17"/>
      <c r="DO122" s="17"/>
      <c r="DP122" s="17"/>
      <c r="DQ122" s="17"/>
      <c r="DR122" s="17"/>
      <c r="DS122" s="17"/>
      <c r="DT122" s="17"/>
      <c r="DU122" s="17"/>
      <c r="DV122" s="17"/>
      <c r="DW122" s="17"/>
      <c r="DX122" s="17"/>
      <c r="DY122" s="17"/>
      <c r="DZ122" s="17"/>
      <c r="EA122" s="17"/>
      <c r="EB122" s="17"/>
      <c r="EC122" s="17"/>
      <c r="ED122" s="17"/>
      <c r="EE122" s="17"/>
      <c r="EF122" s="17"/>
      <c r="EG122" s="17"/>
      <c r="EH122" s="17"/>
      <c r="EI122" s="17"/>
      <c r="EJ122" s="17"/>
      <c r="EK122" s="17"/>
      <c r="EL122" s="17"/>
      <c r="EM122" s="17"/>
      <c r="EN122" s="17"/>
      <c r="EO122" s="17"/>
      <c r="EP122" s="17"/>
      <c r="EQ122" s="17"/>
      <c r="ER122" s="17"/>
      <c r="ES122" s="17"/>
      <c r="ET122" s="17"/>
      <c r="EU122" s="17"/>
      <c r="EV122" s="17"/>
      <c r="EW122" s="17"/>
      <c r="EX122" s="17"/>
      <c r="EY122" s="17"/>
      <c r="EZ122" s="17"/>
      <c r="FA122" s="17"/>
      <c r="FB122" s="17"/>
      <c r="FC122" s="17"/>
      <c r="FD122" s="17"/>
      <c r="FE122" s="17"/>
      <c r="FF122" s="17"/>
      <c r="FG122" s="17"/>
      <c r="FH122" s="17"/>
      <c r="FI122" s="17"/>
      <c r="FJ122" s="17"/>
      <c r="FK122" s="17"/>
      <c r="FL122" s="17"/>
      <c r="FM122" s="17"/>
      <c r="FN122" s="17"/>
      <c r="FO122" s="17"/>
      <c r="FP122" s="17"/>
      <c r="FQ122" s="17"/>
      <c r="FR122" s="17"/>
      <c r="FS122" s="17"/>
      <c r="FT122" s="17"/>
      <c r="FU122" s="17"/>
      <c r="FV122" s="17"/>
      <c r="FW122" s="17"/>
      <c r="FX122" s="17"/>
      <c r="FY122" s="17"/>
      <c r="FZ122" s="17"/>
      <c r="GA122" s="17"/>
      <c r="GB122" s="17"/>
      <c r="GC122" s="17"/>
      <c r="GD122" s="17"/>
      <c r="GE122" s="17"/>
      <c r="GF122" s="17"/>
      <c r="GG122" s="17"/>
      <c r="GH122" s="17"/>
      <c r="GI122" s="17"/>
      <c r="GJ122" s="17"/>
      <c r="GK122" s="17"/>
      <c r="GL122" s="17"/>
      <c r="GM122" s="17"/>
      <c r="GN122" s="17"/>
      <c r="GO122" s="17"/>
      <c r="GP122" s="17"/>
      <c r="GQ122" s="17"/>
      <c r="GR122" s="17"/>
      <c r="GS122" s="17"/>
      <c r="GT122" s="17"/>
      <c r="GU122" s="17"/>
      <c r="GV122" s="17"/>
      <c r="GW122" s="17"/>
      <c r="GX122" s="17"/>
      <c r="GY122" s="17"/>
      <c r="GZ122" s="17"/>
      <c r="HA122" s="17"/>
      <c r="HB122" s="17"/>
      <c r="HC122" s="17"/>
      <c r="HD122" s="17"/>
      <c r="HE122" s="17"/>
      <c r="HF122" s="17"/>
      <c r="HG122" s="17"/>
      <c r="HH122" s="17"/>
      <c r="HI122" s="17"/>
      <c r="HJ122" s="17"/>
      <c r="HK122" s="17"/>
      <c r="HL122" s="17"/>
      <c r="HM122" s="17"/>
      <c r="HN122" s="17"/>
      <c r="HO122" s="17"/>
      <c r="HP122" s="17"/>
      <c r="HQ122" s="17"/>
      <c r="HR122" s="17"/>
      <c r="HS122" s="17"/>
      <c r="HT122" s="17"/>
      <c r="HU122" s="17"/>
      <c r="HV122" s="17"/>
      <c r="HW122" s="17"/>
      <c r="HX122" s="17"/>
      <c r="HY122" s="17"/>
      <c r="HZ122" s="17"/>
    </row>
    <row r="123" spans="73:234" ht="15" x14ac:dyDescent="0.25">
      <c r="BU123" s="17"/>
      <c r="BV123" s="17"/>
      <c r="BW123" s="17"/>
      <c r="BX123" s="17"/>
      <c r="BY123" s="17"/>
      <c r="BZ123" s="17"/>
      <c r="CA123" s="17"/>
      <c r="CB123" s="17"/>
      <c r="CC123" s="17"/>
      <c r="CD123" s="17"/>
      <c r="CE123" s="17"/>
      <c r="CF123" s="1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  <c r="CY123" s="17"/>
      <c r="CZ123" s="17"/>
      <c r="DA123" s="17"/>
      <c r="DB123" s="17"/>
      <c r="DC123" s="17"/>
      <c r="DD123" s="17"/>
      <c r="DE123" s="17"/>
      <c r="DF123" s="17"/>
      <c r="DG123" s="17"/>
      <c r="DH123" s="17"/>
      <c r="DI123" s="17"/>
      <c r="DJ123" s="17"/>
      <c r="DK123" s="17"/>
      <c r="DL123" s="17"/>
      <c r="DM123" s="17"/>
      <c r="DN123" s="17"/>
      <c r="DO123" s="17"/>
      <c r="DP123" s="17"/>
      <c r="DQ123" s="17"/>
      <c r="DR123" s="17"/>
      <c r="DS123" s="17"/>
      <c r="DT123" s="17"/>
      <c r="DU123" s="17"/>
      <c r="DV123" s="17"/>
      <c r="DW123" s="17"/>
      <c r="DX123" s="17"/>
      <c r="DY123" s="17"/>
      <c r="DZ123" s="17"/>
      <c r="EA123" s="17"/>
      <c r="EB123" s="17"/>
      <c r="EC123" s="17"/>
      <c r="ED123" s="17"/>
      <c r="EE123" s="17"/>
      <c r="EF123" s="17"/>
      <c r="EG123" s="17"/>
      <c r="EH123" s="17"/>
      <c r="EI123" s="17"/>
      <c r="EJ123" s="17"/>
      <c r="EK123" s="17"/>
      <c r="EL123" s="17"/>
      <c r="EM123" s="17"/>
      <c r="EN123" s="17"/>
      <c r="EO123" s="17"/>
      <c r="EP123" s="17"/>
      <c r="EQ123" s="17"/>
      <c r="ER123" s="17"/>
      <c r="ES123" s="17"/>
      <c r="ET123" s="17"/>
      <c r="EU123" s="17"/>
      <c r="EV123" s="17"/>
      <c r="EW123" s="17"/>
      <c r="EX123" s="17"/>
      <c r="EY123" s="17"/>
      <c r="EZ123" s="17"/>
      <c r="FA123" s="17"/>
      <c r="FB123" s="17"/>
      <c r="FC123" s="17"/>
      <c r="FD123" s="17"/>
      <c r="FE123" s="17"/>
      <c r="FF123" s="17"/>
      <c r="FG123" s="17"/>
      <c r="FH123" s="17"/>
      <c r="FI123" s="17"/>
      <c r="FJ123" s="17"/>
      <c r="FK123" s="17"/>
      <c r="FL123" s="17"/>
      <c r="FM123" s="17"/>
      <c r="FN123" s="17"/>
      <c r="FO123" s="17"/>
      <c r="FP123" s="17"/>
      <c r="FQ123" s="17"/>
      <c r="FR123" s="17"/>
      <c r="FS123" s="17"/>
      <c r="FT123" s="17"/>
      <c r="FU123" s="17"/>
      <c r="FV123" s="17"/>
      <c r="FW123" s="17"/>
      <c r="FX123" s="17"/>
      <c r="FY123" s="17"/>
      <c r="FZ123" s="17"/>
      <c r="GA123" s="17"/>
      <c r="GB123" s="17"/>
      <c r="GC123" s="17"/>
      <c r="GD123" s="17"/>
      <c r="GE123" s="17"/>
      <c r="GF123" s="17"/>
      <c r="GG123" s="17"/>
      <c r="GH123" s="17"/>
      <c r="GI123" s="17"/>
      <c r="GJ123" s="17"/>
      <c r="GK123" s="17"/>
      <c r="GL123" s="17"/>
      <c r="GM123" s="17"/>
      <c r="GN123" s="17"/>
      <c r="GO123" s="17"/>
      <c r="GP123" s="17"/>
      <c r="GQ123" s="17"/>
      <c r="GR123" s="17"/>
      <c r="GS123" s="17"/>
      <c r="GT123" s="17"/>
      <c r="GU123" s="17"/>
      <c r="GV123" s="17"/>
      <c r="GW123" s="17"/>
      <c r="GX123" s="17"/>
      <c r="GY123" s="17"/>
      <c r="GZ123" s="17"/>
      <c r="HA123" s="17"/>
      <c r="HB123" s="17"/>
      <c r="HC123" s="17"/>
      <c r="HD123" s="17"/>
      <c r="HE123" s="17"/>
      <c r="HF123" s="17"/>
      <c r="HG123" s="17"/>
      <c r="HH123" s="17"/>
      <c r="HI123" s="17"/>
      <c r="HJ123" s="17"/>
      <c r="HK123" s="17"/>
      <c r="HL123" s="17"/>
      <c r="HM123" s="17"/>
      <c r="HN123" s="17"/>
      <c r="HO123" s="17"/>
      <c r="HP123" s="17"/>
      <c r="HQ123" s="17"/>
      <c r="HR123" s="17"/>
      <c r="HS123" s="17"/>
      <c r="HT123" s="17"/>
      <c r="HU123" s="17"/>
      <c r="HV123" s="17"/>
      <c r="HW123" s="17"/>
      <c r="HX123" s="17"/>
      <c r="HY123" s="17"/>
      <c r="HZ123" s="17"/>
    </row>
    <row r="124" spans="73:234" ht="15" x14ac:dyDescent="0.25">
      <c r="BU124" s="17"/>
      <c r="BV124" s="17"/>
      <c r="BW124" s="17"/>
      <c r="BX124" s="17"/>
      <c r="BY124" s="17"/>
      <c r="BZ124" s="17"/>
      <c r="CA124" s="17"/>
      <c r="CB124" s="17"/>
      <c r="CC124" s="17"/>
      <c r="CD124" s="17"/>
      <c r="CE124" s="17"/>
      <c r="CF124" s="1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CY124" s="17"/>
      <c r="CZ124" s="17"/>
      <c r="DA124" s="17"/>
      <c r="DB124" s="17"/>
      <c r="DC124" s="17"/>
      <c r="DD124" s="17"/>
      <c r="DE124" s="17"/>
      <c r="DF124" s="17"/>
      <c r="DG124" s="17"/>
      <c r="DH124" s="17"/>
      <c r="DI124" s="17"/>
      <c r="DJ124" s="17"/>
      <c r="DK124" s="17"/>
      <c r="DL124" s="17"/>
      <c r="DM124" s="17"/>
      <c r="DN124" s="17"/>
      <c r="DO124" s="17"/>
      <c r="DP124" s="17"/>
      <c r="DQ124" s="17"/>
      <c r="DR124" s="17"/>
      <c r="DS124" s="17"/>
      <c r="DT124" s="17"/>
      <c r="DU124" s="17"/>
      <c r="DV124" s="17"/>
      <c r="DW124" s="17"/>
      <c r="DX124" s="17"/>
      <c r="DY124" s="17"/>
      <c r="DZ124" s="17"/>
      <c r="EA124" s="17"/>
      <c r="EB124" s="17"/>
      <c r="EC124" s="17"/>
      <c r="ED124" s="17"/>
      <c r="EE124" s="17"/>
      <c r="EF124" s="17"/>
      <c r="EG124" s="17"/>
      <c r="EH124" s="17"/>
      <c r="EI124" s="17"/>
      <c r="EJ124" s="17"/>
      <c r="EK124" s="17"/>
      <c r="EL124" s="17"/>
      <c r="EM124" s="17"/>
      <c r="EN124" s="17"/>
      <c r="EO124" s="17"/>
      <c r="EP124" s="17"/>
      <c r="EQ124" s="17"/>
      <c r="ER124" s="17"/>
      <c r="ES124" s="17"/>
      <c r="ET124" s="17"/>
      <c r="EU124" s="17"/>
      <c r="EV124" s="17"/>
      <c r="EW124" s="17"/>
      <c r="EX124" s="17"/>
      <c r="EY124" s="17"/>
      <c r="EZ124" s="17"/>
      <c r="FA124" s="17"/>
      <c r="FB124" s="17"/>
      <c r="FC124" s="17"/>
      <c r="FD124" s="17"/>
      <c r="FE124" s="17"/>
      <c r="FF124" s="17"/>
      <c r="FG124" s="17"/>
      <c r="FH124" s="17"/>
      <c r="FI124" s="17"/>
      <c r="FJ124" s="17"/>
      <c r="FK124" s="17"/>
      <c r="FL124" s="17"/>
      <c r="FM124" s="17"/>
      <c r="FN124" s="17"/>
      <c r="FO124" s="17"/>
      <c r="FP124" s="17"/>
      <c r="FQ124" s="17"/>
      <c r="FR124" s="17"/>
      <c r="FS124" s="17"/>
      <c r="FT124" s="17"/>
      <c r="FU124" s="17"/>
      <c r="FV124" s="17"/>
      <c r="FW124" s="17"/>
      <c r="FX124" s="17"/>
      <c r="FY124" s="17"/>
      <c r="FZ124" s="17"/>
      <c r="GA124" s="17"/>
      <c r="GB124" s="17"/>
      <c r="GC124" s="17"/>
      <c r="GD124" s="17"/>
      <c r="GE124" s="17"/>
      <c r="GF124" s="17"/>
      <c r="GG124" s="17"/>
      <c r="GH124" s="17"/>
      <c r="GI124" s="17"/>
      <c r="GJ124" s="17"/>
      <c r="GK124" s="17"/>
      <c r="GL124" s="17"/>
      <c r="GM124" s="17"/>
      <c r="GN124" s="17"/>
      <c r="GO124" s="17"/>
      <c r="GP124" s="17"/>
      <c r="GQ124" s="17"/>
      <c r="GR124" s="17"/>
      <c r="GS124" s="17"/>
      <c r="GT124" s="17"/>
      <c r="GU124" s="17"/>
      <c r="GV124" s="17"/>
      <c r="GW124" s="17"/>
      <c r="GX124" s="17"/>
      <c r="GY124" s="17"/>
      <c r="GZ124" s="17"/>
      <c r="HA124" s="17"/>
      <c r="HB124" s="17"/>
      <c r="HC124" s="17"/>
      <c r="HD124" s="17"/>
      <c r="HE124" s="17"/>
      <c r="HF124" s="17"/>
      <c r="HG124" s="17"/>
      <c r="HH124" s="17"/>
      <c r="HI124" s="17"/>
      <c r="HJ124" s="17"/>
      <c r="HK124" s="17"/>
      <c r="HL124" s="17"/>
      <c r="HM124" s="17"/>
      <c r="HN124" s="17"/>
      <c r="HO124" s="17"/>
      <c r="HP124" s="17"/>
      <c r="HQ124" s="17"/>
      <c r="HR124" s="17"/>
      <c r="HS124" s="17"/>
      <c r="HT124" s="17"/>
      <c r="HU124" s="17"/>
      <c r="HV124" s="17"/>
      <c r="HW124" s="17"/>
      <c r="HX124" s="17"/>
      <c r="HY124" s="17"/>
      <c r="HZ124" s="17"/>
    </row>
    <row r="125" spans="73:234" ht="15" x14ac:dyDescent="0.25">
      <c r="BU125" s="17"/>
      <c r="BV125" s="17"/>
      <c r="BW125" s="17"/>
      <c r="BX125" s="17"/>
      <c r="BY125" s="17"/>
      <c r="BZ125" s="17"/>
      <c r="CA125" s="17"/>
      <c r="CB125" s="17"/>
      <c r="CC125" s="17"/>
      <c r="CD125" s="17"/>
      <c r="CE125" s="17"/>
      <c r="CF125" s="1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CY125" s="17"/>
      <c r="CZ125" s="17"/>
      <c r="DA125" s="17"/>
      <c r="DB125" s="17"/>
      <c r="DC125" s="17"/>
      <c r="DD125" s="17"/>
      <c r="DE125" s="17"/>
      <c r="DF125" s="17"/>
      <c r="DG125" s="17"/>
      <c r="DH125" s="17"/>
      <c r="DI125" s="17"/>
      <c r="DJ125" s="17"/>
      <c r="DK125" s="17"/>
      <c r="DL125" s="17"/>
      <c r="DM125" s="17"/>
      <c r="DN125" s="17"/>
      <c r="DO125" s="17"/>
      <c r="DP125" s="17"/>
      <c r="DQ125" s="17"/>
      <c r="DR125" s="17"/>
      <c r="DS125" s="17"/>
      <c r="DT125" s="17"/>
      <c r="DU125" s="17"/>
      <c r="DV125" s="17"/>
      <c r="DW125" s="17"/>
      <c r="DX125" s="17"/>
      <c r="DY125" s="17"/>
      <c r="DZ125" s="17"/>
      <c r="EA125" s="17"/>
      <c r="EB125" s="17"/>
      <c r="EC125" s="17"/>
      <c r="ED125" s="17"/>
      <c r="EE125" s="17"/>
      <c r="EF125" s="17"/>
      <c r="EG125" s="17"/>
      <c r="EH125" s="17"/>
      <c r="EI125" s="17"/>
      <c r="EJ125" s="17"/>
      <c r="EK125" s="17"/>
      <c r="EL125" s="17"/>
      <c r="EM125" s="17"/>
      <c r="EN125" s="17"/>
      <c r="EO125" s="17"/>
      <c r="EP125" s="17"/>
      <c r="EQ125" s="17"/>
      <c r="ER125" s="17"/>
      <c r="ES125" s="17"/>
      <c r="ET125" s="17"/>
      <c r="EU125" s="17"/>
      <c r="EV125" s="17"/>
      <c r="EW125" s="17"/>
      <c r="EX125" s="17"/>
      <c r="EY125" s="17"/>
      <c r="EZ125" s="17"/>
      <c r="FA125" s="17"/>
      <c r="FB125" s="17"/>
      <c r="FC125" s="17"/>
      <c r="FD125" s="17"/>
      <c r="FE125" s="17"/>
      <c r="FF125" s="17"/>
      <c r="FG125" s="17"/>
      <c r="FH125" s="17"/>
      <c r="FI125" s="17"/>
      <c r="FJ125" s="17"/>
      <c r="FK125" s="17"/>
      <c r="FL125" s="17"/>
      <c r="FM125" s="17"/>
      <c r="FN125" s="17"/>
      <c r="FO125" s="17"/>
      <c r="FP125" s="17"/>
      <c r="FQ125" s="17"/>
      <c r="FR125" s="17"/>
      <c r="FS125" s="17"/>
      <c r="FT125" s="17"/>
      <c r="FU125" s="17"/>
      <c r="FV125" s="17"/>
      <c r="FW125" s="17"/>
      <c r="FX125" s="17"/>
      <c r="FY125" s="17"/>
      <c r="FZ125" s="17"/>
      <c r="GA125" s="17"/>
      <c r="GB125" s="17"/>
      <c r="GC125" s="17"/>
      <c r="GD125" s="17"/>
      <c r="GE125" s="17"/>
      <c r="GF125" s="17"/>
      <c r="GG125" s="17"/>
      <c r="GH125" s="17"/>
      <c r="GI125" s="17"/>
      <c r="GJ125" s="17"/>
      <c r="GK125" s="17"/>
      <c r="GL125" s="17"/>
      <c r="GM125" s="17"/>
      <c r="GN125" s="17"/>
      <c r="GO125" s="17"/>
      <c r="GP125" s="17"/>
      <c r="GQ125" s="17"/>
      <c r="GR125" s="17"/>
      <c r="GS125" s="17"/>
      <c r="GT125" s="17"/>
      <c r="GU125" s="17"/>
      <c r="GV125" s="17"/>
      <c r="GW125" s="17"/>
      <c r="GX125" s="17"/>
      <c r="GY125" s="17"/>
      <c r="GZ125" s="17"/>
      <c r="HA125" s="17"/>
      <c r="HB125" s="17"/>
      <c r="HC125" s="17"/>
      <c r="HD125" s="17"/>
      <c r="HE125" s="17"/>
      <c r="HF125" s="17"/>
      <c r="HG125" s="17"/>
      <c r="HH125" s="17"/>
      <c r="HI125" s="17"/>
      <c r="HJ125" s="17"/>
      <c r="HK125" s="17"/>
      <c r="HL125" s="17"/>
      <c r="HM125" s="17"/>
      <c r="HN125" s="17"/>
      <c r="HO125" s="17"/>
      <c r="HP125" s="17"/>
      <c r="HQ125" s="17"/>
      <c r="HR125" s="17"/>
      <c r="HS125" s="17"/>
      <c r="HT125" s="17"/>
      <c r="HU125" s="17"/>
      <c r="HV125" s="17"/>
      <c r="HW125" s="17"/>
      <c r="HX125" s="17"/>
      <c r="HY125" s="17"/>
      <c r="HZ125" s="17"/>
    </row>
    <row r="126" spans="73:234" ht="15" hidden="1" x14ac:dyDescent="0.25"/>
    <row r="127" spans="73:234" ht="15" hidden="1" x14ac:dyDescent="0.25"/>
    <row r="128" spans="73:234" ht="15" hidden="1" x14ac:dyDescent="0.25"/>
    <row r="129" ht="15" hidden="1" x14ac:dyDescent="0.25"/>
    <row r="130" ht="15" hidden="1" x14ac:dyDescent="0.25"/>
    <row r="131" ht="15" hidden="1" x14ac:dyDescent="0.25"/>
    <row r="132" ht="15" hidden="1" x14ac:dyDescent="0.25"/>
    <row r="133" ht="15" hidden="1" x14ac:dyDescent="0.25"/>
    <row r="134" ht="15" hidden="1" x14ac:dyDescent="0.25"/>
    <row r="135" ht="15" hidden="1" x14ac:dyDescent="0.25"/>
    <row r="136" ht="15" hidden="1" x14ac:dyDescent="0.25"/>
    <row r="137" ht="15" hidden="1" x14ac:dyDescent="0.25"/>
    <row r="138" ht="15" hidden="1" x14ac:dyDescent="0.25"/>
    <row r="139" ht="15" hidden="1" x14ac:dyDescent="0.25"/>
    <row r="140" ht="15" hidden="1" x14ac:dyDescent="0.25"/>
    <row r="141" ht="15" hidden="1" x14ac:dyDescent="0.25"/>
    <row r="142" ht="15" hidden="1" x14ac:dyDescent="0.25"/>
    <row r="143" ht="15" hidden="1" x14ac:dyDescent="0.25"/>
    <row r="144" ht="15" hidden="1" x14ac:dyDescent="0.25"/>
    <row r="145" ht="15" hidden="1" x14ac:dyDescent="0.25"/>
    <row r="146" ht="15" hidden="1" x14ac:dyDescent="0.25"/>
    <row r="147" ht="15" hidden="1" x14ac:dyDescent="0.25"/>
    <row r="148" ht="15" hidden="1" x14ac:dyDescent="0.25"/>
    <row r="149" ht="15" hidden="1" x14ac:dyDescent="0.25"/>
    <row r="150" ht="15" hidden="1" x14ac:dyDescent="0.25"/>
    <row r="151" ht="15" hidden="1" x14ac:dyDescent="0.25"/>
    <row r="152" ht="15" hidden="1" x14ac:dyDescent="0.25"/>
    <row r="153" ht="15" hidden="1" x14ac:dyDescent="0.25"/>
    <row r="154" ht="15" hidden="1" x14ac:dyDescent="0.25"/>
    <row r="155" ht="15" hidden="1" x14ac:dyDescent="0.25"/>
    <row r="156" ht="15" hidden="1" x14ac:dyDescent="0.25"/>
    <row r="157" ht="15" hidden="1" x14ac:dyDescent="0.25"/>
    <row r="158" ht="15" hidden="1" x14ac:dyDescent="0.25"/>
    <row r="159" ht="15" hidden="1" x14ac:dyDescent="0.25"/>
    <row r="160" ht="0" hidden="1" customHeight="1" x14ac:dyDescent="0.25"/>
    <row r="161" ht="0" hidden="1" customHeight="1" x14ac:dyDescent="0.25"/>
    <row r="162" ht="0" hidden="1" customHeight="1" x14ac:dyDescent="0.25"/>
    <row r="163" ht="0" hidden="1" customHeight="1" x14ac:dyDescent="0.25"/>
    <row r="164" ht="0" hidden="1" customHeight="1" x14ac:dyDescent="0.25"/>
    <row r="165" ht="0" hidden="1" customHeight="1" x14ac:dyDescent="0.25"/>
    <row r="166" ht="0" hidden="1" customHeight="1" x14ac:dyDescent="0.25"/>
    <row r="167" ht="0" hidden="1" customHeight="1" x14ac:dyDescent="0.25"/>
    <row r="168" ht="0" hidden="1" customHeight="1" x14ac:dyDescent="0.25"/>
    <row r="169" ht="0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</sheetData>
  <mergeCells count="35">
    <mergeCell ref="BU37:BU39"/>
    <mergeCell ref="BU61:BU63"/>
    <mergeCell ref="B2:AB3"/>
    <mergeCell ref="I6:J6"/>
    <mergeCell ref="C7:E7"/>
    <mergeCell ref="C8:D8"/>
    <mergeCell ref="K8:L8"/>
    <mergeCell ref="C58:D58"/>
    <mergeCell ref="C53:C56"/>
    <mergeCell ref="D59:D60"/>
    <mergeCell ref="C52:D52"/>
    <mergeCell ref="C63:D63"/>
    <mergeCell ref="C15:G15"/>
    <mergeCell ref="C36:D36"/>
    <mergeCell ref="C45:D45"/>
    <mergeCell ref="K10:BT12"/>
    <mergeCell ref="AG8:AZ8"/>
    <mergeCell ref="BA8:BT8"/>
    <mergeCell ref="K16:L16"/>
    <mergeCell ref="K17:K24"/>
    <mergeCell ref="K9:L9"/>
    <mergeCell ref="M8:AF8"/>
    <mergeCell ref="C46:C49"/>
    <mergeCell ref="K30:K33"/>
    <mergeCell ref="C37:C42"/>
    <mergeCell ref="K25:K29"/>
    <mergeCell ref="K76:K81"/>
    <mergeCell ref="K67:L67"/>
    <mergeCell ref="K68:K75"/>
    <mergeCell ref="D64:D65"/>
    <mergeCell ref="K37:BT39"/>
    <mergeCell ref="K61:BT63"/>
    <mergeCell ref="K44:K51"/>
    <mergeCell ref="K52:K56"/>
    <mergeCell ref="K43:L43"/>
  </mergeCells>
  <dataValidations count="3">
    <dataValidation type="whole" operator="lessThanOrEqual" allowBlank="1" showInputMessage="1" showErrorMessage="1" errorTitle="Saturation GRP Limit Reached" error="Saturation GRP for Sunbites is 740. Please enter a lower value" sqref="E26 G26" xr:uid="{3E28305D-BDE0-4CCB-835A-FD9F31432299}">
      <formula1>740</formula1>
    </dataValidation>
    <dataValidation type="decimal" operator="greaterThanOrEqual" allowBlank="1" showInputMessage="1" showErrorMessage="1" errorTitle="Low DA%" error="The entered DA% is lower than the current standing of 17.6%" sqref="E21" xr:uid="{9A0EA28F-B971-4069-889C-17E4ABE76260}">
      <formula1>0.176</formula1>
    </dataValidation>
    <dataValidation type="decimal" operator="greaterThanOrEqual" allowBlank="1" showInputMessage="1" showErrorMessage="1" errorTitle="Low DA%" error="The entered DA% is lower than the current standing of 17.23%" sqref="E18:E20" xr:uid="{8BDE88DC-E078-4CEF-BDB5-5EE3D1DC4D53}">
      <formula1>0.1723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48DE0-725D-4017-985A-65A511743E31}">
  <sheetPr codeName="Sheet3"/>
  <dimension ref="A1:IR296"/>
  <sheetViews>
    <sheetView topLeftCell="H55" zoomScale="80" zoomScaleNormal="80" workbookViewId="0">
      <selection activeCell="Q61" sqref="Q61"/>
    </sheetView>
  </sheetViews>
  <sheetFormatPr defaultRowHeight="15" x14ac:dyDescent="0.25"/>
  <cols>
    <col min="2" max="2" width="12.85546875" customWidth="1"/>
    <col min="3" max="3" width="15.42578125" customWidth="1"/>
    <col min="4" max="4" width="13.42578125" customWidth="1"/>
    <col min="5" max="5" width="19.7109375" customWidth="1"/>
    <col min="6" max="6" width="15" customWidth="1"/>
    <col min="7" max="7" width="18.7109375" bestFit="1" customWidth="1"/>
    <col min="8" max="8" width="17.28515625" customWidth="1"/>
    <col min="9" max="9" width="15.28515625" bestFit="1" customWidth="1"/>
    <col min="10" max="10" width="17.28515625" customWidth="1"/>
    <col min="11" max="11" width="16.5703125" bestFit="1" customWidth="1"/>
    <col min="12" max="12" width="22.28515625" customWidth="1"/>
    <col min="13" max="13" width="21.42578125" customWidth="1"/>
    <col min="14" max="14" width="20.42578125" customWidth="1"/>
    <col min="15" max="15" width="19" bestFit="1" customWidth="1"/>
    <col min="16" max="16" width="17.28515625" customWidth="1"/>
    <col min="17" max="17" width="17" customWidth="1"/>
    <col min="18" max="18" width="15.85546875" customWidth="1"/>
    <col min="19" max="19" width="15.140625" bestFit="1" customWidth="1"/>
    <col min="20" max="20" width="15.28515625" bestFit="1" customWidth="1"/>
    <col min="21" max="21" width="15.140625" bestFit="1" customWidth="1"/>
    <col min="22" max="22" width="22.5703125" customWidth="1"/>
    <col min="23" max="23" width="15.85546875" customWidth="1"/>
    <col min="24" max="24" width="14" customWidth="1"/>
    <col min="25" max="25" width="16.42578125" customWidth="1"/>
    <col min="26" max="26" width="16.7109375" bestFit="1" customWidth="1"/>
    <col min="27" max="27" width="12.42578125" customWidth="1"/>
    <col min="28" max="28" width="33.28515625" customWidth="1"/>
    <col min="29" max="29" width="30.140625" customWidth="1"/>
    <col min="30" max="30" width="17" bestFit="1" customWidth="1"/>
    <col min="31" max="31" width="21.7109375" bestFit="1" customWidth="1"/>
    <col min="32" max="32" width="27.5703125" customWidth="1"/>
    <col min="33" max="33" width="19.42578125" bestFit="1" customWidth="1"/>
    <col min="36" max="36" width="20.42578125" customWidth="1"/>
    <col min="37" max="37" width="15.28515625" bestFit="1" customWidth="1"/>
    <col min="38" max="38" width="9.28515625" bestFit="1" customWidth="1"/>
    <col min="49" max="49" width="13.28515625" bestFit="1" customWidth="1"/>
    <col min="50" max="53" width="14.28515625" bestFit="1" customWidth="1"/>
    <col min="54" max="56" width="13.28515625" bestFit="1" customWidth="1"/>
    <col min="57" max="57" width="9.42578125" bestFit="1" customWidth="1"/>
    <col min="58" max="58" width="14.28515625" bestFit="1" customWidth="1"/>
    <col min="59" max="59" width="13.28515625" bestFit="1" customWidth="1"/>
    <col min="60" max="61" width="11.5703125" bestFit="1" customWidth="1"/>
    <col min="62" max="62" width="13.28515625" bestFit="1" customWidth="1"/>
    <col min="63" max="63" width="10.5703125" bestFit="1" customWidth="1"/>
    <col min="64" max="64" width="9.42578125" bestFit="1" customWidth="1"/>
    <col min="65" max="65" width="10.5703125" bestFit="1" customWidth="1"/>
    <col min="66" max="66" width="11.5703125" bestFit="1" customWidth="1"/>
    <col min="67" max="67" width="13.28515625" bestFit="1" customWidth="1"/>
    <col min="68" max="68" width="11.5703125" bestFit="1" customWidth="1"/>
    <col min="69" max="69" width="12.28515625" bestFit="1" customWidth="1"/>
    <col min="70" max="72" width="13.85546875" bestFit="1" customWidth="1"/>
    <col min="73" max="76" width="12.28515625" bestFit="1" customWidth="1"/>
    <col min="77" max="77" width="9.28515625" bestFit="1" customWidth="1"/>
    <col min="78" max="78" width="13.85546875" bestFit="1" customWidth="1"/>
    <col min="79" max="80" width="12.28515625" bestFit="1" customWidth="1"/>
    <col min="81" max="81" width="11.28515625" bestFit="1" customWidth="1"/>
    <col min="82" max="82" width="12.28515625" bestFit="1" customWidth="1"/>
    <col min="83" max="83" width="10.140625" bestFit="1" customWidth="1"/>
    <col min="84" max="84" width="9.28515625" bestFit="1" customWidth="1"/>
    <col min="85" max="85" width="10.140625" bestFit="1" customWidth="1"/>
    <col min="86" max="86" width="11.28515625" bestFit="1" customWidth="1"/>
    <col min="87" max="87" width="17.140625" customWidth="1"/>
    <col min="88" max="88" width="11.28515625" bestFit="1" customWidth="1"/>
    <col min="89" max="91" width="11.42578125" bestFit="1" customWidth="1"/>
    <col min="92" max="92" width="10.7109375" bestFit="1" customWidth="1"/>
    <col min="93" max="95" width="11.42578125" bestFit="1" customWidth="1"/>
    <col min="96" max="96" width="10.7109375" bestFit="1" customWidth="1"/>
    <col min="98" max="98" width="11.42578125" bestFit="1" customWidth="1"/>
    <col min="99" max="101" width="10.7109375" bestFit="1" customWidth="1"/>
    <col min="102" max="102" width="18.85546875" customWidth="1"/>
    <col min="103" max="103" width="10.7109375" bestFit="1" customWidth="1"/>
    <col min="105" max="108" width="10.7109375" bestFit="1" customWidth="1"/>
    <col min="111" max="111" width="25.140625" customWidth="1"/>
    <col min="149" max="149" width="14.85546875" bestFit="1" customWidth="1"/>
    <col min="150" max="152" width="15.85546875" bestFit="1" customWidth="1"/>
    <col min="153" max="153" width="15.140625" bestFit="1" customWidth="1"/>
    <col min="154" max="154" width="15.85546875" bestFit="1" customWidth="1"/>
    <col min="155" max="155" width="15.140625" bestFit="1" customWidth="1"/>
    <col min="156" max="156" width="13.85546875" bestFit="1" customWidth="1"/>
    <col min="157" max="157" width="9.28515625" bestFit="1" customWidth="1"/>
    <col min="158" max="158" width="15.85546875" bestFit="1" customWidth="1"/>
    <col min="159" max="159" width="14.85546875" bestFit="1" customWidth="1"/>
    <col min="160" max="160" width="13" bestFit="1" customWidth="1"/>
    <col min="161" max="161" width="9.28515625" bestFit="1" customWidth="1"/>
    <col min="162" max="162" width="15.85546875" bestFit="1" customWidth="1"/>
    <col min="163" max="163" width="12" bestFit="1" customWidth="1"/>
    <col min="164" max="164" width="9.28515625" bestFit="1" customWidth="1"/>
    <col min="165" max="165" width="18.140625" customWidth="1"/>
    <col min="166" max="166" width="13" bestFit="1" customWidth="1"/>
    <col min="167" max="167" width="15.85546875" bestFit="1" customWidth="1"/>
    <col min="168" max="168" width="13" bestFit="1" customWidth="1"/>
    <col min="169" max="169" width="19" customWidth="1"/>
    <col min="190" max="209" width="22.140625" customWidth="1"/>
    <col min="210" max="210" width="15.140625" customWidth="1"/>
  </cols>
  <sheetData>
    <row r="1" spans="7:108" ht="30" customHeight="1" thickBot="1" x14ac:dyDescent="0.3">
      <c r="G1" s="538" t="s">
        <v>200</v>
      </c>
      <c r="H1" s="36" t="s">
        <v>52</v>
      </c>
      <c r="I1" s="126" t="s">
        <v>59</v>
      </c>
      <c r="J1" s="127" t="s">
        <v>60</v>
      </c>
      <c r="K1" s="127" t="s">
        <v>62</v>
      </c>
      <c r="L1" s="127" t="s">
        <v>61</v>
      </c>
      <c r="M1" s="127" t="s">
        <v>17</v>
      </c>
      <c r="N1" s="127" t="s">
        <v>18</v>
      </c>
      <c r="O1" s="127" t="s">
        <v>63</v>
      </c>
      <c r="P1" s="127" t="s">
        <v>64</v>
      </c>
      <c r="Q1" s="127" t="s">
        <v>22</v>
      </c>
      <c r="R1" s="127" t="s">
        <v>70</v>
      </c>
      <c r="S1" s="127" t="s">
        <v>65</v>
      </c>
      <c r="T1" s="127" t="s">
        <v>66</v>
      </c>
      <c r="U1" s="127" t="s">
        <v>35</v>
      </c>
      <c r="V1" s="127" t="s">
        <v>36</v>
      </c>
      <c r="W1" s="127" t="s">
        <v>37</v>
      </c>
      <c r="X1" s="127" t="s">
        <v>39</v>
      </c>
      <c r="Y1" s="127" t="s">
        <v>42</v>
      </c>
      <c r="Z1" s="127" t="s">
        <v>67</v>
      </c>
      <c r="AA1" s="127" t="s">
        <v>68</v>
      </c>
      <c r="AB1" s="128" t="s">
        <v>69</v>
      </c>
      <c r="CI1" s="269" t="s">
        <v>221</v>
      </c>
      <c r="CJ1" s="267">
        <v>0</v>
      </c>
    </row>
    <row r="2" spans="7:108" ht="15" customHeight="1" x14ac:dyDescent="0.25">
      <c r="G2" s="538"/>
      <c r="H2" s="123" t="s">
        <v>12</v>
      </c>
      <c r="I2" s="131">
        <f>MIN(100,(1+'Thai input'!$E8)*I22)</f>
        <v>24.48</v>
      </c>
      <c r="J2" s="132">
        <f>MIN(100,(1+'Thai input'!$E8)*J22)</f>
        <v>36.72</v>
      </c>
      <c r="K2" s="132">
        <f>MIN(100,(1+'Thai input'!$E8)*K22)</f>
        <v>20.399999999999999</v>
      </c>
      <c r="L2" s="132">
        <f>MIN(100,(1+'Thai input'!$E8)*L22)</f>
        <v>29.580000000000002</v>
      </c>
      <c r="M2" s="132">
        <f>MIN(100,(1+'Thai input'!$E8)*M22)</f>
        <v>39.78</v>
      </c>
      <c r="N2" s="132">
        <f>MIN(100,(1+'Thai input'!$E8)*N22)</f>
        <v>20.399999999999999</v>
      </c>
      <c r="O2" s="132">
        <f>MIN(100,(1+'Thai input'!$E8)*O22)</f>
        <v>17.34</v>
      </c>
      <c r="P2" s="132">
        <f>MIN(100,(1+'Thai input'!$E8)*P22)</f>
        <v>27.54</v>
      </c>
      <c r="Q2" s="132">
        <f>MIN(100,(1+'Thai input'!$E8)*Q22)</f>
        <v>0</v>
      </c>
      <c r="R2" s="132">
        <f>MIN(100,(1+'Thai input'!$E8)*R22)</f>
        <v>46.92</v>
      </c>
      <c r="S2" s="132">
        <f>MIN(100,(1+'Thai input'!$E8)*S22)</f>
        <v>33.660000000000004</v>
      </c>
      <c r="T2" s="132">
        <f>MIN(100,(1+'Thai input'!$E8)*T22)</f>
        <v>0</v>
      </c>
      <c r="U2" s="132">
        <f>MIN(100,(1+'Thai input'!$E8)*U22)</f>
        <v>0</v>
      </c>
      <c r="V2" s="132">
        <f>MIN(100,(1+'Thai input'!$E8)*V22)</f>
        <v>40.799999999999997</v>
      </c>
      <c r="W2" s="132">
        <f>MIN(100,(1+'Thai input'!$E8)*W22)</f>
        <v>0</v>
      </c>
      <c r="X2" s="132">
        <f>MIN(100,(1+'Thai input'!$E8)*X22)</f>
        <v>0</v>
      </c>
      <c r="Y2" s="132">
        <f>MIN(100,(1+'Thai input'!$E8)*Y22)</f>
        <v>0</v>
      </c>
      <c r="Z2" s="132">
        <f>MIN(100,(1+'Thai input'!$E8)*Z22)</f>
        <v>0</v>
      </c>
      <c r="AA2" s="132">
        <f>MIN(100,(1+'Thai input'!$E8)*AA22)</f>
        <v>0</v>
      </c>
      <c r="AB2" s="141">
        <f>MIN(100,(1+'Thai input'!$E8)*AB22)</f>
        <v>0</v>
      </c>
      <c r="CK2" s="539" t="s">
        <v>395</v>
      </c>
      <c r="CL2" s="540"/>
      <c r="CM2" s="540"/>
      <c r="CN2" s="540"/>
      <c r="CO2" s="540"/>
      <c r="CP2" s="540"/>
      <c r="CQ2" s="540"/>
      <c r="CR2" s="540"/>
      <c r="CS2" s="540"/>
      <c r="CT2" s="540"/>
      <c r="CU2" s="540"/>
      <c r="CV2" s="540"/>
      <c r="CW2" s="540"/>
      <c r="CX2" s="540"/>
      <c r="CY2" s="540"/>
      <c r="CZ2" s="540"/>
      <c r="DA2" s="540"/>
      <c r="DB2" s="540"/>
      <c r="DC2" s="540"/>
      <c r="DD2" s="541"/>
    </row>
    <row r="3" spans="7:108" ht="15.75" thickBot="1" x14ac:dyDescent="0.3">
      <c r="G3" s="538"/>
      <c r="H3" s="124" t="s">
        <v>30</v>
      </c>
      <c r="I3" s="135">
        <f>MIN(100,(1+'Thai input'!$E9)*I23)</f>
        <v>0</v>
      </c>
      <c r="J3" s="125">
        <f>MIN(100,(1+'Thai input'!$E9)*J23)</f>
        <v>0</v>
      </c>
      <c r="K3" s="125">
        <f>MIN(100,(1+'Thai input'!$E9)*K23)</f>
        <v>34.410000000000004</v>
      </c>
      <c r="L3" s="125">
        <f>MIN(100,(1+'Thai input'!$E9)*L23)</f>
        <v>0</v>
      </c>
      <c r="M3" s="125">
        <f>MIN(100,(1+'Thai input'!$E9)*M23)</f>
        <v>0</v>
      </c>
      <c r="N3" s="125">
        <f>MIN(100,(1+'Thai input'!$E9)*N23)</f>
        <v>0</v>
      </c>
      <c r="O3" s="125">
        <f>MIN(100,(1+'Thai input'!$E9)*O23)</f>
        <v>0</v>
      </c>
      <c r="P3" s="125">
        <f>MIN(100,(1+'Thai input'!$E9)*P23)</f>
        <v>0</v>
      </c>
      <c r="Q3" s="125">
        <f>MIN(100,(1+'Thai input'!$E9)*Q23)</f>
        <v>0</v>
      </c>
      <c r="R3" s="125">
        <f>MIN(100,(1+'Thai input'!$E9)*R23)</f>
        <v>7.7700000000000005</v>
      </c>
      <c r="S3" s="125">
        <f>MIN(100,(1+'Thai input'!$E9)*S23)</f>
        <v>35.520000000000003</v>
      </c>
      <c r="T3" s="125">
        <f>MIN(100,(1+'Thai input'!$E9)*T23)</f>
        <v>21.090000000000003</v>
      </c>
      <c r="U3" s="125">
        <f>MIN(100,(1+'Thai input'!$E9)*U23)</f>
        <v>17.760000000000002</v>
      </c>
      <c r="V3" s="125">
        <f>MIN(100,(1+'Thai input'!$E9)*V23)</f>
        <v>33.300000000000004</v>
      </c>
      <c r="W3" s="125">
        <f>MIN(100,(1+'Thai input'!$E9)*W23)</f>
        <v>2.2200000000000002</v>
      </c>
      <c r="X3" s="125">
        <f>MIN(100,(1+'Thai input'!$E9)*X23)</f>
        <v>0</v>
      </c>
      <c r="Y3" s="125">
        <f>MIN(100,(1+'Thai input'!$E9)*Y23)</f>
        <v>0</v>
      </c>
      <c r="Z3" s="125">
        <f>MIN(100,(1+'Thai input'!$E9)*Z23)</f>
        <v>0</v>
      </c>
      <c r="AA3" s="125">
        <f>MIN(100,(1+'Thai input'!$E9)*AA23)</f>
        <v>0</v>
      </c>
      <c r="AB3" s="139">
        <f>MIN(100,(1+'Thai input'!$E9)*AB23)</f>
        <v>0</v>
      </c>
      <c r="CK3" s="126" t="s">
        <v>59</v>
      </c>
      <c r="CL3" s="127" t="s">
        <v>60</v>
      </c>
      <c r="CM3" s="127" t="s">
        <v>62</v>
      </c>
      <c r="CN3" s="127" t="s">
        <v>61</v>
      </c>
      <c r="CO3" s="127" t="s">
        <v>17</v>
      </c>
      <c r="CP3" s="127" t="s">
        <v>18</v>
      </c>
      <c r="CQ3" s="127" t="s">
        <v>63</v>
      </c>
      <c r="CR3" s="127" t="s">
        <v>64</v>
      </c>
      <c r="CS3" s="127" t="s">
        <v>22</v>
      </c>
      <c r="CT3" s="127" t="s">
        <v>70</v>
      </c>
      <c r="CU3" s="127" t="s">
        <v>65</v>
      </c>
      <c r="CV3" s="127" t="s">
        <v>66</v>
      </c>
      <c r="CW3" s="127" t="s">
        <v>35</v>
      </c>
      <c r="CX3" s="127" t="s">
        <v>36</v>
      </c>
      <c r="CY3" s="127" t="s">
        <v>37</v>
      </c>
      <c r="CZ3" s="127" t="s">
        <v>39</v>
      </c>
      <c r="DA3" s="127" t="s">
        <v>42</v>
      </c>
      <c r="DB3" s="127" t="s">
        <v>67</v>
      </c>
      <c r="DC3" s="127" t="s">
        <v>68</v>
      </c>
      <c r="DD3" s="128" t="s">
        <v>69</v>
      </c>
    </row>
    <row r="4" spans="7:108" ht="15.75" thickBot="1" x14ac:dyDescent="0.3">
      <c r="G4" s="538"/>
      <c r="H4" s="124" t="s">
        <v>38</v>
      </c>
      <c r="I4" s="136">
        <f>MIN(100,(1+'Thai input'!$E10)*I24)</f>
        <v>0</v>
      </c>
      <c r="J4" s="137">
        <f>MIN(100,(1+'Thai input'!$E10)*J24)</f>
        <v>0</v>
      </c>
      <c r="K4" s="137">
        <f>MIN(100,(1+'Thai input'!$E10)*K24)</f>
        <v>15.36</v>
      </c>
      <c r="L4" s="137">
        <f>MIN(100,(1+'Thai input'!$E10)*L24)</f>
        <v>0</v>
      </c>
      <c r="M4" s="137">
        <f>MIN(100,(1+'Thai input'!$E10)*M24)</f>
        <v>0</v>
      </c>
      <c r="N4" s="137">
        <f>MIN(100,(1+'Thai input'!$E10)*N24)</f>
        <v>0</v>
      </c>
      <c r="O4" s="137">
        <f>MIN(100,(1+'Thai input'!$E10)*O24)</f>
        <v>0</v>
      </c>
      <c r="P4" s="137">
        <f>MIN(100,(1+'Thai input'!$E10)*P24)</f>
        <v>0</v>
      </c>
      <c r="Q4" s="137">
        <f>MIN(100,(1+'Thai input'!$E10)*Q24)</f>
        <v>0</v>
      </c>
      <c r="R4" s="137">
        <f>MIN(100,(1+'Thai input'!$E10)*R24)</f>
        <v>0</v>
      </c>
      <c r="S4" s="137">
        <f>MIN(100,(1+'Thai input'!$E10)*S24)</f>
        <v>0</v>
      </c>
      <c r="T4" s="137">
        <f>MIN(100,(1+'Thai input'!$E10)*T24)</f>
        <v>0</v>
      </c>
      <c r="U4" s="137">
        <f>MIN(100,(1+'Thai input'!$E10)*U24)</f>
        <v>0</v>
      </c>
      <c r="V4" s="137">
        <f>MIN(100,(1+'Thai input'!$E10)*V24)</f>
        <v>3.84</v>
      </c>
      <c r="W4" s="137">
        <f>MIN(100,(1+'Thai input'!$E10)*W24)</f>
        <v>0</v>
      </c>
      <c r="X4" s="137">
        <f>MIN(100,(1+'Thai input'!$E10)*X24)</f>
        <v>0</v>
      </c>
      <c r="Y4" s="137">
        <f>MIN(100,(1+'Thai input'!$E10)*Y24)</f>
        <v>1.28</v>
      </c>
      <c r="Z4" s="137">
        <f>MIN(100,(1+'Thai input'!$E10)*Z24)</f>
        <v>26.88</v>
      </c>
      <c r="AA4" s="137">
        <f>MIN(100,(1+'Thai input'!$E10)*AA24)</f>
        <v>28.16</v>
      </c>
      <c r="AB4" s="142">
        <f>MIN(100,(1+'Thai input'!$E10)*AB24)</f>
        <v>6.4</v>
      </c>
      <c r="CK4" s="331">
        <f>I19-(I19*$CJ$1)</f>
        <v>39.775852379323055</v>
      </c>
      <c r="CL4" s="331">
        <f t="shared" ref="CL4:CU6" si="0">J19-(J19*$CJ$1)</f>
        <v>30.880153762112659</v>
      </c>
      <c r="CM4" s="331">
        <f t="shared" si="0"/>
        <v>26.415966518519792</v>
      </c>
      <c r="CN4" s="331">
        <f t="shared" si="0"/>
        <v>28.2555412866942</v>
      </c>
      <c r="CO4" s="331">
        <f t="shared" si="0"/>
        <v>26.932342207540607</v>
      </c>
      <c r="CP4" s="331">
        <f t="shared" si="0"/>
        <v>17.05862825600072</v>
      </c>
      <c r="CQ4" s="331">
        <f t="shared" si="0"/>
        <v>15.183203044049282</v>
      </c>
      <c r="CR4" s="331">
        <f t="shared" si="0"/>
        <v>14.322983319748673</v>
      </c>
      <c r="CS4" s="332"/>
      <c r="CT4" s="331">
        <f t="shared" si="0"/>
        <v>11.83129331148055</v>
      </c>
      <c r="CU4" s="331">
        <f t="shared" si="0"/>
        <v>18.925041170451312</v>
      </c>
      <c r="CV4" s="333"/>
      <c r="CW4" s="333"/>
      <c r="CX4" s="331">
        <f t="shared" ref="CX4:CX6" si="1">V19-(V19*$CJ$1)</f>
        <v>14.123777398502911</v>
      </c>
      <c r="CY4" s="333"/>
      <c r="CZ4" s="333"/>
      <c r="DA4" s="333"/>
      <c r="DB4" s="333"/>
      <c r="DC4" s="333"/>
      <c r="DD4" s="334"/>
    </row>
    <row r="5" spans="7:108" ht="15.75" thickBot="1" x14ac:dyDescent="0.3">
      <c r="CK5" s="335"/>
      <c r="CL5" s="336"/>
      <c r="CM5" s="331">
        <f t="shared" si="0"/>
        <v>28.926823216031032</v>
      </c>
      <c r="CN5" s="336"/>
      <c r="CO5" s="336"/>
      <c r="CP5" s="336"/>
      <c r="CQ5" s="336"/>
      <c r="CR5" s="336"/>
      <c r="CS5" s="337"/>
      <c r="CT5" s="331">
        <f t="shared" si="0"/>
        <v>10.077486339993728</v>
      </c>
      <c r="CU5" s="331">
        <f t="shared" si="0"/>
        <v>18.4945796448972</v>
      </c>
      <c r="CV5" s="331">
        <f t="shared" ref="CV5" si="2">T20-(T20*$CJ$1)</f>
        <v>14.13137292017319</v>
      </c>
      <c r="CW5" s="331">
        <f t="shared" ref="CW5" si="3">U20-(U20*$CJ$1)</f>
        <v>15.967553528361877</v>
      </c>
      <c r="CX5" s="331">
        <f t="shared" si="1"/>
        <v>14.626126006371658</v>
      </c>
      <c r="CY5" s="331">
        <f t="shared" ref="CY5" si="4">W20-(W20*$CJ$1)</f>
        <v>10.367940728580532</v>
      </c>
      <c r="CZ5" s="338"/>
      <c r="DA5" s="338"/>
      <c r="DB5" s="338"/>
      <c r="DC5" s="338"/>
      <c r="DD5" s="339"/>
    </row>
    <row r="6" spans="7:108" ht="15.75" thickBot="1" x14ac:dyDescent="0.3">
      <c r="I6" s="539" t="s">
        <v>5</v>
      </c>
      <c r="J6" s="540"/>
      <c r="K6" s="540"/>
      <c r="L6" s="540"/>
      <c r="M6" s="540"/>
      <c r="N6" s="540"/>
      <c r="O6" s="540"/>
      <c r="P6" s="540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1"/>
      <c r="AE6" s="545" t="s">
        <v>129</v>
      </c>
      <c r="AF6" s="546"/>
      <c r="AG6" s="546"/>
      <c r="AH6" s="546"/>
      <c r="AI6" s="546"/>
      <c r="AJ6" s="546"/>
      <c r="AK6" s="546"/>
      <c r="AL6" s="546"/>
      <c r="AM6" s="546"/>
      <c r="AN6" s="546"/>
      <c r="AO6" s="546"/>
      <c r="AP6" s="546"/>
      <c r="AQ6" s="546"/>
      <c r="AR6" s="546"/>
      <c r="AS6" s="546"/>
      <c r="AT6" s="546"/>
      <c r="AU6" s="546"/>
      <c r="AV6" s="546"/>
      <c r="AW6" s="546"/>
      <c r="AX6" s="547"/>
      <c r="CK6" s="340"/>
      <c r="CL6" s="341"/>
      <c r="CM6" s="331">
        <f t="shared" si="0"/>
        <v>29.479149059948661</v>
      </c>
      <c r="CN6" s="331">
        <f t="shared" si="0"/>
        <v>29.542317471848889</v>
      </c>
      <c r="CO6" s="341"/>
      <c r="CP6" s="341"/>
      <c r="CQ6" s="341"/>
      <c r="CR6" s="341"/>
      <c r="CS6" s="342"/>
      <c r="CT6" s="342"/>
      <c r="CU6" s="342"/>
      <c r="CV6" s="342"/>
      <c r="CW6" s="342"/>
      <c r="CX6" s="331">
        <f t="shared" si="1"/>
        <v>12.524858109043448</v>
      </c>
      <c r="CY6" s="342"/>
      <c r="CZ6" s="343"/>
      <c r="DA6" s="331">
        <f t="shared" ref="DA6" si="5">Y21-(Y21*$CJ$1)</f>
        <v>14.302068492427839</v>
      </c>
      <c r="DB6" s="331">
        <f t="shared" ref="DB6" si="6">Z21-(Z21*$CJ$1)</f>
        <v>14.132208560096787</v>
      </c>
      <c r="DC6" s="331">
        <f t="shared" ref="DC6" si="7">AA21-(AA21*$CJ$1)</f>
        <v>10.486109047737465</v>
      </c>
      <c r="DD6" s="331">
        <f t="shared" ref="DD6" si="8">AB21-(AB21*$CJ$1)</f>
        <v>10.029355963188261</v>
      </c>
    </row>
    <row r="7" spans="7:108" ht="15.75" thickBot="1" x14ac:dyDescent="0.3">
      <c r="G7" s="36" t="s">
        <v>73</v>
      </c>
      <c r="H7" s="36" t="s">
        <v>52</v>
      </c>
      <c r="I7" s="126" t="s">
        <v>59</v>
      </c>
      <c r="J7" s="127" t="s">
        <v>60</v>
      </c>
      <c r="K7" s="127" t="s">
        <v>62</v>
      </c>
      <c r="L7" s="127" t="s">
        <v>61</v>
      </c>
      <c r="M7" s="127" t="s">
        <v>17</v>
      </c>
      <c r="N7" s="127" t="s">
        <v>18</v>
      </c>
      <c r="O7" s="127" t="s">
        <v>63</v>
      </c>
      <c r="P7" s="127" t="s">
        <v>64</v>
      </c>
      <c r="Q7" s="127" t="s">
        <v>22</v>
      </c>
      <c r="R7" s="127" t="s">
        <v>70</v>
      </c>
      <c r="S7" s="127" t="s">
        <v>65</v>
      </c>
      <c r="T7" s="127" t="s">
        <v>66</v>
      </c>
      <c r="U7" s="127" t="s">
        <v>35</v>
      </c>
      <c r="V7" s="127" t="s">
        <v>36</v>
      </c>
      <c r="W7" s="127" t="s">
        <v>37</v>
      </c>
      <c r="X7" s="127" t="s">
        <v>39</v>
      </c>
      <c r="Y7" s="127" t="s">
        <v>42</v>
      </c>
      <c r="Z7" s="127" t="s">
        <v>67</v>
      </c>
      <c r="AA7" s="127" t="s">
        <v>68</v>
      </c>
      <c r="AB7" s="128" t="s">
        <v>69</v>
      </c>
      <c r="AE7" s="126" t="s">
        <v>59</v>
      </c>
      <c r="AF7" s="127" t="s">
        <v>60</v>
      </c>
      <c r="AG7" s="127" t="s">
        <v>62</v>
      </c>
      <c r="AH7" s="127" t="s">
        <v>61</v>
      </c>
      <c r="AI7" s="127" t="s">
        <v>17</v>
      </c>
      <c r="AJ7" s="127" t="s">
        <v>18</v>
      </c>
      <c r="AK7" s="127" t="s">
        <v>63</v>
      </c>
      <c r="AL7" s="127" t="s">
        <v>64</v>
      </c>
      <c r="AM7" s="127" t="s">
        <v>22</v>
      </c>
      <c r="AN7" s="127" t="s">
        <v>70</v>
      </c>
      <c r="AO7" s="127" t="s">
        <v>65</v>
      </c>
      <c r="AP7" s="127" t="s">
        <v>66</v>
      </c>
      <c r="AQ7" s="127" t="s">
        <v>35</v>
      </c>
      <c r="AR7" s="127" t="s">
        <v>36</v>
      </c>
      <c r="AS7" s="127" t="s">
        <v>37</v>
      </c>
      <c r="AT7" s="127" t="s">
        <v>39</v>
      </c>
      <c r="AU7" s="127" t="s">
        <v>42</v>
      </c>
      <c r="AV7" s="127" t="s">
        <v>67</v>
      </c>
      <c r="AW7" s="127" t="s">
        <v>68</v>
      </c>
      <c r="AX7" s="128" t="s">
        <v>69</v>
      </c>
    </row>
    <row r="8" spans="7:108" ht="15.75" thickBot="1" x14ac:dyDescent="0.3">
      <c r="G8" s="19" t="s">
        <v>27</v>
      </c>
      <c r="H8" s="39" t="s">
        <v>12</v>
      </c>
      <c r="I8" s="125">
        <v>112.18260436691324</v>
      </c>
      <c r="J8" s="125">
        <v>113.48482033157003</v>
      </c>
      <c r="K8" s="125">
        <v>96.947157501435569</v>
      </c>
      <c r="L8" s="125">
        <v>120.76682209214847</v>
      </c>
      <c r="M8" s="125">
        <v>149.8997933638332</v>
      </c>
      <c r="N8" s="125">
        <v>143.04798218836024</v>
      </c>
      <c r="O8" s="125">
        <v>188.97962053181899</v>
      </c>
      <c r="P8" s="125">
        <v>203.19352733754414</v>
      </c>
      <c r="Q8" s="125"/>
      <c r="R8" s="125">
        <v>184.6489265676191</v>
      </c>
      <c r="S8" s="125">
        <v>182.29312963349687</v>
      </c>
      <c r="T8" s="125"/>
      <c r="U8" s="125"/>
      <c r="V8" s="125"/>
      <c r="W8" s="125"/>
      <c r="X8" s="125"/>
      <c r="Y8" s="125"/>
      <c r="Z8" s="125"/>
      <c r="AA8" s="125"/>
      <c r="AB8" s="125"/>
      <c r="AE8" s="253">
        <f>CK19</f>
        <v>39.775852379323055</v>
      </c>
      <c r="AF8" s="253">
        <f t="shared" ref="AF8:AX8" si="9">CL19</f>
        <v>30.880153762112659</v>
      </c>
      <c r="AG8" s="253">
        <f t="shared" si="9"/>
        <v>26.415966518519792</v>
      </c>
      <c r="AH8" s="253">
        <f t="shared" si="9"/>
        <v>28.2555412866942</v>
      </c>
      <c r="AI8" s="253">
        <f t="shared" si="9"/>
        <v>26.932342207540607</v>
      </c>
      <c r="AJ8" s="253">
        <f t="shared" si="9"/>
        <v>17.05862825600072</v>
      </c>
      <c r="AK8" s="253">
        <f t="shared" si="9"/>
        <v>15.183203044049282</v>
      </c>
      <c r="AL8" s="253">
        <f t="shared" si="9"/>
        <v>14.322983319748673</v>
      </c>
      <c r="AM8" s="253">
        <f t="shared" si="9"/>
        <v>0</v>
      </c>
      <c r="AN8" s="254">
        <f t="shared" si="9"/>
        <v>11.83129331148055</v>
      </c>
      <c r="AO8" s="254">
        <f t="shared" si="9"/>
        <v>18.925041170451312</v>
      </c>
      <c r="AP8" s="239">
        <f t="shared" si="9"/>
        <v>0</v>
      </c>
      <c r="AQ8" s="239">
        <f t="shared" si="9"/>
        <v>0</v>
      </c>
      <c r="AR8" s="254">
        <f t="shared" si="9"/>
        <v>14.123777398502911</v>
      </c>
      <c r="AS8" s="239">
        <f t="shared" si="9"/>
        <v>0</v>
      </c>
      <c r="AT8" s="239">
        <f t="shared" si="9"/>
        <v>0</v>
      </c>
      <c r="AU8" s="239">
        <f t="shared" si="9"/>
        <v>0</v>
      </c>
      <c r="AV8" s="239">
        <f t="shared" si="9"/>
        <v>0</v>
      </c>
      <c r="AW8" s="239">
        <f t="shared" si="9"/>
        <v>0</v>
      </c>
      <c r="AX8" s="240">
        <f t="shared" si="9"/>
        <v>0</v>
      </c>
    </row>
    <row r="9" spans="7:108" ht="15.75" thickBot="1" x14ac:dyDescent="0.3">
      <c r="G9" s="19" t="s">
        <v>27</v>
      </c>
      <c r="H9" s="39" t="s">
        <v>30</v>
      </c>
      <c r="I9" s="125"/>
      <c r="J9" s="125"/>
      <c r="K9" s="125">
        <v>108.07770503204235</v>
      </c>
      <c r="L9" s="125"/>
      <c r="M9" s="125"/>
      <c r="N9" s="125"/>
      <c r="O9" s="125"/>
      <c r="P9" s="125"/>
      <c r="Q9" s="125"/>
      <c r="R9" s="125">
        <v>181.95520871895295</v>
      </c>
      <c r="S9" s="125">
        <v>181.63878535238942</v>
      </c>
      <c r="T9" s="125">
        <v>187.92228460590138</v>
      </c>
      <c r="U9" s="125">
        <v>253.28225054775706</v>
      </c>
      <c r="V9" s="125">
        <v>257.19211746241911</v>
      </c>
      <c r="W9" s="125">
        <v>236.41642251898813</v>
      </c>
      <c r="X9" s="125"/>
      <c r="Y9" s="125"/>
      <c r="Z9" s="125"/>
      <c r="AA9" s="125"/>
      <c r="AB9" s="125"/>
      <c r="AE9" s="241">
        <f t="shared" ref="AE9:AE10" si="10">CK20</f>
        <v>0</v>
      </c>
      <c r="AF9" s="242">
        <f t="shared" ref="AF9:AF10" si="11">CL20</f>
        <v>0</v>
      </c>
      <c r="AG9" s="253">
        <f t="shared" ref="AG9:AG10" si="12">CM20</f>
        <v>28.926823216031032</v>
      </c>
      <c r="AH9" s="242">
        <f t="shared" ref="AH9:AH10" si="13">CN20</f>
        <v>0</v>
      </c>
      <c r="AI9" s="242">
        <f t="shared" ref="AI9:AI10" si="14">CO20</f>
        <v>0</v>
      </c>
      <c r="AJ9" s="242">
        <f t="shared" ref="AJ9:AJ10" si="15">CP20</f>
        <v>0</v>
      </c>
      <c r="AK9" s="242">
        <f t="shared" ref="AK9:AK10" si="16">CQ20</f>
        <v>0</v>
      </c>
      <c r="AL9" s="242">
        <f t="shared" ref="AL9:AL10" si="17">CR20</f>
        <v>0</v>
      </c>
      <c r="AM9" s="242">
        <f t="shared" ref="AM9:AM10" si="18">CS20</f>
        <v>0</v>
      </c>
      <c r="AN9" s="255">
        <f t="shared" ref="AN9:AN10" si="19">CT20</f>
        <v>10.077486339993728</v>
      </c>
      <c r="AO9" s="255">
        <f t="shared" ref="AO9:AO10" si="20">CU20</f>
        <v>18.4945796448972</v>
      </c>
      <c r="AP9" s="255">
        <f t="shared" ref="AP9:AP10" si="21">CV20</f>
        <v>14.13137292017319</v>
      </c>
      <c r="AQ9" s="255">
        <f t="shared" ref="AQ9:AQ10" si="22">CW20</f>
        <v>15.967553528361877</v>
      </c>
      <c r="AR9" s="255">
        <f t="shared" ref="AR9:AR10" si="23">CX20</f>
        <v>14.626126006371658</v>
      </c>
      <c r="AS9" s="255">
        <f t="shared" ref="AS9:AS10" si="24">CY20</f>
        <v>10.367940728580532</v>
      </c>
      <c r="AT9" s="242">
        <f t="shared" ref="AT9:AT10" si="25">CZ20</f>
        <v>0</v>
      </c>
      <c r="AU9" s="242">
        <f t="shared" ref="AU9:AU10" si="26">DA20</f>
        <v>0</v>
      </c>
      <c r="AV9" s="242">
        <f t="shared" ref="AV9:AV10" si="27">DB20</f>
        <v>0</v>
      </c>
      <c r="AW9" s="242">
        <f t="shared" ref="AW9:AW10" si="28">DC20</f>
        <v>0</v>
      </c>
      <c r="AX9" s="243">
        <f t="shared" ref="AX9:AX10" si="29">DD20</f>
        <v>0</v>
      </c>
    </row>
    <row r="10" spans="7:108" ht="15.75" thickBot="1" x14ac:dyDescent="0.3">
      <c r="G10" s="19" t="s">
        <v>27</v>
      </c>
      <c r="H10" s="39" t="s">
        <v>38</v>
      </c>
      <c r="I10" s="125"/>
      <c r="J10" s="125"/>
      <c r="K10" s="125">
        <v>109.2446877637931</v>
      </c>
      <c r="L10" s="125">
        <v>115.83101701145402</v>
      </c>
      <c r="M10" s="125"/>
      <c r="N10" s="125"/>
      <c r="O10" s="125"/>
      <c r="P10" s="125"/>
      <c r="Q10" s="125"/>
      <c r="R10" s="125"/>
      <c r="S10" s="125"/>
      <c r="T10" s="125"/>
      <c r="U10" s="125"/>
      <c r="V10" s="125">
        <v>247.34720220806477</v>
      </c>
      <c r="W10" s="125"/>
      <c r="X10" s="125"/>
      <c r="Y10" s="125">
        <v>137.80960717637794</v>
      </c>
      <c r="Z10" s="125">
        <v>195.4315688622579</v>
      </c>
      <c r="AA10" s="125">
        <v>173.97326628372147</v>
      </c>
      <c r="AB10" s="125">
        <v>190</v>
      </c>
      <c r="AE10" s="422">
        <f t="shared" si="10"/>
        <v>0</v>
      </c>
      <c r="AF10" s="423">
        <f t="shared" si="11"/>
        <v>0</v>
      </c>
      <c r="AG10" s="424">
        <f t="shared" si="12"/>
        <v>29.479149059948661</v>
      </c>
      <c r="AH10" s="425">
        <f t="shared" si="13"/>
        <v>29.542317471848889</v>
      </c>
      <c r="AI10" s="423">
        <f t="shared" si="14"/>
        <v>0</v>
      </c>
      <c r="AJ10" s="423">
        <f t="shared" si="15"/>
        <v>0</v>
      </c>
      <c r="AK10" s="423">
        <f t="shared" si="16"/>
        <v>0</v>
      </c>
      <c r="AL10" s="423">
        <f t="shared" si="17"/>
        <v>0</v>
      </c>
      <c r="AM10" s="423">
        <f t="shared" si="18"/>
        <v>0</v>
      </c>
      <c r="AN10" s="423">
        <f t="shared" si="19"/>
        <v>0</v>
      </c>
      <c r="AO10" s="423">
        <f t="shared" si="20"/>
        <v>0</v>
      </c>
      <c r="AP10" s="423">
        <f t="shared" si="21"/>
        <v>0</v>
      </c>
      <c r="AQ10" s="423">
        <f t="shared" si="22"/>
        <v>0</v>
      </c>
      <c r="AR10" s="425">
        <f t="shared" si="23"/>
        <v>12.524858109043448</v>
      </c>
      <c r="AS10" s="423">
        <f t="shared" si="24"/>
        <v>0</v>
      </c>
      <c r="AT10" s="423">
        <f t="shared" si="25"/>
        <v>0</v>
      </c>
      <c r="AU10" s="425">
        <f t="shared" si="26"/>
        <v>14.302068492427839</v>
      </c>
      <c r="AV10" s="425">
        <f t="shared" si="27"/>
        <v>14.132208560096787</v>
      </c>
      <c r="AW10" s="425">
        <f t="shared" si="28"/>
        <v>10.486109047737465</v>
      </c>
      <c r="AX10" s="426">
        <f t="shared" si="29"/>
        <v>10.029355963188261</v>
      </c>
    </row>
    <row r="11" spans="7:108" x14ac:dyDescent="0.25">
      <c r="I11" s="542" t="s">
        <v>304</v>
      </c>
      <c r="J11" s="543"/>
      <c r="K11" s="543"/>
      <c r="L11" s="543"/>
      <c r="M11" s="543"/>
      <c r="N11" s="543"/>
      <c r="O11" s="543"/>
      <c r="P11" s="543"/>
      <c r="Q11" s="543"/>
      <c r="R11" s="543"/>
      <c r="S11" s="543"/>
      <c r="T11" s="543"/>
      <c r="U11" s="543"/>
      <c r="V11" s="543"/>
      <c r="W11" s="543"/>
      <c r="X11" s="543"/>
      <c r="Y11" s="543"/>
      <c r="Z11" s="543"/>
      <c r="AA11" s="543"/>
      <c r="AB11" s="544"/>
      <c r="AD11" s="19" t="s">
        <v>307</v>
      </c>
      <c r="AE11" s="548" t="s">
        <v>306</v>
      </c>
      <c r="AF11" s="548"/>
      <c r="AG11" s="548"/>
      <c r="AH11" s="548"/>
      <c r="AI11" s="548"/>
      <c r="AJ11" s="548"/>
      <c r="AK11" s="548"/>
      <c r="AL11" s="548"/>
      <c r="AM11" s="548"/>
      <c r="AN11" s="548"/>
      <c r="AO11" s="548"/>
      <c r="AP11" s="548"/>
      <c r="AQ11" s="548"/>
      <c r="AR11" s="548"/>
      <c r="AS11" s="548"/>
      <c r="AT11" s="548"/>
      <c r="AU11" s="548"/>
      <c r="AV11" s="548"/>
      <c r="AW11" s="548"/>
      <c r="AX11" s="548"/>
      <c r="CJ11" t="s">
        <v>139</v>
      </c>
      <c r="CK11" s="194">
        <f>MOD(CK21,0.5)</f>
        <v>0</v>
      </c>
      <c r="CL11" s="194">
        <f t="shared" ref="CL11:DD11" si="30">MOD(CL21,0.5)</f>
        <v>0</v>
      </c>
      <c r="CM11" s="194">
        <f t="shared" si="30"/>
        <v>0.47914905994866075</v>
      </c>
      <c r="CN11" s="194">
        <f t="shared" si="30"/>
        <v>4.2317471848889454E-2</v>
      </c>
      <c r="CO11" s="194">
        <f t="shared" si="30"/>
        <v>0</v>
      </c>
      <c r="CP11" s="194">
        <f t="shared" si="30"/>
        <v>0</v>
      </c>
      <c r="CQ11" s="194">
        <f t="shared" si="30"/>
        <v>0</v>
      </c>
      <c r="CR11" s="194">
        <f t="shared" si="30"/>
        <v>0</v>
      </c>
      <c r="CS11" s="194">
        <f t="shared" si="30"/>
        <v>0</v>
      </c>
      <c r="CT11" s="194">
        <f t="shared" si="30"/>
        <v>0</v>
      </c>
      <c r="CU11" s="194">
        <f t="shared" si="30"/>
        <v>0</v>
      </c>
      <c r="CV11" s="194">
        <f t="shared" si="30"/>
        <v>0</v>
      </c>
      <c r="CW11" s="194">
        <f t="shared" si="30"/>
        <v>0</v>
      </c>
      <c r="CX11" s="194">
        <f t="shared" si="30"/>
        <v>2.4858109043448096E-2</v>
      </c>
      <c r="CY11" s="194">
        <f t="shared" si="30"/>
        <v>0</v>
      </c>
      <c r="CZ11" s="194">
        <f t="shared" si="30"/>
        <v>0</v>
      </c>
      <c r="DA11" s="194">
        <f t="shared" si="30"/>
        <v>0.30206849242783917</v>
      </c>
      <c r="DB11" s="194">
        <f t="shared" si="30"/>
        <v>0.13220856009678705</v>
      </c>
      <c r="DC11" s="194">
        <f t="shared" si="30"/>
        <v>0.48610904773746455</v>
      </c>
      <c r="DD11" s="194">
        <f t="shared" si="30"/>
        <v>2.9355963188260503E-2</v>
      </c>
    </row>
    <row r="12" spans="7:108" x14ac:dyDescent="0.25">
      <c r="G12" s="421" t="s">
        <v>305</v>
      </c>
      <c r="H12" s="420" t="s">
        <v>308</v>
      </c>
      <c r="I12" s="27" t="s">
        <v>59</v>
      </c>
      <c r="J12" s="18" t="s">
        <v>60</v>
      </c>
      <c r="K12" s="18" t="s">
        <v>62</v>
      </c>
      <c r="L12" s="18" t="s">
        <v>61</v>
      </c>
      <c r="M12" s="18" t="s">
        <v>17</v>
      </c>
      <c r="N12" s="18" t="s">
        <v>18</v>
      </c>
      <c r="O12" s="18" t="s">
        <v>63</v>
      </c>
      <c r="P12" s="18" t="s">
        <v>64</v>
      </c>
      <c r="Q12" s="18" t="s">
        <v>22</v>
      </c>
      <c r="R12" s="18" t="s">
        <v>70</v>
      </c>
      <c r="S12" s="18" t="s">
        <v>65</v>
      </c>
      <c r="T12" s="18" t="s">
        <v>66</v>
      </c>
      <c r="U12" s="18" t="s">
        <v>35</v>
      </c>
      <c r="V12" s="18" t="s">
        <v>36</v>
      </c>
      <c r="W12" s="18" t="s">
        <v>37</v>
      </c>
      <c r="X12" s="18" t="s">
        <v>39</v>
      </c>
      <c r="Y12" s="18" t="s">
        <v>42</v>
      </c>
      <c r="Z12" s="18" t="s">
        <v>67</v>
      </c>
      <c r="AA12" s="18" t="s">
        <v>68</v>
      </c>
      <c r="AB12" s="28" t="s">
        <v>69</v>
      </c>
      <c r="AD12" s="16">
        <f>SUMPRODUCT(AE12:AX12,I13:AB13)</f>
        <v>149.69667216973943</v>
      </c>
      <c r="AE12" s="427">
        <f>IFERROR(I19*I8/AE8,0)</f>
        <v>112.18260436691324</v>
      </c>
      <c r="AF12" s="427">
        <f t="shared" ref="AF12:AX12" si="31">IFERROR(J19*J8/AF8,0)</f>
        <v>113.48482033157003</v>
      </c>
      <c r="AG12" s="427">
        <f t="shared" si="31"/>
        <v>96.947157501435569</v>
      </c>
      <c r="AH12" s="427">
        <f t="shared" si="31"/>
        <v>120.76682209214847</v>
      </c>
      <c r="AI12" s="427">
        <f t="shared" si="31"/>
        <v>149.8997933638332</v>
      </c>
      <c r="AJ12" s="427">
        <f t="shared" si="31"/>
        <v>143.04798218836024</v>
      </c>
      <c r="AK12" s="427">
        <f t="shared" si="31"/>
        <v>188.97962053181899</v>
      </c>
      <c r="AL12" s="427">
        <f t="shared" si="31"/>
        <v>203.19352733754414</v>
      </c>
      <c r="AM12" s="427">
        <f t="shared" si="31"/>
        <v>0</v>
      </c>
      <c r="AN12" s="427">
        <f t="shared" si="31"/>
        <v>184.6489265676191</v>
      </c>
      <c r="AO12" s="427">
        <f t="shared" si="31"/>
        <v>182.29312963349687</v>
      </c>
      <c r="AP12" s="427">
        <f t="shared" si="31"/>
        <v>0</v>
      </c>
      <c r="AQ12" s="427">
        <f t="shared" si="31"/>
        <v>0</v>
      </c>
      <c r="AR12" s="427">
        <f t="shared" si="31"/>
        <v>0</v>
      </c>
      <c r="AS12" s="427">
        <f t="shared" si="31"/>
        <v>0</v>
      </c>
      <c r="AT12" s="427">
        <f t="shared" si="31"/>
        <v>0</v>
      </c>
      <c r="AU12" s="427">
        <f t="shared" si="31"/>
        <v>0</v>
      </c>
      <c r="AV12" s="427">
        <f t="shared" si="31"/>
        <v>0</v>
      </c>
      <c r="AW12" s="427">
        <f t="shared" si="31"/>
        <v>0</v>
      </c>
      <c r="AX12" s="427">
        <f t="shared" si="31"/>
        <v>0</v>
      </c>
    </row>
    <row r="13" spans="7:108" x14ac:dyDescent="0.25">
      <c r="G13" s="4">
        <v>149</v>
      </c>
      <c r="H13" s="4">
        <f>SUMPRODUCT(I8:AB8,I13:AB13)</f>
        <v>149.69667216973943</v>
      </c>
      <c r="I13" s="35">
        <v>3.5462059896100531E-2</v>
      </c>
      <c r="J13" s="35">
        <v>0.12038686685700151</v>
      </c>
      <c r="K13" s="35">
        <v>8.7036694241109464E-2</v>
      </c>
      <c r="L13" s="35">
        <v>0.10788929622816461</v>
      </c>
      <c r="M13" s="35">
        <v>7.5074925943824158E-2</v>
      </c>
      <c r="N13" s="35">
        <v>6.2000381984866397E-2</v>
      </c>
      <c r="O13" s="35">
        <v>7.0712731262653691E-2</v>
      </c>
      <c r="P13" s="35">
        <v>2.359917478552866E-2</v>
      </c>
      <c r="Q13" s="35">
        <v>3.3102804956438589E-3</v>
      </c>
      <c r="R13" s="35">
        <v>0.36580922448144187</v>
      </c>
      <c r="S13" s="35">
        <v>2.6119830735277193E-2</v>
      </c>
      <c r="T13" s="35">
        <v>0</v>
      </c>
      <c r="U13" s="35">
        <v>0</v>
      </c>
      <c r="V13" s="35">
        <v>1.9994027345594533E-2</v>
      </c>
      <c r="W13" s="35">
        <v>0</v>
      </c>
      <c r="X13" s="35">
        <v>0</v>
      </c>
      <c r="Y13" s="35">
        <v>0</v>
      </c>
      <c r="Z13" s="35">
        <v>0</v>
      </c>
      <c r="AA13" s="35">
        <v>0</v>
      </c>
      <c r="AB13" s="35">
        <v>0</v>
      </c>
      <c r="AD13" s="16">
        <f t="shared" ref="AD13:AD14" si="32">SUMPRODUCT(AE13:AX13,I14:AB14)</f>
        <v>157.84176922830778</v>
      </c>
      <c r="AE13" s="427">
        <f t="shared" ref="AE13:AE14" si="33">IFERROR(I20*I9/AE9,0)</f>
        <v>0</v>
      </c>
      <c r="AF13" s="427">
        <f t="shared" ref="AF13:AF14" si="34">IFERROR(J20*J9/AF9,0)</f>
        <v>0</v>
      </c>
      <c r="AG13" s="427">
        <f t="shared" ref="AG13:AG14" si="35">IFERROR(K20*K9/AG9,0)</f>
        <v>108.07770503204233</v>
      </c>
      <c r="AH13" s="427">
        <f t="shared" ref="AH13:AH14" si="36">IFERROR(L20*L9/AH9,0)</f>
        <v>0</v>
      </c>
      <c r="AI13" s="427">
        <f t="shared" ref="AI13:AI14" si="37">IFERROR(M20*M9/AI9,0)</f>
        <v>0</v>
      </c>
      <c r="AJ13" s="427">
        <f t="shared" ref="AJ13:AJ14" si="38">IFERROR(N20*N9/AJ9,0)</f>
        <v>0</v>
      </c>
      <c r="AK13" s="427">
        <f t="shared" ref="AK13:AK14" si="39">IFERROR(O20*O9/AK9,0)</f>
        <v>0</v>
      </c>
      <c r="AL13" s="427">
        <f t="shared" ref="AL13:AL14" si="40">IFERROR(P20*P9/AL9,0)</f>
        <v>0</v>
      </c>
      <c r="AM13" s="427">
        <f t="shared" ref="AM13:AM14" si="41">IFERROR(Q20*Q9/AM9,0)</f>
        <v>0</v>
      </c>
      <c r="AN13" s="427">
        <f t="shared" ref="AN13:AN14" si="42">IFERROR(R20*R9/AN9,0)</f>
        <v>181.95520871895295</v>
      </c>
      <c r="AO13" s="427">
        <f t="shared" ref="AO13:AO14" si="43">IFERROR(S20*S9/AO9,0)</f>
        <v>181.63878535238942</v>
      </c>
      <c r="AP13" s="427">
        <f t="shared" ref="AP13:AP14" si="44">IFERROR(T20*T9/AP9,0)</f>
        <v>187.92228460590138</v>
      </c>
      <c r="AQ13" s="427">
        <f t="shared" ref="AQ13:AQ14" si="45">IFERROR(U20*U9/AQ9,0)</f>
        <v>253.28225054775706</v>
      </c>
      <c r="AR13" s="427">
        <f t="shared" ref="AR13:AR14" si="46">IFERROR(V20*V9/AR9,0)</f>
        <v>257.19211746241911</v>
      </c>
      <c r="AS13" s="427">
        <f t="shared" ref="AS13:AS14" si="47">IFERROR(W20*W9/AS9,0)</f>
        <v>236.41642251898813</v>
      </c>
      <c r="AT13" s="427">
        <f t="shared" ref="AT13:AT14" si="48">IFERROR(X20*X9/AT9,0)</f>
        <v>0</v>
      </c>
      <c r="AU13" s="427">
        <f t="shared" ref="AU13:AU14" si="49">IFERROR(Y20*Y9/AU9,0)</f>
        <v>0</v>
      </c>
      <c r="AV13" s="427">
        <f t="shared" ref="AV13:AV14" si="50">IFERROR(Z20*Z9/AV9,0)</f>
        <v>0</v>
      </c>
      <c r="AW13" s="427">
        <f t="shared" ref="AW13:AW14" si="51">IFERROR(AA20*AA9/AW9,0)</f>
        <v>0</v>
      </c>
      <c r="AX13" s="427">
        <f t="shared" ref="AX13:AX14" si="52">IFERROR(AB20*AB9/AX9,0)</f>
        <v>0</v>
      </c>
    </row>
    <row r="14" spans="7:108" x14ac:dyDescent="0.25">
      <c r="G14" s="4">
        <v>161.35692349749189</v>
      </c>
      <c r="H14" s="4">
        <f t="shared" ref="H14:H15" si="53">SUMPRODUCT(I9:AB9,I14:AB14)</f>
        <v>157.84176922830778</v>
      </c>
      <c r="I14" s="35">
        <v>0</v>
      </c>
      <c r="J14" s="35">
        <v>0</v>
      </c>
      <c r="K14" s="35">
        <v>0.41339180188007296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35">
        <v>2.1389156315307488E-2</v>
      </c>
      <c r="R14" s="35">
        <v>8.5742258331311327E-2</v>
      </c>
      <c r="S14" s="35">
        <v>0.20791621334627416</v>
      </c>
      <c r="T14" s="35">
        <v>9.0295290946898241E-2</v>
      </c>
      <c r="U14" s="35">
        <v>1.2913304268647448E-2</v>
      </c>
      <c r="V14" s="35">
        <v>0.13376173741073827</v>
      </c>
      <c r="W14" s="35">
        <v>2.1803732490092178E-2</v>
      </c>
      <c r="X14" s="35">
        <v>0</v>
      </c>
      <c r="Y14" s="35">
        <v>0</v>
      </c>
      <c r="Z14" s="35">
        <v>0</v>
      </c>
      <c r="AA14" s="35">
        <v>0</v>
      </c>
      <c r="AB14" s="35">
        <v>0</v>
      </c>
      <c r="AD14" s="16">
        <f t="shared" si="32"/>
        <v>158.63947651733315</v>
      </c>
      <c r="AE14" s="427">
        <f t="shared" si="33"/>
        <v>0</v>
      </c>
      <c r="AF14" s="427">
        <f t="shared" si="34"/>
        <v>0</v>
      </c>
      <c r="AG14" s="427">
        <f t="shared" si="35"/>
        <v>109.2446877637931</v>
      </c>
      <c r="AH14" s="427">
        <f t="shared" si="36"/>
        <v>115.83101701145402</v>
      </c>
      <c r="AI14" s="427">
        <f t="shared" si="37"/>
        <v>0</v>
      </c>
      <c r="AJ14" s="427">
        <f t="shared" si="38"/>
        <v>0</v>
      </c>
      <c r="AK14" s="427">
        <f t="shared" si="39"/>
        <v>0</v>
      </c>
      <c r="AL14" s="427">
        <f t="shared" si="40"/>
        <v>0</v>
      </c>
      <c r="AM14" s="427">
        <f t="shared" si="41"/>
        <v>0</v>
      </c>
      <c r="AN14" s="427">
        <f t="shared" si="42"/>
        <v>0</v>
      </c>
      <c r="AO14" s="427">
        <f t="shared" si="43"/>
        <v>0</v>
      </c>
      <c r="AP14" s="427">
        <f t="shared" si="44"/>
        <v>0</v>
      </c>
      <c r="AQ14" s="427">
        <f t="shared" si="45"/>
        <v>0</v>
      </c>
      <c r="AR14" s="427">
        <f t="shared" si="46"/>
        <v>247.34720220806477</v>
      </c>
      <c r="AS14" s="427">
        <f t="shared" si="47"/>
        <v>0</v>
      </c>
      <c r="AT14" s="427">
        <f t="shared" si="48"/>
        <v>0</v>
      </c>
      <c r="AU14" s="427">
        <f t="shared" si="49"/>
        <v>137.80960717637794</v>
      </c>
      <c r="AV14" s="427">
        <f t="shared" si="50"/>
        <v>195.4315688622579</v>
      </c>
      <c r="AW14" s="427">
        <f t="shared" si="51"/>
        <v>173.97326628372147</v>
      </c>
      <c r="AX14" s="427">
        <f t="shared" si="52"/>
        <v>190</v>
      </c>
    </row>
    <row r="15" spans="7:108" x14ac:dyDescent="0.25">
      <c r="G15" s="4">
        <v>169</v>
      </c>
      <c r="H15" s="4">
        <f t="shared" si="53"/>
        <v>158.63947651733315</v>
      </c>
      <c r="I15" s="35">
        <v>0</v>
      </c>
      <c r="J15" s="35">
        <v>0</v>
      </c>
      <c r="K15" s="35">
        <v>0.12579603275039616</v>
      </c>
      <c r="L15" s="35">
        <v>6.6856413891022648E-2</v>
      </c>
      <c r="M15" s="35">
        <v>0</v>
      </c>
      <c r="N15" s="35">
        <v>0</v>
      </c>
      <c r="O15" s="35">
        <v>0</v>
      </c>
      <c r="P15" s="35">
        <v>0</v>
      </c>
      <c r="Q15" s="35">
        <v>0</v>
      </c>
      <c r="R15" s="35">
        <v>0</v>
      </c>
      <c r="S15" s="35">
        <v>0</v>
      </c>
      <c r="T15" s="35">
        <v>0</v>
      </c>
      <c r="U15" s="35">
        <v>0</v>
      </c>
      <c r="V15" s="35">
        <v>0</v>
      </c>
      <c r="W15" s="35">
        <v>0</v>
      </c>
      <c r="X15" s="35">
        <v>7.5750869630291382E-3</v>
      </c>
      <c r="Y15" s="35">
        <v>2.5633200920850103E-2</v>
      </c>
      <c r="Z15" s="35">
        <v>9.5420558624991186E-2</v>
      </c>
      <c r="AA15" s="35">
        <v>0.50157503105510481</v>
      </c>
      <c r="AB15" s="35">
        <v>0.14585023431826402</v>
      </c>
    </row>
    <row r="16" spans="7:108" ht="15.75" thickBot="1" x14ac:dyDescent="0.3"/>
    <row r="17" spans="1:252" x14ac:dyDescent="0.25">
      <c r="I17" s="539" t="s">
        <v>6</v>
      </c>
      <c r="J17" s="540"/>
      <c r="K17" s="540"/>
      <c r="L17" s="540"/>
      <c r="M17" s="540"/>
      <c r="N17" s="540"/>
      <c r="O17" s="540"/>
      <c r="P17" s="540"/>
      <c r="Q17" s="540"/>
      <c r="R17" s="540"/>
      <c r="S17" s="540"/>
      <c r="T17" s="540"/>
      <c r="U17" s="540"/>
      <c r="V17" s="540"/>
      <c r="W17" s="540"/>
      <c r="X17" s="540"/>
      <c r="Y17" s="540"/>
      <c r="Z17" s="540"/>
      <c r="AA17" s="540"/>
      <c r="AB17" s="541"/>
      <c r="AC17" s="539" t="s">
        <v>3</v>
      </c>
      <c r="AD17" s="540"/>
      <c r="AE17" s="540"/>
      <c r="AF17" s="540"/>
      <c r="AG17" s="540"/>
      <c r="AH17" s="540"/>
      <c r="AI17" s="540"/>
      <c r="AJ17" s="540"/>
      <c r="AK17" s="540"/>
      <c r="AL17" s="540"/>
      <c r="AM17" s="540"/>
      <c r="AN17" s="540"/>
      <c r="AO17" s="540"/>
      <c r="AP17" s="540"/>
      <c r="AQ17" s="540"/>
      <c r="AR17" s="540"/>
      <c r="AS17" s="540"/>
      <c r="AT17" s="540"/>
      <c r="AU17" s="540"/>
      <c r="AV17" s="541"/>
      <c r="AW17" s="539" t="s">
        <v>2</v>
      </c>
      <c r="AX17" s="540"/>
      <c r="AY17" s="540"/>
      <c r="AZ17" s="540"/>
      <c r="BA17" s="540"/>
      <c r="BB17" s="540"/>
      <c r="BC17" s="540"/>
      <c r="BD17" s="540"/>
      <c r="BE17" s="540"/>
      <c r="BF17" s="540"/>
      <c r="BG17" s="540"/>
      <c r="BH17" s="540"/>
      <c r="BI17" s="540"/>
      <c r="BJ17" s="540"/>
      <c r="BK17" s="540"/>
      <c r="BL17" s="540"/>
      <c r="BM17" s="540"/>
      <c r="BN17" s="540"/>
      <c r="BO17" s="540"/>
      <c r="BP17" s="541"/>
      <c r="BQ17" s="539" t="s">
        <v>128</v>
      </c>
      <c r="BR17" s="540"/>
      <c r="BS17" s="540"/>
      <c r="BT17" s="540"/>
      <c r="BU17" s="540"/>
      <c r="BV17" s="540"/>
      <c r="BW17" s="540"/>
      <c r="BX17" s="540"/>
      <c r="BY17" s="540"/>
      <c r="BZ17" s="540"/>
      <c r="CA17" s="540"/>
      <c r="CB17" s="540"/>
      <c r="CC17" s="540"/>
      <c r="CD17" s="540"/>
      <c r="CE17" s="540"/>
      <c r="CF17" s="540"/>
      <c r="CG17" s="540"/>
      <c r="CH17" s="540"/>
      <c r="CI17" s="540"/>
      <c r="CJ17" s="541"/>
      <c r="CK17" s="545" t="s">
        <v>129</v>
      </c>
      <c r="CL17" s="546"/>
      <c r="CM17" s="546"/>
      <c r="CN17" s="546"/>
      <c r="CO17" s="546"/>
      <c r="CP17" s="546"/>
      <c r="CQ17" s="546"/>
      <c r="CR17" s="546"/>
      <c r="CS17" s="546"/>
      <c r="CT17" s="546"/>
      <c r="CU17" s="546"/>
      <c r="CV17" s="546"/>
      <c r="CW17" s="546"/>
      <c r="CX17" s="546"/>
      <c r="CY17" s="546"/>
      <c r="CZ17" s="546"/>
      <c r="DA17" s="546"/>
      <c r="DB17" s="546"/>
      <c r="DC17" s="546"/>
      <c r="DD17" s="547"/>
      <c r="DE17" s="539" t="s">
        <v>130</v>
      </c>
      <c r="DF17" s="540"/>
      <c r="DG17" s="540"/>
      <c r="DH17" s="540"/>
      <c r="DI17" s="540"/>
      <c r="DJ17" s="540"/>
      <c r="DK17" s="540"/>
      <c r="DL17" s="540"/>
      <c r="DM17" s="540"/>
      <c r="DN17" s="540"/>
      <c r="DO17" s="540"/>
      <c r="DP17" s="540"/>
      <c r="DQ17" s="540"/>
      <c r="DR17" s="540"/>
      <c r="DS17" s="540"/>
      <c r="DT17" s="540"/>
      <c r="DU17" s="540"/>
      <c r="DV17" s="540"/>
      <c r="DW17" s="540"/>
      <c r="DX17" s="541"/>
      <c r="DY17" s="539" t="s">
        <v>131</v>
      </c>
      <c r="DZ17" s="540"/>
      <c r="EA17" s="540"/>
      <c r="EB17" s="540"/>
      <c r="EC17" s="540"/>
      <c r="ED17" s="540"/>
      <c r="EE17" s="540"/>
      <c r="EF17" s="540"/>
      <c r="EG17" s="540"/>
      <c r="EH17" s="540"/>
      <c r="EI17" s="540"/>
      <c r="EJ17" s="540"/>
      <c r="EK17" s="540"/>
      <c r="EL17" s="540"/>
      <c r="EM17" s="540"/>
      <c r="EN17" s="540"/>
      <c r="EO17" s="540"/>
      <c r="EP17" s="540"/>
      <c r="EQ17" s="540"/>
      <c r="ER17" s="541"/>
      <c r="ES17" s="539" t="s">
        <v>132</v>
      </c>
      <c r="ET17" s="540"/>
      <c r="EU17" s="540"/>
      <c r="EV17" s="540"/>
      <c r="EW17" s="540"/>
      <c r="EX17" s="540"/>
      <c r="EY17" s="540"/>
      <c r="EZ17" s="540"/>
      <c r="FA17" s="540"/>
      <c r="FB17" s="540"/>
      <c r="FC17" s="540"/>
      <c r="FD17" s="540"/>
      <c r="FE17" s="540"/>
      <c r="FF17" s="540"/>
      <c r="FG17" s="540"/>
      <c r="FH17" s="540"/>
      <c r="FI17" s="540"/>
      <c r="FJ17" s="540"/>
      <c r="FK17" s="540"/>
      <c r="FL17" s="541"/>
      <c r="FM17" s="196"/>
      <c r="FN17" s="539" t="s">
        <v>133</v>
      </c>
      <c r="FO17" s="540"/>
      <c r="FP17" s="540"/>
      <c r="FQ17" s="540"/>
      <c r="FR17" s="540"/>
      <c r="FS17" s="540"/>
      <c r="FT17" s="540"/>
      <c r="FU17" s="540"/>
      <c r="FV17" s="540"/>
      <c r="FW17" s="540"/>
      <c r="FX17" s="540"/>
      <c r="FY17" s="540"/>
      <c r="FZ17" s="540"/>
      <c r="GA17" s="540"/>
      <c r="GB17" s="540"/>
      <c r="GC17" s="540"/>
      <c r="GD17" s="540"/>
      <c r="GE17" s="540"/>
      <c r="GF17" s="540"/>
      <c r="GG17" s="541"/>
      <c r="GH17" s="539" t="s">
        <v>134</v>
      </c>
      <c r="GI17" s="540"/>
      <c r="GJ17" s="540"/>
      <c r="GK17" s="540"/>
      <c r="GL17" s="540"/>
      <c r="GM17" s="540"/>
      <c r="GN17" s="540"/>
      <c r="GO17" s="540"/>
      <c r="GP17" s="540"/>
      <c r="GQ17" s="540"/>
      <c r="GR17" s="540"/>
      <c r="GS17" s="540"/>
      <c r="GT17" s="540"/>
      <c r="GU17" s="540"/>
      <c r="GV17" s="540"/>
      <c r="GW17" s="540"/>
      <c r="GX17" s="540"/>
      <c r="GY17" s="540"/>
      <c r="GZ17" s="540"/>
      <c r="HA17" s="541"/>
      <c r="HD17" s="539" t="s">
        <v>136</v>
      </c>
      <c r="HE17" s="540"/>
      <c r="HF17" s="540"/>
      <c r="HG17" s="540"/>
      <c r="HH17" s="540"/>
      <c r="HI17" s="540"/>
      <c r="HJ17" s="540"/>
      <c r="HK17" s="540"/>
      <c r="HL17" s="540"/>
      <c r="HM17" s="540"/>
      <c r="HN17" s="540"/>
      <c r="HO17" s="540"/>
      <c r="HP17" s="540"/>
      <c r="HQ17" s="540"/>
      <c r="HR17" s="540"/>
      <c r="HS17" s="540"/>
      <c r="HT17" s="540"/>
      <c r="HU17" s="540"/>
      <c r="HV17" s="540"/>
      <c r="HW17" s="541"/>
    </row>
    <row r="18" spans="1:252" ht="15.75" thickBot="1" x14ac:dyDescent="0.3">
      <c r="G18" s="36" t="s">
        <v>73</v>
      </c>
      <c r="H18" s="36" t="s">
        <v>52</v>
      </c>
      <c r="I18" s="126" t="s">
        <v>59</v>
      </c>
      <c r="J18" s="127" t="s">
        <v>60</v>
      </c>
      <c r="K18" s="127" t="s">
        <v>62</v>
      </c>
      <c r="L18" s="127" t="s">
        <v>61</v>
      </c>
      <c r="M18" s="127" t="s">
        <v>17</v>
      </c>
      <c r="N18" s="127" t="s">
        <v>18</v>
      </c>
      <c r="O18" s="127" t="s">
        <v>63</v>
      </c>
      <c r="P18" s="127" t="s">
        <v>64</v>
      </c>
      <c r="Q18" s="127" t="s">
        <v>22</v>
      </c>
      <c r="R18" s="127" t="s">
        <v>70</v>
      </c>
      <c r="S18" s="127" t="s">
        <v>65</v>
      </c>
      <c r="T18" s="127" t="s">
        <v>66</v>
      </c>
      <c r="U18" s="127" t="s">
        <v>35</v>
      </c>
      <c r="V18" s="127" t="s">
        <v>36</v>
      </c>
      <c r="W18" s="127" t="s">
        <v>37</v>
      </c>
      <c r="X18" s="127" t="s">
        <v>39</v>
      </c>
      <c r="Y18" s="127" t="s">
        <v>42</v>
      </c>
      <c r="Z18" s="127" t="s">
        <v>67</v>
      </c>
      <c r="AA18" s="127" t="s">
        <v>68</v>
      </c>
      <c r="AB18" s="128" t="s">
        <v>69</v>
      </c>
      <c r="AC18" s="126" t="s">
        <v>59</v>
      </c>
      <c r="AD18" s="127" t="s">
        <v>60</v>
      </c>
      <c r="AE18" s="127" t="s">
        <v>62</v>
      </c>
      <c r="AF18" s="127" t="s">
        <v>61</v>
      </c>
      <c r="AG18" s="127" t="s">
        <v>17</v>
      </c>
      <c r="AH18" s="127" t="s">
        <v>18</v>
      </c>
      <c r="AI18" s="127" t="s">
        <v>63</v>
      </c>
      <c r="AJ18" s="127" t="s">
        <v>64</v>
      </c>
      <c r="AK18" s="127" t="s">
        <v>22</v>
      </c>
      <c r="AL18" s="127" t="s">
        <v>70</v>
      </c>
      <c r="AM18" s="127" t="s">
        <v>65</v>
      </c>
      <c r="AN18" s="127" t="s">
        <v>66</v>
      </c>
      <c r="AO18" s="127" t="s">
        <v>35</v>
      </c>
      <c r="AP18" s="127" t="s">
        <v>36</v>
      </c>
      <c r="AQ18" s="127" t="s">
        <v>37</v>
      </c>
      <c r="AR18" s="127" t="s">
        <v>39</v>
      </c>
      <c r="AS18" s="127" t="s">
        <v>42</v>
      </c>
      <c r="AT18" s="127" t="s">
        <v>67</v>
      </c>
      <c r="AU18" s="127" t="s">
        <v>68</v>
      </c>
      <c r="AV18" s="128" t="s">
        <v>69</v>
      </c>
      <c r="AW18" s="126" t="s">
        <v>59</v>
      </c>
      <c r="AX18" s="127" t="s">
        <v>60</v>
      </c>
      <c r="AY18" s="127" t="s">
        <v>62</v>
      </c>
      <c r="AZ18" s="127" t="s">
        <v>61</v>
      </c>
      <c r="BA18" s="127" t="s">
        <v>17</v>
      </c>
      <c r="BB18" s="127" t="s">
        <v>18</v>
      </c>
      <c r="BC18" s="127" t="s">
        <v>63</v>
      </c>
      <c r="BD18" s="127" t="s">
        <v>64</v>
      </c>
      <c r="BE18" s="127" t="s">
        <v>22</v>
      </c>
      <c r="BF18" s="127" t="s">
        <v>70</v>
      </c>
      <c r="BG18" s="127" t="s">
        <v>65</v>
      </c>
      <c r="BH18" s="127" t="s">
        <v>66</v>
      </c>
      <c r="BI18" s="127" t="s">
        <v>35</v>
      </c>
      <c r="BJ18" s="127" t="s">
        <v>36</v>
      </c>
      <c r="BK18" s="127" t="s">
        <v>37</v>
      </c>
      <c r="BL18" s="127" t="s">
        <v>39</v>
      </c>
      <c r="BM18" s="127" t="s">
        <v>42</v>
      </c>
      <c r="BN18" s="127" t="s">
        <v>67</v>
      </c>
      <c r="BO18" s="127" t="s">
        <v>68</v>
      </c>
      <c r="BP18" s="128" t="s">
        <v>69</v>
      </c>
      <c r="BQ18" s="126" t="s">
        <v>59</v>
      </c>
      <c r="BR18" s="127" t="s">
        <v>60</v>
      </c>
      <c r="BS18" s="127" t="s">
        <v>62</v>
      </c>
      <c r="BT18" s="127" t="s">
        <v>61</v>
      </c>
      <c r="BU18" s="127" t="s">
        <v>17</v>
      </c>
      <c r="BV18" s="127" t="s">
        <v>18</v>
      </c>
      <c r="BW18" s="127" t="s">
        <v>63</v>
      </c>
      <c r="BX18" s="127" t="s">
        <v>64</v>
      </c>
      <c r="BY18" s="127" t="s">
        <v>22</v>
      </c>
      <c r="BZ18" s="127" t="s">
        <v>70</v>
      </c>
      <c r="CA18" s="127" t="s">
        <v>65</v>
      </c>
      <c r="CB18" s="127" t="s">
        <v>66</v>
      </c>
      <c r="CC18" s="127" t="s">
        <v>35</v>
      </c>
      <c r="CD18" s="127" t="s">
        <v>36</v>
      </c>
      <c r="CE18" s="127" t="s">
        <v>37</v>
      </c>
      <c r="CF18" s="127" t="s">
        <v>39</v>
      </c>
      <c r="CG18" s="127" t="s">
        <v>42</v>
      </c>
      <c r="CH18" s="127" t="s">
        <v>67</v>
      </c>
      <c r="CI18" s="127" t="s">
        <v>68</v>
      </c>
      <c r="CJ18" s="128" t="s">
        <v>69</v>
      </c>
      <c r="CK18" s="126" t="s">
        <v>59</v>
      </c>
      <c r="CL18" s="127" t="s">
        <v>60</v>
      </c>
      <c r="CM18" s="127" t="s">
        <v>62</v>
      </c>
      <c r="CN18" s="127" t="s">
        <v>61</v>
      </c>
      <c r="CO18" s="127" t="s">
        <v>17</v>
      </c>
      <c r="CP18" s="127" t="s">
        <v>18</v>
      </c>
      <c r="CQ18" s="127" t="s">
        <v>63</v>
      </c>
      <c r="CR18" s="127" t="s">
        <v>64</v>
      </c>
      <c r="CS18" s="127" t="s">
        <v>22</v>
      </c>
      <c r="CT18" s="127" t="s">
        <v>70</v>
      </c>
      <c r="CU18" s="127" t="s">
        <v>65</v>
      </c>
      <c r="CV18" s="127" t="s">
        <v>66</v>
      </c>
      <c r="CW18" s="127" t="s">
        <v>35</v>
      </c>
      <c r="CX18" s="127" t="s">
        <v>36</v>
      </c>
      <c r="CY18" s="127" t="s">
        <v>37</v>
      </c>
      <c r="CZ18" s="127" t="s">
        <v>39</v>
      </c>
      <c r="DA18" s="127" t="s">
        <v>42</v>
      </c>
      <c r="DB18" s="127" t="s">
        <v>67</v>
      </c>
      <c r="DC18" s="127" t="s">
        <v>68</v>
      </c>
      <c r="DD18" s="128" t="s">
        <v>69</v>
      </c>
      <c r="DE18" s="126" t="s">
        <v>59</v>
      </c>
      <c r="DF18" s="127" t="s">
        <v>60</v>
      </c>
      <c r="DG18" s="127" t="s">
        <v>62</v>
      </c>
      <c r="DH18" s="127" t="s">
        <v>61</v>
      </c>
      <c r="DI18" s="127" t="s">
        <v>17</v>
      </c>
      <c r="DJ18" s="127" t="s">
        <v>18</v>
      </c>
      <c r="DK18" s="127" t="s">
        <v>63</v>
      </c>
      <c r="DL18" s="127" t="s">
        <v>64</v>
      </c>
      <c r="DM18" s="127" t="s">
        <v>22</v>
      </c>
      <c r="DN18" s="127" t="s">
        <v>70</v>
      </c>
      <c r="DO18" s="127" t="s">
        <v>65</v>
      </c>
      <c r="DP18" s="127" t="s">
        <v>66</v>
      </c>
      <c r="DQ18" s="127" t="s">
        <v>35</v>
      </c>
      <c r="DR18" s="127" t="s">
        <v>36</v>
      </c>
      <c r="DS18" s="127" t="s">
        <v>37</v>
      </c>
      <c r="DT18" s="127" t="s">
        <v>39</v>
      </c>
      <c r="DU18" s="127" t="s">
        <v>42</v>
      </c>
      <c r="DV18" s="127" t="s">
        <v>67</v>
      </c>
      <c r="DW18" s="127" t="s">
        <v>68</v>
      </c>
      <c r="DX18" s="128" t="s">
        <v>69</v>
      </c>
      <c r="DY18" s="126" t="s">
        <v>59</v>
      </c>
      <c r="DZ18" s="127" t="s">
        <v>60</v>
      </c>
      <c r="EA18" s="127" t="s">
        <v>62</v>
      </c>
      <c r="EB18" s="127" t="s">
        <v>61</v>
      </c>
      <c r="EC18" s="127" t="s">
        <v>17</v>
      </c>
      <c r="ED18" s="127" t="s">
        <v>18</v>
      </c>
      <c r="EE18" s="127" t="s">
        <v>63</v>
      </c>
      <c r="EF18" s="127" t="s">
        <v>64</v>
      </c>
      <c r="EG18" s="127" t="s">
        <v>22</v>
      </c>
      <c r="EH18" s="127" t="s">
        <v>70</v>
      </c>
      <c r="EI18" s="127" t="s">
        <v>65</v>
      </c>
      <c r="EJ18" s="127" t="s">
        <v>66</v>
      </c>
      <c r="EK18" s="127" t="s">
        <v>35</v>
      </c>
      <c r="EL18" s="127" t="s">
        <v>36</v>
      </c>
      <c r="EM18" s="127" t="s">
        <v>37</v>
      </c>
      <c r="EN18" s="127" t="s">
        <v>39</v>
      </c>
      <c r="EO18" s="127" t="s">
        <v>42</v>
      </c>
      <c r="EP18" s="127" t="s">
        <v>67</v>
      </c>
      <c r="EQ18" s="127" t="s">
        <v>68</v>
      </c>
      <c r="ER18" s="128" t="s">
        <v>69</v>
      </c>
      <c r="ES18" s="126" t="s">
        <v>59</v>
      </c>
      <c r="ET18" s="127" t="s">
        <v>60</v>
      </c>
      <c r="EU18" s="127" t="s">
        <v>62</v>
      </c>
      <c r="EV18" s="127" t="s">
        <v>61</v>
      </c>
      <c r="EW18" s="127" t="s">
        <v>17</v>
      </c>
      <c r="EX18" s="127" t="s">
        <v>18</v>
      </c>
      <c r="EY18" s="127" t="s">
        <v>63</v>
      </c>
      <c r="EZ18" s="127" t="s">
        <v>64</v>
      </c>
      <c r="FA18" s="127" t="s">
        <v>22</v>
      </c>
      <c r="FB18" s="127" t="s">
        <v>70</v>
      </c>
      <c r="FC18" s="127" t="s">
        <v>65</v>
      </c>
      <c r="FD18" s="127" t="s">
        <v>66</v>
      </c>
      <c r="FE18" s="127" t="s">
        <v>35</v>
      </c>
      <c r="FF18" s="127" t="s">
        <v>36</v>
      </c>
      <c r="FG18" s="127" t="s">
        <v>37</v>
      </c>
      <c r="FH18" s="127" t="s">
        <v>39</v>
      </c>
      <c r="FI18" s="127" t="s">
        <v>42</v>
      </c>
      <c r="FJ18" s="127" t="s">
        <v>67</v>
      </c>
      <c r="FK18" s="127" t="s">
        <v>68</v>
      </c>
      <c r="FL18" s="128" t="s">
        <v>69</v>
      </c>
      <c r="FM18" s="197" t="s">
        <v>83</v>
      </c>
      <c r="FN18" s="126" t="s">
        <v>59</v>
      </c>
      <c r="FO18" s="127" t="s">
        <v>60</v>
      </c>
      <c r="FP18" s="127" t="s">
        <v>62</v>
      </c>
      <c r="FQ18" s="127" t="s">
        <v>61</v>
      </c>
      <c r="FR18" s="127" t="s">
        <v>17</v>
      </c>
      <c r="FS18" s="127" t="s">
        <v>18</v>
      </c>
      <c r="FT18" s="127" t="s">
        <v>63</v>
      </c>
      <c r="FU18" s="127" t="s">
        <v>64</v>
      </c>
      <c r="FV18" s="127" t="s">
        <v>22</v>
      </c>
      <c r="FW18" s="127" t="s">
        <v>70</v>
      </c>
      <c r="FX18" s="127" t="s">
        <v>65</v>
      </c>
      <c r="FY18" s="127" t="s">
        <v>66</v>
      </c>
      <c r="FZ18" s="127" t="s">
        <v>35</v>
      </c>
      <c r="GA18" s="127" t="s">
        <v>36</v>
      </c>
      <c r="GB18" s="127" t="s">
        <v>37</v>
      </c>
      <c r="GC18" s="127" t="s">
        <v>39</v>
      </c>
      <c r="GD18" s="127" t="s">
        <v>42</v>
      </c>
      <c r="GE18" s="127" t="s">
        <v>67</v>
      </c>
      <c r="GF18" s="127" t="s">
        <v>68</v>
      </c>
      <c r="GG18" s="128" t="s">
        <v>69</v>
      </c>
      <c r="GH18" s="126" t="s">
        <v>59</v>
      </c>
      <c r="GI18" s="127" t="s">
        <v>60</v>
      </c>
      <c r="GJ18" s="127" t="s">
        <v>62</v>
      </c>
      <c r="GK18" s="127" t="s">
        <v>61</v>
      </c>
      <c r="GL18" s="127" t="s">
        <v>17</v>
      </c>
      <c r="GM18" s="127" t="s">
        <v>18</v>
      </c>
      <c r="GN18" s="127" t="s">
        <v>63</v>
      </c>
      <c r="GO18" s="127" t="s">
        <v>64</v>
      </c>
      <c r="GP18" s="127" t="s">
        <v>22</v>
      </c>
      <c r="GQ18" s="127" t="s">
        <v>70</v>
      </c>
      <c r="GR18" s="127" t="s">
        <v>65</v>
      </c>
      <c r="GS18" s="127" t="s">
        <v>66</v>
      </c>
      <c r="GT18" s="127" t="s">
        <v>35</v>
      </c>
      <c r="GU18" s="127" t="s">
        <v>36</v>
      </c>
      <c r="GV18" s="127" t="s">
        <v>37</v>
      </c>
      <c r="GW18" s="127" t="s">
        <v>39</v>
      </c>
      <c r="GX18" s="127" t="s">
        <v>42</v>
      </c>
      <c r="GY18" s="127" t="s">
        <v>67</v>
      </c>
      <c r="GZ18" s="127" t="s">
        <v>68</v>
      </c>
      <c r="HA18" s="128" t="s">
        <v>69</v>
      </c>
      <c r="HB18" s="193" t="s">
        <v>83</v>
      </c>
      <c r="HD18" s="126" t="s">
        <v>59</v>
      </c>
      <c r="HE18" s="127" t="s">
        <v>60</v>
      </c>
      <c r="HF18" s="127" t="s">
        <v>62</v>
      </c>
      <c r="HG18" s="127" t="s">
        <v>61</v>
      </c>
      <c r="HH18" s="127" t="s">
        <v>17</v>
      </c>
      <c r="HI18" s="127" t="s">
        <v>18</v>
      </c>
      <c r="HJ18" s="127" t="s">
        <v>63</v>
      </c>
      <c r="HK18" s="127" t="s">
        <v>64</v>
      </c>
      <c r="HL18" s="127" t="s">
        <v>22</v>
      </c>
      <c r="HM18" s="127" t="s">
        <v>70</v>
      </c>
      <c r="HN18" s="127" t="s">
        <v>65</v>
      </c>
      <c r="HO18" s="127" t="s">
        <v>66</v>
      </c>
      <c r="HP18" s="127" t="s">
        <v>35</v>
      </c>
      <c r="HQ18" s="127" t="s">
        <v>36</v>
      </c>
      <c r="HR18" s="127" t="s">
        <v>37</v>
      </c>
      <c r="HS18" s="127" t="s">
        <v>39</v>
      </c>
      <c r="HT18" s="127" t="s">
        <v>42</v>
      </c>
      <c r="HU18" s="127" t="s">
        <v>67</v>
      </c>
      <c r="HV18" s="127" t="s">
        <v>68</v>
      </c>
      <c r="HW18" s="128" t="s">
        <v>69</v>
      </c>
    </row>
    <row r="19" spans="1:252" ht="15.75" thickBot="1" x14ac:dyDescent="0.3">
      <c r="G19" s="37" t="s">
        <v>74</v>
      </c>
      <c r="H19" s="123" t="s">
        <v>12</v>
      </c>
      <c r="I19" s="131">
        <v>39.775852379323055</v>
      </c>
      <c r="J19" s="132">
        <v>30.880153762112659</v>
      </c>
      <c r="K19" s="132">
        <v>26.415966518519792</v>
      </c>
      <c r="L19" s="132">
        <v>28.2555412866942</v>
      </c>
      <c r="M19" s="132">
        <v>26.932342207540607</v>
      </c>
      <c r="N19" s="132">
        <v>17.05862825600072</v>
      </c>
      <c r="O19" s="132">
        <v>15.183203044049282</v>
      </c>
      <c r="P19" s="133">
        <v>14.322983319748673</v>
      </c>
      <c r="Q19" s="133"/>
      <c r="R19" s="133">
        <v>11.83129331148055</v>
      </c>
      <c r="S19" s="134">
        <v>18.925041170451312</v>
      </c>
      <c r="T19" s="133"/>
      <c r="U19" s="133"/>
      <c r="V19" s="133">
        <v>14.123777398502911</v>
      </c>
      <c r="W19" s="133"/>
      <c r="X19" s="133"/>
      <c r="Y19" s="133"/>
      <c r="Z19" s="133"/>
      <c r="AA19" s="133"/>
      <c r="AB19" s="150"/>
      <c r="AC19" s="159">
        <v>-0.95</v>
      </c>
      <c r="AD19" s="143">
        <v>-0.48</v>
      </c>
      <c r="AE19" s="143">
        <v>-0.95</v>
      </c>
      <c r="AF19" s="143">
        <v>-0.43</v>
      </c>
      <c r="AG19" s="143">
        <v>-2.1800000000000002</v>
      </c>
      <c r="AH19" s="143">
        <v>-2.79</v>
      </c>
      <c r="AI19" s="143">
        <v>-2.31</v>
      </c>
      <c r="AJ19" s="143">
        <v>-1.6</v>
      </c>
      <c r="AK19" s="143">
        <v>-10.46</v>
      </c>
      <c r="AL19" s="143">
        <v>-1.62</v>
      </c>
      <c r="AM19" s="143">
        <v>-3.32</v>
      </c>
      <c r="AN19" s="143"/>
      <c r="AO19" s="143"/>
      <c r="AP19" s="143">
        <v>-7.64</v>
      </c>
      <c r="AQ19" s="143"/>
      <c r="AR19" s="143"/>
      <c r="AS19" s="143"/>
      <c r="AT19" s="143"/>
      <c r="AU19" s="143"/>
      <c r="AV19" s="160"/>
      <c r="AW19" s="165">
        <f>'Thai input'!G51</f>
        <v>4774385</v>
      </c>
      <c r="AX19" s="165">
        <f>'Thai input'!H51</f>
        <v>16208118</v>
      </c>
      <c r="AY19" s="165">
        <f>'Thai input'!I51</f>
        <v>11718064</v>
      </c>
      <c r="AZ19" s="165">
        <f>'Thai input'!J51</f>
        <v>14525525</v>
      </c>
      <c r="BA19" s="165">
        <f>'Thai input'!K51</f>
        <v>10107608</v>
      </c>
      <c r="BB19" s="165">
        <f>'Thai input'!L51</f>
        <v>8347335</v>
      </c>
      <c r="BC19" s="165">
        <f>'Thai input'!M51</f>
        <v>9520310</v>
      </c>
      <c r="BD19" s="165">
        <f>'Thai input'!N51</f>
        <v>3177242</v>
      </c>
      <c r="BE19" s="165">
        <f>'Thai input'!O51</f>
        <v>445675</v>
      </c>
      <c r="BF19" s="165">
        <f>'Thai input'!P51</f>
        <v>49250215</v>
      </c>
      <c r="BG19" s="165">
        <f>'Thai input'!Q51</f>
        <v>3516607</v>
      </c>
      <c r="BH19" s="165">
        <f>'Thai input'!R51</f>
        <v>0</v>
      </c>
      <c r="BI19" s="165">
        <f>'Thai input'!S51</f>
        <v>0</v>
      </c>
      <c r="BJ19" s="165">
        <f>'Thai input'!T51</f>
        <v>2691868</v>
      </c>
      <c r="BK19" s="165">
        <f>'Thai input'!U51</f>
        <v>0</v>
      </c>
      <c r="BL19" s="165">
        <f>'Thai input'!V51</f>
        <v>0</v>
      </c>
      <c r="BM19" s="165">
        <f>'Thai input'!W51</f>
        <v>0</v>
      </c>
      <c r="BN19" s="165">
        <f>'Thai input'!X51</f>
        <v>0</v>
      </c>
      <c r="BO19" s="165">
        <f>'Thai input'!Y51</f>
        <v>0</v>
      </c>
      <c r="BP19" s="165">
        <f>'Thai input'!Z51</f>
        <v>0</v>
      </c>
      <c r="BQ19" s="348">
        <f>AW19*'Thai input'!$K4</f>
        <v>205298.55499999999</v>
      </c>
      <c r="BR19" s="134">
        <f>AX19*'Thai input'!$K4</f>
        <v>696949.07399999991</v>
      </c>
      <c r="BS19" s="134">
        <f>AY19*'Thai input'!$K4</f>
        <v>503876.75199999998</v>
      </c>
      <c r="BT19" s="134">
        <f>AZ19*'Thai input'!$K4</f>
        <v>624597.57499999995</v>
      </c>
      <c r="BU19" s="134">
        <f>BA19*'Thai input'!$K4</f>
        <v>434627.14399999997</v>
      </c>
      <c r="BV19" s="134">
        <f>BB19*'Thai input'!$K4</f>
        <v>358935.40499999997</v>
      </c>
      <c r="BW19" s="134">
        <f>BC19*'Thai input'!$K4</f>
        <v>409373.32999999996</v>
      </c>
      <c r="BX19" s="134">
        <f>BD19*'Thai input'!$K4</f>
        <v>136621.40599999999</v>
      </c>
      <c r="BY19" s="134">
        <f>BE19*'Thai input'!$K4</f>
        <v>19164.024999999998</v>
      </c>
      <c r="BZ19" s="134">
        <f>BF19*'Thai input'!$K4</f>
        <v>2117759.2449999996</v>
      </c>
      <c r="CA19" s="134">
        <f>BG19*'Thai input'!$K4</f>
        <v>151214.101</v>
      </c>
      <c r="CB19" s="134">
        <f>BH19*'Thai input'!$K4</f>
        <v>0</v>
      </c>
      <c r="CC19" s="134">
        <f>BI19*'Thai input'!$K4</f>
        <v>0</v>
      </c>
      <c r="CD19" s="134">
        <f>BJ19*'Thai input'!$K4</f>
        <v>115750.32399999999</v>
      </c>
      <c r="CE19" s="134">
        <f>BK19*'Thai input'!$K4</f>
        <v>0</v>
      </c>
      <c r="CF19" s="134">
        <f>BL19*'Thai input'!$K4</f>
        <v>0</v>
      </c>
      <c r="CG19" s="134">
        <f>BM19*'Thai input'!$K4</f>
        <v>0</v>
      </c>
      <c r="CH19" s="134">
        <f>BN19*'Thai input'!$K4</f>
        <v>0</v>
      </c>
      <c r="CI19" s="134">
        <f>BO19*'Thai input'!$K4</f>
        <v>0</v>
      </c>
      <c r="CJ19" s="166">
        <f>BP19*'Thai input'!$K4</f>
        <v>0</v>
      </c>
      <c r="CK19" s="253">
        <v>39.775852379323055</v>
      </c>
      <c r="CL19" s="253">
        <v>30.880153762112659</v>
      </c>
      <c r="CM19" s="253">
        <v>26.415966518519792</v>
      </c>
      <c r="CN19" s="253">
        <v>28.2555412866942</v>
      </c>
      <c r="CO19" s="253">
        <v>26.932342207540607</v>
      </c>
      <c r="CP19" s="253">
        <v>17.05862825600072</v>
      </c>
      <c r="CQ19" s="253">
        <v>15.183203044049282</v>
      </c>
      <c r="CR19" s="253">
        <v>14.322983319748673</v>
      </c>
      <c r="CS19" s="253"/>
      <c r="CT19" s="254">
        <v>11.83129331148055</v>
      </c>
      <c r="CU19" s="254">
        <v>18.925041170451312</v>
      </c>
      <c r="CV19" s="239"/>
      <c r="CW19" s="239"/>
      <c r="CX19" s="254">
        <v>14.123777398502911</v>
      </c>
      <c r="CY19" s="239"/>
      <c r="CZ19" s="239"/>
      <c r="DA19" s="239"/>
      <c r="DB19" s="239"/>
      <c r="DC19" s="239"/>
      <c r="DD19" s="240"/>
      <c r="DE19" s="182">
        <f>IFERROR((CK19-I19)/I19,0)</f>
        <v>0</v>
      </c>
      <c r="DF19" s="183">
        <f t="shared" ref="DF19:DX24" si="54">IFERROR((CL19-J19)/J19,0)</f>
        <v>0</v>
      </c>
      <c r="DG19" s="183">
        <f t="shared" si="54"/>
        <v>0</v>
      </c>
      <c r="DH19" s="183">
        <f t="shared" si="54"/>
        <v>0</v>
      </c>
      <c r="DI19" s="183">
        <f t="shared" si="54"/>
        <v>0</v>
      </c>
      <c r="DJ19" s="183">
        <f t="shared" si="54"/>
        <v>0</v>
      </c>
      <c r="DK19" s="183">
        <f t="shared" si="54"/>
        <v>0</v>
      </c>
      <c r="DL19" s="183">
        <f t="shared" si="54"/>
        <v>0</v>
      </c>
      <c r="DM19" s="183">
        <f t="shared" si="54"/>
        <v>0</v>
      </c>
      <c r="DN19" s="183">
        <f t="shared" si="54"/>
        <v>0</v>
      </c>
      <c r="DO19" s="183">
        <f t="shared" si="54"/>
        <v>0</v>
      </c>
      <c r="DP19" s="183">
        <f t="shared" si="54"/>
        <v>0</v>
      </c>
      <c r="DQ19" s="183">
        <f t="shared" si="54"/>
        <v>0</v>
      </c>
      <c r="DR19" s="183">
        <f t="shared" si="54"/>
        <v>0</v>
      </c>
      <c r="DS19" s="183">
        <f t="shared" si="54"/>
        <v>0</v>
      </c>
      <c r="DT19" s="183">
        <f t="shared" si="54"/>
        <v>0</v>
      </c>
      <c r="DU19" s="183">
        <f t="shared" si="54"/>
        <v>0</v>
      </c>
      <c r="DV19" s="183">
        <f t="shared" si="54"/>
        <v>0</v>
      </c>
      <c r="DW19" s="183">
        <f t="shared" si="54"/>
        <v>0</v>
      </c>
      <c r="DX19" s="189">
        <f t="shared" si="54"/>
        <v>0</v>
      </c>
      <c r="DY19" s="182">
        <f>DE19*AC19</f>
        <v>0</v>
      </c>
      <c r="DZ19" s="183">
        <f t="shared" ref="DZ19:ER19" si="55">DF19*AD19</f>
        <v>0</v>
      </c>
      <c r="EA19" s="183">
        <f t="shared" si="55"/>
        <v>0</v>
      </c>
      <c r="EB19" s="183">
        <f t="shared" si="55"/>
        <v>0</v>
      </c>
      <c r="EC19" s="183">
        <f t="shared" si="55"/>
        <v>0</v>
      </c>
      <c r="ED19" s="183">
        <f t="shared" si="55"/>
        <v>0</v>
      </c>
      <c r="EE19" s="183">
        <f t="shared" si="55"/>
        <v>0</v>
      </c>
      <c r="EF19" s="183">
        <f t="shared" si="55"/>
        <v>0</v>
      </c>
      <c r="EG19" s="183">
        <f t="shared" si="55"/>
        <v>0</v>
      </c>
      <c r="EH19" s="183">
        <f t="shared" si="55"/>
        <v>0</v>
      </c>
      <c r="EI19" s="183">
        <f t="shared" si="55"/>
        <v>0</v>
      </c>
      <c r="EJ19" s="183">
        <f t="shared" si="55"/>
        <v>0</v>
      </c>
      <c r="EK19" s="183">
        <f t="shared" si="55"/>
        <v>0</v>
      </c>
      <c r="EL19" s="183">
        <f t="shared" si="55"/>
        <v>0</v>
      </c>
      <c r="EM19" s="183">
        <f t="shared" si="55"/>
        <v>0</v>
      </c>
      <c r="EN19" s="183">
        <f t="shared" si="55"/>
        <v>0</v>
      </c>
      <c r="EO19" s="183">
        <f t="shared" si="55"/>
        <v>0</v>
      </c>
      <c r="EP19" s="183">
        <f t="shared" si="55"/>
        <v>0</v>
      </c>
      <c r="EQ19" s="183">
        <f t="shared" si="55"/>
        <v>0</v>
      </c>
      <c r="ER19" s="189">
        <f t="shared" si="55"/>
        <v>0</v>
      </c>
      <c r="ES19" s="16">
        <f>DY19*AW19</f>
        <v>0</v>
      </c>
      <c r="ET19" s="16">
        <f t="shared" ref="ET19:FL24" si="56">DZ19*AX19</f>
        <v>0</v>
      </c>
      <c r="EU19" s="16">
        <f t="shared" si="56"/>
        <v>0</v>
      </c>
      <c r="EV19" s="16">
        <f t="shared" si="56"/>
        <v>0</v>
      </c>
      <c r="EW19" s="16">
        <f t="shared" si="56"/>
        <v>0</v>
      </c>
      <c r="EX19" s="16">
        <f t="shared" si="56"/>
        <v>0</v>
      </c>
      <c r="EY19" s="16">
        <f t="shared" si="56"/>
        <v>0</v>
      </c>
      <c r="EZ19" s="16">
        <f t="shared" si="56"/>
        <v>0</v>
      </c>
      <c r="FA19" s="16">
        <f t="shared" si="56"/>
        <v>0</v>
      </c>
      <c r="FB19" s="16">
        <f t="shared" si="56"/>
        <v>0</v>
      </c>
      <c r="FC19" s="16">
        <f t="shared" si="56"/>
        <v>0</v>
      </c>
      <c r="FD19" s="16">
        <f t="shared" si="56"/>
        <v>0</v>
      </c>
      <c r="FE19" s="16">
        <f t="shared" si="56"/>
        <v>0</v>
      </c>
      <c r="FF19" s="16">
        <f t="shared" si="56"/>
        <v>0</v>
      </c>
      <c r="FG19" s="16">
        <f t="shared" si="56"/>
        <v>0</v>
      </c>
      <c r="FH19" s="16">
        <f t="shared" si="56"/>
        <v>0</v>
      </c>
      <c r="FI19" s="16">
        <f t="shared" si="56"/>
        <v>0</v>
      </c>
      <c r="FJ19" s="16">
        <f t="shared" si="56"/>
        <v>0</v>
      </c>
      <c r="FK19" s="16">
        <f t="shared" si="56"/>
        <v>0</v>
      </c>
      <c r="FL19" s="16">
        <f t="shared" si="56"/>
        <v>0</v>
      </c>
      <c r="FM19" s="16">
        <f>SUM(ES19:FL19)</f>
        <v>0</v>
      </c>
      <c r="FN19" s="16">
        <v>39.775852379323055</v>
      </c>
      <c r="FO19" s="16">
        <v>30.880153762112659</v>
      </c>
      <c r="FP19" s="16">
        <v>26.415966518519792</v>
      </c>
      <c r="FQ19" s="16">
        <v>28.2555412866942</v>
      </c>
      <c r="FR19" s="16">
        <v>26.932342207540607</v>
      </c>
      <c r="FS19" s="16">
        <v>17.05862825600072</v>
      </c>
      <c r="FT19" s="16">
        <v>15.183203044049282</v>
      </c>
      <c r="FU19" s="16">
        <v>14.322983319748673</v>
      </c>
      <c r="FV19" s="16">
        <v>15.447497661365762</v>
      </c>
      <c r="FW19" s="16">
        <v>11.83129331148055</v>
      </c>
      <c r="FX19" s="16">
        <v>18.925041170451312</v>
      </c>
      <c r="FY19" s="16"/>
      <c r="FZ19" s="16"/>
      <c r="GA19" s="16">
        <v>14.123777398502911</v>
      </c>
      <c r="GB19" s="16"/>
      <c r="GC19" s="16"/>
      <c r="GD19" s="16"/>
      <c r="GE19" s="16"/>
      <c r="GF19" s="16"/>
      <c r="GG19" s="16"/>
      <c r="GH19" s="195">
        <f>(AW19+BQ19)*(FN19-(FN19*(1+DE19)))</f>
        <v>0</v>
      </c>
      <c r="GI19" s="195">
        <f t="shared" ref="GI19:HA19" si="57">(AX19+BR19)*(FO19-(FO19*(1+DF19)))</f>
        <v>0</v>
      </c>
      <c r="GJ19" s="195">
        <f t="shared" si="57"/>
        <v>0</v>
      </c>
      <c r="GK19" s="195">
        <f t="shared" si="57"/>
        <v>0</v>
      </c>
      <c r="GL19" s="195">
        <f t="shared" si="57"/>
        <v>0</v>
      </c>
      <c r="GM19" s="195">
        <f t="shared" si="57"/>
        <v>0</v>
      </c>
      <c r="GN19" s="195">
        <f t="shared" si="57"/>
        <v>0</v>
      </c>
      <c r="GO19" s="195">
        <f t="shared" si="57"/>
        <v>0</v>
      </c>
      <c r="GP19" s="195">
        <f t="shared" si="57"/>
        <v>0</v>
      </c>
      <c r="GQ19" s="195">
        <f t="shared" si="57"/>
        <v>0</v>
      </c>
      <c r="GR19" s="195">
        <f t="shared" si="57"/>
        <v>0</v>
      </c>
      <c r="GS19" s="195">
        <f t="shared" si="57"/>
        <v>0</v>
      </c>
      <c r="GT19" s="195">
        <f t="shared" si="57"/>
        <v>0</v>
      </c>
      <c r="GU19" s="195">
        <f t="shared" si="57"/>
        <v>0</v>
      </c>
      <c r="GV19" s="195">
        <f t="shared" si="57"/>
        <v>0</v>
      </c>
      <c r="GW19" s="195">
        <f t="shared" si="57"/>
        <v>0</v>
      </c>
      <c r="GX19" s="195">
        <f t="shared" si="57"/>
        <v>0</v>
      </c>
      <c r="GY19" s="195">
        <f t="shared" si="57"/>
        <v>0</v>
      </c>
      <c r="GZ19" s="195">
        <f t="shared" si="57"/>
        <v>0</v>
      </c>
      <c r="HA19" s="195">
        <f t="shared" si="57"/>
        <v>0</v>
      </c>
      <c r="HB19" s="194">
        <f>SUM(GH19:HA19)</f>
        <v>0</v>
      </c>
    </row>
    <row r="20" spans="1:252" ht="15.75" thickBot="1" x14ac:dyDescent="0.3">
      <c r="G20" s="37" t="s">
        <v>74</v>
      </c>
      <c r="H20" s="124" t="s">
        <v>30</v>
      </c>
      <c r="I20" s="135"/>
      <c r="J20" s="125"/>
      <c r="K20" s="125">
        <v>28.926823216031032</v>
      </c>
      <c r="L20" s="125"/>
      <c r="M20" s="125"/>
      <c r="N20" s="125"/>
      <c r="O20" s="125"/>
      <c r="P20" s="125"/>
      <c r="Q20" s="23"/>
      <c r="R20" s="23">
        <v>10.077486339993728</v>
      </c>
      <c r="S20" s="23">
        <v>18.4945796448972</v>
      </c>
      <c r="T20" s="23">
        <v>14.13137292017319</v>
      </c>
      <c r="U20" s="23">
        <v>15.967553528361877</v>
      </c>
      <c r="V20" s="23">
        <v>14.626126006371658</v>
      </c>
      <c r="W20" s="23">
        <v>10.367940728580532</v>
      </c>
      <c r="X20" s="23"/>
      <c r="Y20" s="23"/>
      <c r="Z20" s="23"/>
      <c r="AA20" s="23"/>
      <c r="AB20" s="151"/>
      <c r="AC20" s="156"/>
      <c r="AD20" s="144"/>
      <c r="AE20" s="11">
        <v>-1.9964617216320666</v>
      </c>
      <c r="AF20" s="144"/>
      <c r="AG20" s="144"/>
      <c r="AH20" s="144"/>
      <c r="AI20" s="144"/>
      <c r="AJ20" s="144"/>
      <c r="AK20" s="11">
        <v>-1.3579826890188398</v>
      </c>
      <c r="AL20" s="11">
        <v>-0.24152690353913259</v>
      </c>
      <c r="AM20" s="24"/>
      <c r="AN20" s="11">
        <v>-0.7741135088541321</v>
      </c>
      <c r="AO20" s="24"/>
      <c r="AP20" s="11">
        <v>-1.2353875458571664</v>
      </c>
      <c r="AQ20" s="11">
        <v>-1.6144472370227569</v>
      </c>
      <c r="AR20" s="24"/>
      <c r="AS20" s="24"/>
      <c r="AT20" s="24"/>
      <c r="AU20" s="24"/>
      <c r="AV20" s="161"/>
      <c r="AW20" s="165">
        <f>'Thai input'!G52</f>
        <v>0</v>
      </c>
      <c r="AX20" s="165">
        <f>'Thai input'!H52</f>
        <v>0</v>
      </c>
      <c r="AY20" s="165">
        <f>'Thai input'!I52</f>
        <v>3168921</v>
      </c>
      <c r="AZ20" s="165">
        <f>'Thai input'!J52</f>
        <v>0</v>
      </c>
      <c r="BA20" s="165">
        <f>'Thai input'!K52</f>
        <v>0</v>
      </c>
      <c r="BB20" s="165">
        <f>'Thai input'!L52</f>
        <v>0</v>
      </c>
      <c r="BC20" s="165">
        <f>'Thai input'!M52</f>
        <v>0</v>
      </c>
      <c r="BD20" s="165">
        <f>'Thai input'!N52</f>
        <v>0</v>
      </c>
      <c r="BE20" s="165">
        <f>'Thai input'!O52</f>
        <v>163962</v>
      </c>
      <c r="BF20" s="165">
        <f>'Thai input'!P52</f>
        <v>657271</v>
      </c>
      <c r="BG20" s="165">
        <f>'Thai input'!Q52</f>
        <v>1593815</v>
      </c>
      <c r="BH20" s="165">
        <f>'Thai input'!R52</f>
        <v>692173</v>
      </c>
      <c r="BI20" s="165">
        <f>'Thai input'!S52</f>
        <v>98989</v>
      </c>
      <c r="BJ20" s="165">
        <f>'Thai input'!T52</f>
        <v>1025372</v>
      </c>
      <c r="BK20" s="165">
        <f>'Thai input'!U52</f>
        <v>167140</v>
      </c>
      <c r="BL20" s="165">
        <f>'Thai input'!V52</f>
        <v>0</v>
      </c>
      <c r="BM20" s="165">
        <f>'Thai input'!W52</f>
        <v>0</v>
      </c>
      <c r="BN20" s="165">
        <f>'Thai input'!X52</f>
        <v>0</v>
      </c>
      <c r="BO20" s="165">
        <f>'Thai input'!Y52</f>
        <v>0</v>
      </c>
      <c r="BP20" s="165">
        <f>'Thai input'!Z52</f>
        <v>0</v>
      </c>
      <c r="BQ20" s="167">
        <f>AW20*'Thai input'!$K5</f>
        <v>0</v>
      </c>
      <c r="BR20" s="16">
        <f>AX20*'Thai input'!$K5</f>
        <v>0</v>
      </c>
      <c r="BS20" s="16">
        <f>AY20*'Thai input'!$K5</f>
        <v>659135.56799999997</v>
      </c>
      <c r="BT20" s="16">
        <f>AZ20*'Thai input'!$K5</f>
        <v>0</v>
      </c>
      <c r="BU20" s="16">
        <f>BA20*'Thai input'!$K5</f>
        <v>0</v>
      </c>
      <c r="BV20" s="16">
        <f>BB20*'Thai input'!$K5</f>
        <v>0</v>
      </c>
      <c r="BW20" s="16">
        <f>BC20*'Thai input'!$K5</f>
        <v>0</v>
      </c>
      <c r="BX20" s="16">
        <f>BD20*'Thai input'!$K5</f>
        <v>0</v>
      </c>
      <c r="BY20" s="16">
        <f>BE20*'Thai input'!$K5</f>
        <v>34104.095999999998</v>
      </c>
      <c r="BZ20" s="16">
        <f>BF20*'Thai input'!$K5</f>
        <v>136712.36799999999</v>
      </c>
      <c r="CA20" s="16">
        <f>BG20*'Thai input'!$K5</f>
        <v>331513.51999999996</v>
      </c>
      <c r="CB20" s="16">
        <f>BH20*'Thai input'!$K5</f>
        <v>143971.984</v>
      </c>
      <c r="CC20" s="16">
        <f>BI20*'Thai input'!$K5</f>
        <v>20589.712</v>
      </c>
      <c r="CD20" s="16">
        <f>BJ20*'Thai input'!$K5</f>
        <v>213277.37599999999</v>
      </c>
      <c r="CE20" s="16">
        <f>BK20*'Thai input'!$K5</f>
        <v>34765.119999999995</v>
      </c>
      <c r="CF20" s="16">
        <f>BL20*'Thai input'!$K5</f>
        <v>0</v>
      </c>
      <c r="CG20" s="16">
        <f>BM20*'Thai input'!$K5</f>
        <v>0</v>
      </c>
      <c r="CH20" s="16">
        <f>BN20*'Thai input'!$K5</f>
        <v>0</v>
      </c>
      <c r="CI20" s="16">
        <f>BO20*'Thai input'!$K5</f>
        <v>0</v>
      </c>
      <c r="CJ20" s="168">
        <f>BP20*'Thai input'!$K5</f>
        <v>0</v>
      </c>
      <c r="CK20" s="241"/>
      <c r="CL20" s="242"/>
      <c r="CM20" s="253">
        <v>28.926823216031032</v>
      </c>
      <c r="CN20" s="242"/>
      <c r="CO20" s="242"/>
      <c r="CP20" s="242"/>
      <c r="CQ20" s="242"/>
      <c r="CR20" s="242"/>
      <c r="CS20" s="242"/>
      <c r="CT20" s="255">
        <v>10.077486339993728</v>
      </c>
      <c r="CU20" s="255">
        <v>18.4945796448972</v>
      </c>
      <c r="CV20" s="255">
        <v>14.13137292017319</v>
      </c>
      <c r="CW20" s="255">
        <v>15.967553528361877</v>
      </c>
      <c r="CX20" s="255">
        <v>14.626126006371658</v>
      </c>
      <c r="CY20" s="255">
        <v>10.367940728580532</v>
      </c>
      <c r="CZ20" s="242"/>
      <c r="DA20" s="242"/>
      <c r="DB20" s="242"/>
      <c r="DC20" s="242"/>
      <c r="DD20" s="243"/>
      <c r="DE20" s="184">
        <f t="shared" ref="DE20:DE24" si="58">IFERROR((CK20-I20)/I20,0)</f>
        <v>0</v>
      </c>
      <c r="DF20" s="181">
        <f t="shared" si="54"/>
        <v>0</v>
      </c>
      <c r="DG20" s="181">
        <f t="shared" si="54"/>
        <v>0</v>
      </c>
      <c r="DH20" s="181">
        <f t="shared" si="54"/>
        <v>0</v>
      </c>
      <c r="DI20" s="181">
        <f t="shared" si="54"/>
        <v>0</v>
      </c>
      <c r="DJ20" s="181">
        <f t="shared" si="54"/>
        <v>0</v>
      </c>
      <c r="DK20" s="181">
        <f t="shared" si="54"/>
        <v>0</v>
      </c>
      <c r="DL20" s="181">
        <f t="shared" si="54"/>
        <v>0</v>
      </c>
      <c r="DM20" s="181">
        <f t="shared" si="54"/>
        <v>0</v>
      </c>
      <c r="DN20" s="181">
        <f t="shared" si="54"/>
        <v>0</v>
      </c>
      <c r="DO20" s="181">
        <f t="shared" si="54"/>
        <v>0</v>
      </c>
      <c r="DP20" s="181">
        <f t="shared" si="54"/>
        <v>0</v>
      </c>
      <c r="DQ20" s="181">
        <f t="shared" si="54"/>
        <v>0</v>
      </c>
      <c r="DR20" s="181">
        <f t="shared" si="54"/>
        <v>0</v>
      </c>
      <c r="DS20" s="181">
        <f t="shared" si="54"/>
        <v>0</v>
      </c>
      <c r="DT20" s="181">
        <f t="shared" si="54"/>
        <v>0</v>
      </c>
      <c r="DU20" s="181">
        <f t="shared" si="54"/>
        <v>0</v>
      </c>
      <c r="DV20" s="181">
        <f t="shared" si="54"/>
        <v>0</v>
      </c>
      <c r="DW20" s="181">
        <f t="shared" si="54"/>
        <v>0</v>
      </c>
      <c r="DX20" s="190">
        <f t="shared" si="54"/>
        <v>0</v>
      </c>
      <c r="DY20" s="184">
        <f t="shared" ref="DY20:DY24" si="59">DE20*AC20</f>
        <v>0</v>
      </c>
      <c r="DZ20" s="181">
        <f t="shared" ref="DZ20:DZ24" si="60">DF20*AD20</f>
        <v>0</v>
      </c>
      <c r="EA20" s="181">
        <f t="shared" ref="EA20:EA24" si="61">DG20*AE20</f>
        <v>0</v>
      </c>
      <c r="EB20" s="181">
        <f t="shared" ref="EB20:EB24" si="62">DH20*AF20</f>
        <v>0</v>
      </c>
      <c r="EC20" s="181">
        <f t="shared" ref="EC20:EC24" si="63">DI20*AG20</f>
        <v>0</v>
      </c>
      <c r="ED20" s="181">
        <f t="shared" ref="ED20:ED24" si="64">DJ20*AH20</f>
        <v>0</v>
      </c>
      <c r="EE20" s="181">
        <f t="shared" ref="EE20:EE24" si="65">DK20*AI20</f>
        <v>0</v>
      </c>
      <c r="EF20" s="181">
        <f t="shared" ref="EF20:EF24" si="66">DL20*AJ20</f>
        <v>0</v>
      </c>
      <c r="EG20" s="181">
        <f t="shared" ref="EG20:EG24" si="67">DM20*AK20</f>
        <v>0</v>
      </c>
      <c r="EH20" s="181">
        <f t="shared" ref="EH20:EH24" si="68">DN20*AL20</f>
        <v>0</v>
      </c>
      <c r="EI20" s="181">
        <f t="shared" ref="EI20:EI24" si="69">DO20*AM20</f>
        <v>0</v>
      </c>
      <c r="EJ20" s="181">
        <f t="shared" ref="EJ20:EJ24" si="70">DP20*AN20</f>
        <v>0</v>
      </c>
      <c r="EK20" s="181">
        <f t="shared" ref="EK20:EK24" si="71">DQ20*AO20</f>
        <v>0</v>
      </c>
      <c r="EL20" s="181">
        <f t="shared" ref="EL20:EL24" si="72">DR20*AP20</f>
        <v>0</v>
      </c>
      <c r="EM20" s="181">
        <f t="shared" ref="EM20:EM24" si="73">DS20*AQ20</f>
        <v>0</v>
      </c>
      <c r="EN20" s="181">
        <f t="shared" ref="EN20:EN24" si="74">DT20*AR20</f>
        <v>0</v>
      </c>
      <c r="EO20" s="181">
        <f t="shared" ref="EO20:EO24" si="75">DU20*AS20</f>
        <v>0</v>
      </c>
      <c r="EP20" s="181">
        <f t="shared" ref="EP20:EP24" si="76">DV20*AT20</f>
        <v>0</v>
      </c>
      <c r="EQ20" s="181">
        <f t="shared" ref="EQ20:EQ24" si="77">DW20*AU20</f>
        <v>0</v>
      </c>
      <c r="ER20" s="190">
        <f t="shared" ref="ER20:ER24" si="78">DX20*AV20</f>
        <v>0</v>
      </c>
      <c r="ES20" s="16">
        <f t="shared" ref="ES20:ES24" si="79">DY20*AW20</f>
        <v>0</v>
      </c>
      <c r="ET20" s="16">
        <f t="shared" si="56"/>
        <v>0</v>
      </c>
      <c r="EU20" s="16">
        <f t="shared" si="56"/>
        <v>0</v>
      </c>
      <c r="EV20" s="16">
        <f t="shared" si="56"/>
        <v>0</v>
      </c>
      <c r="EW20" s="16">
        <f t="shared" si="56"/>
        <v>0</v>
      </c>
      <c r="EX20" s="16">
        <f t="shared" si="56"/>
        <v>0</v>
      </c>
      <c r="EY20" s="16">
        <f t="shared" si="56"/>
        <v>0</v>
      </c>
      <c r="EZ20" s="16">
        <f t="shared" si="56"/>
        <v>0</v>
      </c>
      <c r="FA20" s="16">
        <f t="shared" si="56"/>
        <v>0</v>
      </c>
      <c r="FB20" s="16">
        <f t="shared" si="56"/>
        <v>0</v>
      </c>
      <c r="FC20" s="16">
        <f t="shared" si="56"/>
        <v>0</v>
      </c>
      <c r="FD20" s="16">
        <f t="shared" si="56"/>
        <v>0</v>
      </c>
      <c r="FE20" s="16">
        <f t="shared" si="56"/>
        <v>0</v>
      </c>
      <c r="FF20" s="16">
        <f t="shared" si="56"/>
        <v>0</v>
      </c>
      <c r="FG20" s="16">
        <f t="shared" si="56"/>
        <v>0</v>
      </c>
      <c r="FH20" s="16">
        <f t="shared" si="56"/>
        <v>0</v>
      </c>
      <c r="FI20" s="16">
        <f t="shared" si="56"/>
        <v>0</v>
      </c>
      <c r="FJ20" s="16">
        <f t="shared" si="56"/>
        <v>0</v>
      </c>
      <c r="FK20" s="16">
        <f t="shared" si="56"/>
        <v>0</v>
      </c>
      <c r="FL20" s="16">
        <f t="shared" si="56"/>
        <v>0</v>
      </c>
      <c r="FM20" s="16">
        <f t="shared" ref="FM20:FM24" si="80">SUM(ES20:FL20)</f>
        <v>0</v>
      </c>
      <c r="FN20" s="16"/>
      <c r="FO20" s="16"/>
      <c r="FP20" s="16">
        <v>28.926823216031032</v>
      </c>
      <c r="FQ20" s="16"/>
      <c r="FR20" s="16"/>
      <c r="FS20" s="16"/>
      <c r="FT20" s="16"/>
      <c r="FU20" s="16"/>
      <c r="FV20" s="16">
        <v>15.976377952755904</v>
      </c>
      <c r="FW20" s="16">
        <v>10.077486339993728</v>
      </c>
      <c r="FX20" s="16">
        <v>18.4945796448972</v>
      </c>
      <c r="FY20" s="16">
        <v>14.13137292017319</v>
      </c>
      <c r="FZ20" s="16">
        <v>15.967553528361877</v>
      </c>
      <c r="GA20" s="16">
        <v>14.626126006371658</v>
      </c>
      <c r="GB20" s="16">
        <v>10.367940728580532</v>
      </c>
      <c r="GC20" s="16"/>
      <c r="GD20" s="16"/>
      <c r="GE20" s="16"/>
      <c r="GF20" s="16"/>
      <c r="GG20" s="16"/>
      <c r="GH20" s="195">
        <f t="shared" ref="GH20:GH21" si="81">(AW20+BQ20)*(FN20-(FN20*(1+DE20)))</f>
        <v>0</v>
      </c>
      <c r="GI20" s="195">
        <f t="shared" ref="GI20:GI21" si="82">(AX20+BR20)*(FO20-(FO20*(1+DF20)))</f>
        <v>0</v>
      </c>
      <c r="GJ20" s="195">
        <f t="shared" ref="GJ20:GJ21" si="83">(AY20+BS20)*(FP20-(FP20*(1+DG20)))</f>
        <v>0</v>
      </c>
      <c r="GK20" s="195">
        <f t="shared" ref="GK20:GK21" si="84">(AZ20+BT20)*(FQ20-(FQ20*(1+DH20)))</f>
        <v>0</v>
      </c>
      <c r="GL20" s="195">
        <f t="shared" ref="GL20:GL21" si="85">(BA20+BU20)*(FR20-(FR20*(1+DI20)))</f>
        <v>0</v>
      </c>
      <c r="GM20" s="195">
        <f t="shared" ref="GM20:GM21" si="86">(BB20+BV20)*(FS20-(FS20*(1+DJ20)))</f>
        <v>0</v>
      </c>
      <c r="GN20" s="195">
        <f t="shared" ref="GN20:GN21" si="87">(BC20+BW20)*(FT20-(FT20*(1+DK20)))</f>
        <v>0</v>
      </c>
      <c r="GO20" s="195">
        <f t="shared" ref="GO20:GO21" si="88">(BD20+BX20)*(FU20-(FU20*(1+DL20)))</f>
        <v>0</v>
      </c>
      <c r="GP20" s="195">
        <f t="shared" ref="GP20:GP21" si="89">(BE20+BY20)*(FV20-(FV20*(1+DM20)))</f>
        <v>0</v>
      </c>
      <c r="GQ20" s="195">
        <f t="shared" ref="GQ20:GQ21" si="90">(BF20+BZ20)*(FW20-(FW20*(1+DN20)))</f>
        <v>0</v>
      </c>
      <c r="GR20" s="195">
        <f t="shared" ref="GR20:GR21" si="91">(BG20+CA20)*(FX20-(FX20*(1+DO20)))</f>
        <v>0</v>
      </c>
      <c r="GS20" s="195">
        <f t="shared" ref="GS20:GS21" si="92">(BH20+CB20)*(FY20-(FY20*(1+DP20)))</f>
        <v>0</v>
      </c>
      <c r="GT20" s="195">
        <f t="shared" ref="GT20:GT21" si="93">(BI20+CC20)*(FZ20-(FZ20*(1+DQ20)))</f>
        <v>0</v>
      </c>
      <c r="GU20" s="195">
        <f t="shared" ref="GU20:GU21" si="94">(BJ20+CD20)*(GA20-(GA20*(1+DR20)))</f>
        <v>0</v>
      </c>
      <c r="GV20" s="195">
        <f t="shared" ref="GV20:GV21" si="95">(BK20+CE20)*(GB20-(GB20*(1+DS20)))</f>
        <v>0</v>
      </c>
      <c r="GW20" s="195">
        <f t="shared" ref="GW20:GW21" si="96">(BL20+CF20)*(GC20-(GC20*(1+DT20)))</f>
        <v>0</v>
      </c>
      <c r="GX20" s="195">
        <f t="shared" ref="GX20:GX21" si="97">(BM20+CG20)*(GD20-(GD20*(1+DU20)))</f>
        <v>0</v>
      </c>
      <c r="GY20" s="195">
        <f t="shared" ref="GY20:GY21" si="98">(BN20+CH20)*(GE20-(GE20*(1+DV20)))</f>
        <v>0</v>
      </c>
      <c r="GZ20" s="195">
        <f t="shared" ref="GZ20:GZ21" si="99">(BO20+CI20)*(GF20-(GF20*(1+DW20)))</f>
        <v>0</v>
      </c>
      <c r="HA20" s="195">
        <f t="shared" ref="HA20:HA21" si="100">(BP20+CJ20)*(GG20-(GG20*(1+DX20)))</f>
        <v>0</v>
      </c>
      <c r="HB20" s="194">
        <f t="shared" ref="HB20:HB21" si="101">SUM(GH20:HA20)</f>
        <v>0</v>
      </c>
      <c r="HY20" s="539" t="s">
        <v>137</v>
      </c>
      <c r="HZ20" s="540"/>
      <c r="IA20" s="540"/>
      <c r="IB20" s="540"/>
      <c r="IC20" s="540"/>
      <c r="ID20" s="540"/>
      <c r="IE20" s="540"/>
      <c r="IF20" s="540"/>
      <c r="IG20" s="540"/>
      <c r="IH20" s="540"/>
      <c r="II20" s="540"/>
      <c r="IJ20" s="540"/>
      <c r="IK20" s="540"/>
      <c r="IL20" s="540"/>
      <c r="IM20" s="540"/>
      <c r="IN20" s="540"/>
      <c r="IO20" s="540"/>
      <c r="IP20" s="540"/>
      <c r="IQ20" s="540"/>
      <c r="IR20" s="541"/>
    </row>
    <row r="21" spans="1:252" ht="15.75" thickBot="1" x14ac:dyDescent="0.3">
      <c r="C21" t="s">
        <v>224</v>
      </c>
      <c r="G21" s="37" t="s">
        <v>74</v>
      </c>
      <c r="H21" s="124" t="s">
        <v>38</v>
      </c>
      <c r="I21" s="136"/>
      <c r="J21" s="137"/>
      <c r="K21" s="137">
        <v>29.479149059948661</v>
      </c>
      <c r="L21" s="137">
        <v>29.542317471848889</v>
      </c>
      <c r="M21" s="137"/>
      <c r="N21" s="137"/>
      <c r="O21" s="137"/>
      <c r="P21" s="137"/>
      <c r="Q21" s="25"/>
      <c r="R21" s="25"/>
      <c r="S21" s="25"/>
      <c r="T21" s="25"/>
      <c r="U21" s="25"/>
      <c r="V21" s="25">
        <v>12.524858109043448</v>
      </c>
      <c r="W21" s="25"/>
      <c r="X21" s="25"/>
      <c r="Y21" s="25">
        <v>14.302068492427839</v>
      </c>
      <c r="Z21" s="25">
        <v>14.132208560096787</v>
      </c>
      <c r="AA21" s="25">
        <v>10.486109047737465</v>
      </c>
      <c r="AB21" s="152">
        <v>10.029355963188261</v>
      </c>
      <c r="AC21" s="157"/>
      <c r="AD21" s="145"/>
      <c r="AE21" s="140">
        <v>-8.6036236984235931E-2</v>
      </c>
      <c r="AF21" s="140">
        <v>-0.27228653042776341</v>
      </c>
      <c r="AG21" s="145"/>
      <c r="AH21" s="145"/>
      <c r="AI21" s="145"/>
      <c r="AJ21" s="145"/>
      <c r="AK21" s="146"/>
      <c r="AL21" s="146"/>
      <c r="AM21" s="146"/>
      <c r="AN21" s="146"/>
      <c r="AO21" s="146"/>
      <c r="AP21" s="140">
        <v>-0.55996564997299236</v>
      </c>
      <c r="AQ21" s="146"/>
      <c r="AR21" s="140">
        <v>-0.61114499746997086</v>
      </c>
      <c r="AS21" s="140">
        <v>-0.99287033655828483</v>
      </c>
      <c r="AT21" s="140">
        <v>-0.61611378208246192</v>
      </c>
      <c r="AU21" s="140">
        <v>-1.1057394564139111</v>
      </c>
      <c r="AV21" s="162">
        <v>-0.62092537819194671</v>
      </c>
      <c r="AW21" s="165">
        <f>'Thai input'!G53</f>
        <v>0</v>
      </c>
      <c r="AX21" s="165">
        <f>'Thai input'!H53</f>
        <v>0</v>
      </c>
      <c r="AY21" s="165">
        <f>'Thai input'!I53</f>
        <v>864022</v>
      </c>
      <c r="AZ21" s="165">
        <f>'Thai input'!J53</f>
        <v>459199</v>
      </c>
      <c r="BA21" s="165">
        <f>'Thai input'!K53</f>
        <v>0</v>
      </c>
      <c r="BB21" s="165">
        <f>'Thai input'!L53</f>
        <v>0</v>
      </c>
      <c r="BC21" s="165">
        <f>'Thai input'!M53</f>
        <v>0</v>
      </c>
      <c r="BD21" s="165">
        <f>'Thai input'!N53</f>
        <v>0</v>
      </c>
      <c r="BE21" s="165">
        <f>'Thai input'!O53</f>
        <v>0</v>
      </c>
      <c r="BF21" s="165">
        <f>'Thai input'!P53</f>
        <v>0</v>
      </c>
      <c r="BG21" s="165">
        <f>'Thai input'!Q53</f>
        <v>0</v>
      </c>
      <c r="BH21" s="165">
        <f>'Thai input'!R53</f>
        <v>0</v>
      </c>
      <c r="BI21" s="165">
        <f>'Thai input'!S53</f>
        <v>0</v>
      </c>
      <c r="BJ21" s="165">
        <f>'Thai input'!T53</f>
        <v>0</v>
      </c>
      <c r="BK21" s="165">
        <f>'Thai input'!U53</f>
        <v>0</v>
      </c>
      <c r="BL21" s="165">
        <f>'Thai input'!V53</f>
        <v>52029</v>
      </c>
      <c r="BM21" s="165">
        <f>'Thai input'!W53</f>
        <v>176060</v>
      </c>
      <c r="BN21" s="165">
        <f>'Thai input'!X53</f>
        <v>655390</v>
      </c>
      <c r="BO21" s="165">
        <f>'Thai input'!Y53</f>
        <v>3445036</v>
      </c>
      <c r="BP21" s="165">
        <f>'Thai input'!Z53</f>
        <v>1001763</v>
      </c>
      <c r="BQ21" s="178">
        <f>AW21*'Thai input'!$K6</f>
        <v>0</v>
      </c>
      <c r="BR21" s="179">
        <f>AX21*'Thai input'!$K6</f>
        <v>0</v>
      </c>
      <c r="BS21" s="179">
        <f>AY21*'Thai input'!$K6</f>
        <v>440651.22000000003</v>
      </c>
      <c r="BT21" s="179">
        <f>AZ21*'Thai input'!$K6</f>
        <v>234191.49</v>
      </c>
      <c r="BU21" s="179">
        <f>BA21*'Thai input'!$K6</f>
        <v>0</v>
      </c>
      <c r="BV21" s="179">
        <f>BB21*'Thai input'!$K6</f>
        <v>0</v>
      </c>
      <c r="BW21" s="179">
        <f>BC21*'Thai input'!$K6</f>
        <v>0</v>
      </c>
      <c r="BX21" s="179">
        <f>BD21*'Thai input'!$K6</f>
        <v>0</v>
      </c>
      <c r="BY21" s="179">
        <f>BE21*'Thai input'!$K6</f>
        <v>0</v>
      </c>
      <c r="BZ21" s="179">
        <f>BF21*'Thai input'!$K6</f>
        <v>0</v>
      </c>
      <c r="CA21" s="179">
        <f>BG21*'Thai input'!$K6</f>
        <v>0</v>
      </c>
      <c r="CB21" s="179">
        <f>BH21*'Thai input'!$K6</f>
        <v>0</v>
      </c>
      <c r="CC21" s="179">
        <f>BI21*'Thai input'!$K6</f>
        <v>0</v>
      </c>
      <c r="CD21" s="179">
        <f>BJ21*'Thai input'!$K6</f>
        <v>0</v>
      </c>
      <c r="CE21" s="179">
        <f>BK21*'Thai input'!$K6</f>
        <v>0</v>
      </c>
      <c r="CF21" s="179">
        <f>BL21*'Thai input'!$K6</f>
        <v>26534.79</v>
      </c>
      <c r="CG21" s="179">
        <f>BM21*'Thai input'!$K6</f>
        <v>89790.6</v>
      </c>
      <c r="CH21" s="179">
        <f>BN21*'Thai input'!$K6</f>
        <v>334248.90000000002</v>
      </c>
      <c r="CI21" s="179">
        <f>BO21*'Thai input'!$K6</f>
        <v>1756968.36</v>
      </c>
      <c r="CJ21" s="180">
        <f>BP21*'Thai input'!$K6</f>
        <v>510899.13</v>
      </c>
      <c r="CK21" s="244"/>
      <c r="CL21" s="245"/>
      <c r="CM21" s="253">
        <v>29.479149059948661</v>
      </c>
      <c r="CN21" s="256">
        <v>29.542317471848889</v>
      </c>
      <c r="CO21" s="245"/>
      <c r="CP21" s="245"/>
      <c r="CQ21" s="245"/>
      <c r="CR21" s="245"/>
      <c r="CS21" s="245"/>
      <c r="CT21" s="245"/>
      <c r="CU21" s="245"/>
      <c r="CV21" s="245"/>
      <c r="CW21" s="245"/>
      <c r="CX21" s="256">
        <v>12.524858109043448</v>
      </c>
      <c r="CY21" s="245"/>
      <c r="CZ21" s="245"/>
      <c r="DA21" s="256">
        <v>14.302068492427839</v>
      </c>
      <c r="DB21" s="256">
        <v>14.132208560096787</v>
      </c>
      <c r="DC21" s="256">
        <v>10.486109047737465</v>
      </c>
      <c r="DD21" s="261">
        <v>10.029355963188261</v>
      </c>
      <c r="DE21" s="185">
        <f t="shared" si="58"/>
        <v>0</v>
      </c>
      <c r="DF21" s="186">
        <f t="shared" si="54"/>
        <v>0</v>
      </c>
      <c r="DG21" s="186">
        <f t="shared" si="54"/>
        <v>0</v>
      </c>
      <c r="DH21" s="186">
        <f t="shared" si="54"/>
        <v>0</v>
      </c>
      <c r="DI21" s="186">
        <f t="shared" si="54"/>
        <v>0</v>
      </c>
      <c r="DJ21" s="186">
        <f t="shared" si="54"/>
        <v>0</v>
      </c>
      <c r="DK21" s="186">
        <f t="shared" si="54"/>
        <v>0</v>
      </c>
      <c r="DL21" s="186">
        <f t="shared" si="54"/>
        <v>0</v>
      </c>
      <c r="DM21" s="186">
        <f t="shared" si="54"/>
        <v>0</v>
      </c>
      <c r="DN21" s="186">
        <f t="shared" si="54"/>
        <v>0</v>
      </c>
      <c r="DO21" s="186">
        <f t="shared" si="54"/>
        <v>0</v>
      </c>
      <c r="DP21" s="186">
        <f t="shared" si="54"/>
        <v>0</v>
      </c>
      <c r="DQ21" s="186">
        <f t="shared" si="54"/>
        <v>0</v>
      </c>
      <c r="DR21" s="186">
        <f t="shared" si="54"/>
        <v>0</v>
      </c>
      <c r="DS21" s="186">
        <f t="shared" si="54"/>
        <v>0</v>
      </c>
      <c r="DT21" s="186">
        <f t="shared" si="54"/>
        <v>0</v>
      </c>
      <c r="DU21" s="186">
        <f t="shared" si="54"/>
        <v>0</v>
      </c>
      <c r="DV21" s="186">
        <f t="shared" si="54"/>
        <v>0</v>
      </c>
      <c r="DW21" s="186">
        <f t="shared" si="54"/>
        <v>0</v>
      </c>
      <c r="DX21" s="191">
        <f t="shared" si="54"/>
        <v>0</v>
      </c>
      <c r="DY21" s="185">
        <f t="shared" si="59"/>
        <v>0</v>
      </c>
      <c r="DZ21" s="186">
        <f t="shared" si="60"/>
        <v>0</v>
      </c>
      <c r="EA21" s="186">
        <f t="shared" si="61"/>
        <v>0</v>
      </c>
      <c r="EB21" s="186">
        <f t="shared" si="62"/>
        <v>0</v>
      </c>
      <c r="EC21" s="186">
        <f t="shared" si="63"/>
        <v>0</v>
      </c>
      <c r="ED21" s="186">
        <f t="shared" si="64"/>
        <v>0</v>
      </c>
      <c r="EE21" s="186">
        <f t="shared" si="65"/>
        <v>0</v>
      </c>
      <c r="EF21" s="186">
        <f t="shared" si="66"/>
        <v>0</v>
      </c>
      <c r="EG21" s="186">
        <f t="shared" si="67"/>
        <v>0</v>
      </c>
      <c r="EH21" s="186">
        <f t="shared" si="68"/>
        <v>0</v>
      </c>
      <c r="EI21" s="186">
        <f t="shared" si="69"/>
        <v>0</v>
      </c>
      <c r="EJ21" s="186">
        <f t="shared" si="70"/>
        <v>0</v>
      </c>
      <c r="EK21" s="186">
        <f t="shared" si="71"/>
        <v>0</v>
      </c>
      <c r="EL21" s="186">
        <f t="shared" si="72"/>
        <v>0</v>
      </c>
      <c r="EM21" s="186">
        <f t="shared" si="73"/>
        <v>0</v>
      </c>
      <c r="EN21" s="186">
        <f t="shared" si="74"/>
        <v>0</v>
      </c>
      <c r="EO21" s="186">
        <f t="shared" si="75"/>
        <v>0</v>
      </c>
      <c r="EP21" s="186">
        <f t="shared" si="76"/>
        <v>0</v>
      </c>
      <c r="EQ21" s="186">
        <f t="shared" si="77"/>
        <v>0</v>
      </c>
      <c r="ER21" s="191">
        <f t="shared" si="78"/>
        <v>0</v>
      </c>
      <c r="ES21" s="16">
        <f t="shared" si="79"/>
        <v>0</v>
      </c>
      <c r="ET21" s="16">
        <f t="shared" si="56"/>
        <v>0</v>
      </c>
      <c r="EU21" s="16">
        <f t="shared" si="56"/>
        <v>0</v>
      </c>
      <c r="EV21" s="16">
        <f t="shared" si="56"/>
        <v>0</v>
      </c>
      <c r="EW21" s="16">
        <f t="shared" si="56"/>
        <v>0</v>
      </c>
      <c r="EX21" s="16">
        <f t="shared" si="56"/>
        <v>0</v>
      </c>
      <c r="EY21" s="16">
        <f t="shared" si="56"/>
        <v>0</v>
      </c>
      <c r="EZ21" s="16">
        <f t="shared" si="56"/>
        <v>0</v>
      </c>
      <c r="FA21" s="16">
        <f t="shared" si="56"/>
        <v>0</v>
      </c>
      <c r="FB21" s="16">
        <f t="shared" si="56"/>
        <v>0</v>
      </c>
      <c r="FC21" s="16">
        <f t="shared" si="56"/>
        <v>0</v>
      </c>
      <c r="FD21" s="16">
        <f t="shared" si="56"/>
        <v>0</v>
      </c>
      <c r="FE21" s="16">
        <f t="shared" si="56"/>
        <v>0</v>
      </c>
      <c r="FF21" s="16">
        <f t="shared" si="56"/>
        <v>0</v>
      </c>
      <c r="FG21" s="16">
        <f t="shared" si="56"/>
        <v>0</v>
      </c>
      <c r="FH21" s="16">
        <f t="shared" si="56"/>
        <v>0</v>
      </c>
      <c r="FI21" s="16">
        <f t="shared" si="56"/>
        <v>0</v>
      </c>
      <c r="FJ21" s="16">
        <f t="shared" si="56"/>
        <v>0</v>
      </c>
      <c r="FK21" s="16">
        <f t="shared" si="56"/>
        <v>0</v>
      </c>
      <c r="FL21" s="16">
        <f t="shared" si="56"/>
        <v>0</v>
      </c>
      <c r="FM21" s="16">
        <f t="shared" si="80"/>
        <v>0</v>
      </c>
      <c r="FN21" s="16"/>
      <c r="FO21" s="16"/>
      <c r="FP21" s="16">
        <v>29.479149059948661</v>
      </c>
      <c r="FQ21" s="16">
        <v>29.542317471848889</v>
      </c>
      <c r="FR21" s="16"/>
      <c r="FS21" s="16"/>
      <c r="FT21" s="16"/>
      <c r="FU21" s="16"/>
      <c r="FV21" s="16"/>
      <c r="FW21" s="16"/>
      <c r="FX21" s="16"/>
      <c r="FY21" s="16"/>
      <c r="FZ21" s="16"/>
      <c r="GA21" s="16">
        <v>12.524858109043448</v>
      </c>
      <c r="GB21" s="16"/>
      <c r="GC21" s="16">
        <v>0</v>
      </c>
      <c r="GD21" s="16">
        <v>14.302068492427839</v>
      </c>
      <c r="GE21" s="16">
        <v>14.132208560096787</v>
      </c>
      <c r="GF21" s="16">
        <v>10.486109047737465</v>
      </c>
      <c r="GG21" s="16">
        <v>10.029355963188261</v>
      </c>
      <c r="GH21" s="195">
        <f t="shared" si="81"/>
        <v>0</v>
      </c>
      <c r="GI21" s="195">
        <f t="shared" si="82"/>
        <v>0</v>
      </c>
      <c r="GJ21" s="195">
        <f t="shared" si="83"/>
        <v>0</v>
      </c>
      <c r="GK21" s="195">
        <f t="shared" si="84"/>
        <v>0</v>
      </c>
      <c r="GL21" s="195">
        <f t="shared" si="85"/>
        <v>0</v>
      </c>
      <c r="GM21" s="195">
        <f t="shared" si="86"/>
        <v>0</v>
      </c>
      <c r="GN21" s="195">
        <f t="shared" si="87"/>
        <v>0</v>
      </c>
      <c r="GO21" s="195">
        <f t="shared" si="88"/>
        <v>0</v>
      </c>
      <c r="GP21" s="195">
        <f t="shared" si="89"/>
        <v>0</v>
      </c>
      <c r="GQ21" s="195">
        <f t="shared" si="90"/>
        <v>0</v>
      </c>
      <c r="GR21" s="195">
        <f t="shared" si="91"/>
        <v>0</v>
      </c>
      <c r="GS21" s="195">
        <f t="shared" si="92"/>
        <v>0</v>
      </c>
      <c r="GT21" s="195">
        <f t="shared" si="93"/>
        <v>0</v>
      </c>
      <c r="GU21" s="195">
        <f t="shared" si="94"/>
        <v>0</v>
      </c>
      <c r="GV21" s="195">
        <f t="shared" si="95"/>
        <v>0</v>
      </c>
      <c r="GW21" s="195">
        <f t="shared" si="96"/>
        <v>0</v>
      </c>
      <c r="GX21" s="195">
        <f t="shared" si="97"/>
        <v>0</v>
      </c>
      <c r="GY21" s="195">
        <f t="shared" si="98"/>
        <v>0</v>
      </c>
      <c r="GZ21" s="195">
        <f t="shared" si="99"/>
        <v>0</v>
      </c>
      <c r="HA21" s="195">
        <f t="shared" si="100"/>
        <v>0</v>
      </c>
      <c r="HB21" s="194">
        <f t="shared" si="101"/>
        <v>0</v>
      </c>
      <c r="HY21" s="126" t="s">
        <v>59</v>
      </c>
      <c r="HZ21" s="127" t="s">
        <v>60</v>
      </c>
      <c r="IA21" s="127" t="s">
        <v>62</v>
      </c>
      <c r="IB21" s="127" t="s">
        <v>61</v>
      </c>
      <c r="IC21" s="127" t="s">
        <v>17</v>
      </c>
      <c r="ID21" s="127" t="s">
        <v>18</v>
      </c>
      <c r="IE21" s="127" t="s">
        <v>63</v>
      </c>
      <c r="IF21" s="127" t="s">
        <v>64</v>
      </c>
      <c r="IG21" s="127" t="s">
        <v>22</v>
      </c>
      <c r="IH21" s="127" t="s">
        <v>70</v>
      </c>
      <c r="II21" s="127" t="s">
        <v>65</v>
      </c>
      <c r="IJ21" s="127" t="s">
        <v>66</v>
      </c>
      <c r="IK21" s="127" t="s">
        <v>35</v>
      </c>
      <c r="IL21" s="127" t="s">
        <v>36</v>
      </c>
      <c r="IM21" s="127" t="s">
        <v>37</v>
      </c>
      <c r="IN21" s="127" t="s">
        <v>39</v>
      </c>
      <c r="IO21" s="127" t="s">
        <v>42</v>
      </c>
      <c r="IP21" s="127" t="s">
        <v>67</v>
      </c>
      <c r="IQ21" s="127" t="s">
        <v>68</v>
      </c>
      <c r="IR21" s="128" t="s">
        <v>69</v>
      </c>
    </row>
    <row r="22" spans="1:252" ht="15.75" thickBot="1" x14ac:dyDescent="0.3">
      <c r="C22">
        <v>169</v>
      </c>
      <c r="G22" s="38" t="s">
        <v>75</v>
      </c>
      <c r="H22" s="123" t="s">
        <v>12</v>
      </c>
      <c r="I22" s="131">
        <v>24</v>
      </c>
      <c r="J22" s="132">
        <v>36</v>
      </c>
      <c r="K22" s="132">
        <v>20</v>
      </c>
      <c r="L22" s="132">
        <v>29</v>
      </c>
      <c r="M22" s="132">
        <v>39</v>
      </c>
      <c r="N22" s="132">
        <v>20</v>
      </c>
      <c r="O22" s="132">
        <v>17</v>
      </c>
      <c r="P22" s="133">
        <v>27</v>
      </c>
      <c r="Q22" s="132"/>
      <c r="R22" s="132">
        <v>46</v>
      </c>
      <c r="S22" s="132">
        <v>33</v>
      </c>
      <c r="T22" s="132"/>
      <c r="U22" s="132"/>
      <c r="V22" s="132">
        <v>40</v>
      </c>
      <c r="W22" s="132"/>
      <c r="X22" s="133"/>
      <c r="Y22" s="132"/>
      <c r="Z22" s="132"/>
      <c r="AA22" s="132"/>
      <c r="AB22" s="153"/>
      <c r="AC22" s="158">
        <v>1.5134459852258759</v>
      </c>
      <c r="AD22" s="147">
        <v>2.2286841367485297</v>
      </c>
      <c r="AE22" s="147">
        <v>1.0458315627822277</v>
      </c>
      <c r="AF22" s="147">
        <v>2.5205713031179724</v>
      </c>
      <c r="AG22" s="147">
        <v>0.39001739713769429</v>
      </c>
      <c r="AH22" s="147">
        <v>2.0923063652073508</v>
      </c>
      <c r="AI22" s="130">
        <v>1.0808109516444455</v>
      </c>
      <c r="AJ22" s="148">
        <v>0</v>
      </c>
      <c r="AK22" s="130">
        <v>3.5546036599906099</v>
      </c>
      <c r="AL22" s="130">
        <v>2.4336686676607262</v>
      </c>
      <c r="AM22" s="149">
        <v>0</v>
      </c>
      <c r="AN22" s="148"/>
      <c r="AO22" s="148"/>
      <c r="AP22" s="130">
        <v>5.3823458058405578</v>
      </c>
      <c r="AQ22" s="148"/>
      <c r="AR22" s="148"/>
      <c r="AS22" s="148"/>
      <c r="AT22" s="148"/>
      <c r="AU22" s="148"/>
      <c r="AV22" s="163"/>
      <c r="AW22" s="131">
        <f>AW19</f>
        <v>4774385</v>
      </c>
      <c r="AX22" s="132">
        <f t="shared" ref="AX22:BP24" si="102">AX19</f>
        <v>16208118</v>
      </c>
      <c r="AY22" s="132">
        <f t="shared" si="102"/>
        <v>11718064</v>
      </c>
      <c r="AZ22" s="132">
        <f t="shared" si="102"/>
        <v>14525525</v>
      </c>
      <c r="BA22" s="132">
        <f t="shared" si="102"/>
        <v>10107608</v>
      </c>
      <c r="BB22" s="132">
        <f t="shared" si="102"/>
        <v>8347335</v>
      </c>
      <c r="BC22" s="132">
        <f t="shared" si="102"/>
        <v>9520310</v>
      </c>
      <c r="BD22" s="132">
        <f t="shared" si="102"/>
        <v>3177242</v>
      </c>
      <c r="BE22" s="132">
        <f t="shared" si="102"/>
        <v>445675</v>
      </c>
      <c r="BF22" s="132">
        <f t="shared" si="102"/>
        <v>49250215</v>
      </c>
      <c r="BG22" s="132">
        <f t="shared" si="102"/>
        <v>3516607</v>
      </c>
      <c r="BH22" s="132">
        <f t="shared" si="102"/>
        <v>0</v>
      </c>
      <c r="BI22" s="132">
        <f t="shared" si="102"/>
        <v>0</v>
      </c>
      <c r="BJ22" s="132">
        <f t="shared" si="102"/>
        <v>2691868</v>
      </c>
      <c r="BK22" s="132">
        <f t="shared" si="102"/>
        <v>0</v>
      </c>
      <c r="BL22" s="132">
        <f t="shared" si="102"/>
        <v>0</v>
      </c>
      <c r="BM22" s="132">
        <f t="shared" si="102"/>
        <v>0</v>
      </c>
      <c r="BN22" s="132">
        <f t="shared" si="102"/>
        <v>0</v>
      </c>
      <c r="BO22" s="132">
        <f t="shared" si="102"/>
        <v>0</v>
      </c>
      <c r="BP22" s="153">
        <f t="shared" si="102"/>
        <v>0</v>
      </c>
      <c r="BQ22" s="138">
        <f>BQ19</f>
        <v>205298.55499999999</v>
      </c>
      <c r="BR22" s="129">
        <f t="shared" ref="BR22:CJ24" si="103">BR19</f>
        <v>696949.07399999991</v>
      </c>
      <c r="BS22" s="129">
        <f t="shared" si="103"/>
        <v>503876.75199999998</v>
      </c>
      <c r="BT22" s="129">
        <f t="shared" si="103"/>
        <v>624597.57499999995</v>
      </c>
      <c r="BU22" s="129">
        <f t="shared" si="103"/>
        <v>434627.14399999997</v>
      </c>
      <c r="BV22" s="129">
        <f t="shared" si="103"/>
        <v>358935.40499999997</v>
      </c>
      <c r="BW22" s="129">
        <f t="shared" si="103"/>
        <v>409373.32999999996</v>
      </c>
      <c r="BX22" s="129">
        <f t="shared" si="103"/>
        <v>136621.40599999999</v>
      </c>
      <c r="BY22" s="129">
        <f t="shared" si="103"/>
        <v>19164.024999999998</v>
      </c>
      <c r="BZ22" s="129">
        <f t="shared" si="103"/>
        <v>2117759.2449999996</v>
      </c>
      <c r="CA22" s="129">
        <f t="shared" si="103"/>
        <v>151214.101</v>
      </c>
      <c r="CB22" s="129">
        <f t="shared" si="103"/>
        <v>0</v>
      </c>
      <c r="CC22" s="129">
        <f t="shared" si="103"/>
        <v>0</v>
      </c>
      <c r="CD22" s="129">
        <f t="shared" si="103"/>
        <v>115750.32399999999</v>
      </c>
      <c r="CE22" s="129">
        <f t="shared" si="103"/>
        <v>0</v>
      </c>
      <c r="CF22" s="129">
        <f t="shared" si="103"/>
        <v>0</v>
      </c>
      <c r="CG22" s="129">
        <f t="shared" si="103"/>
        <v>0</v>
      </c>
      <c r="CH22" s="129">
        <f t="shared" si="103"/>
        <v>0</v>
      </c>
      <c r="CI22" s="129">
        <f t="shared" si="103"/>
        <v>0</v>
      </c>
      <c r="CJ22" s="177">
        <f t="shared" si="103"/>
        <v>0</v>
      </c>
      <c r="CK22" s="260">
        <v>24</v>
      </c>
      <c r="CL22" s="257">
        <v>36</v>
      </c>
      <c r="CM22" s="257">
        <v>20</v>
      </c>
      <c r="CN22" s="257">
        <v>29</v>
      </c>
      <c r="CO22" s="257">
        <v>39</v>
      </c>
      <c r="CP22" s="257">
        <v>20</v>
      </c>
      <c r="CQ22" s="257">
        <v>17</v>
      </c>
      <c r="CR22" s="257">
        <v>27</v>
      </c>
      <c r="CS22" s="246"/>
      <c r="CT22" s="257">
        <v>46</v>
      </c>
      <c r="CU22" s="257">
        <v>33</v>
      </c>
      <c r="CV22" s="246"/>
      <c r="CW22" s="246"/>
      <c r="CX22" s="257">
        <v>40</v>
      </c>
      <c r="CY22" s="246"/>
      <c r="CZ22" s="246"/>
      <c r="DA22" s="246"/>
      <c r="DB22" s="246"/>
      <c r="DC22" s="246"/>
      <c r="DD22" s="247"/>
      <c r="DE22" s="187">
        <f t="shared" si="58"/>
        <v>0</v>
      </c>
      <c r="DF22" s="188">
        <f t="shared" si="54"/>
        <v>0</v>
      </c>
      <c r="DG22" s="188">
        <f t="shared" si="54"/>
        <v>0</v>
      </c>
      <c r="DH22" s="188">
        <f t="shared" si="54"/>
        <v>0</v>
      </c>
      <c r="DI22" s="188">
        <f t="shared" si="54"/>
        <v>0</v>
      </c>
      <c r="DJ22" s="188">
        <f t="shared" si="54"/>
        <v>0</v>
      </c>
      <c r="DK22" s="188">
        <f t="shared" si="54"/>
        <v>0</v>
      </c>
      <c r="DL22" s="188">
        <f t="shared" si="54"/>
        <v>0</v>
      </c>
      <c r="DM22" s="188">
        <f t="shared" si="54"/>
        <v>0</v>
      </c>
      <c r="DN22" s="188">
        <f t="shared" si="54"/>
        <v>0</v>
      </c>
      <c r="DO22" s="188">
        <f t="shared" si="54"/>
        <v>0</v>
      </c>
      <c r="DP22" s="188">
        <f t="shared" si="54"/>
        <v>0</v>
      </c>
      <c r="DQ22" s="188">
        <f t="shared" si="54"/>
        <v>0</v>
      </c>
      <c r="DR22" s="188">
        <f t="shared" si="54"/>
        <v>0</v>
      </c>
      <c r="DS22" s="188">
        <f t="shared" si="54"/>
        <v>0</v>
      </c>
      <c r="DT22" s="188">
        <f t="shared" si="54"/>
        <v>0</v>
      </c>
      <c r="DU22" s="188">
        <f t="shared" si="54"/>
        <v>0</v>
      </c>
      <c r="DV22" s="188">
        <f t="shared" si="54"/>
        <v>0</v>
      </c>
      <c r="DW22" s="188">
        <f t="shared" si="54"/>
        <v>0</v>
      </c>
      <c r="DX22" s="192">
        <f t="shared" si="54"/>
        <v>0</v>
      </c>
      <c r="DY22" s="187">
        <f t="shared" si="59"/>
        <v>0</v>
      </c>
      <c r="DZ22" s="188">
        <f t="shared" si="60"/>
        <v>0</v>
      </c>
      <c r="EA22" s="188">
        <f t="shared" si="61"/>
        <v>0</v>
      </c>
      <c r="EB22" s="188">
        <f t="shared" si="62"/>
        <v>0</v>
      </c>
      <c r="EC22" s="188">
        <f t="shared" si="63"/>
        <v>0</v>
      </c>
      <c r="ED22" s="188">
        <f t="shared" si="64"/>
        <v>0</v>
      </c>
      <c r="EE22" s="188">
        <f t="shared" si="65"/>
        <v>0</v>
      </c>
      <c r="EF22" s="188">
        <f t="shared" si="66"/>
        <v>0</v>
      </c>
      <c r="EG22" s="188">
        <f t="shared" si="67"/>
        <v>0</v>
      </c>
      <c r="EH22" s="188">
        <f t="shared" si="68"/>
        <v>0</v>
      </c>
      <c r="EI22" s="188">
        <f t="shared" si="69"/>
        <v>0</v>
      </c>
      <c r="EJ22" s="188">
        <f t="shared" si="70"/>
        <v>0</v>
      </c>
      <c r="EK22" s="188">
        <f t="shared" si="71"/>
        <v>0</v>
      </c>
      <c r="EL22" s="188">
        <f t="shared" si="72"/>
        <v>0</v>
      </c>
      <c r="EM22" s="188">
        <f t="shared" si="73"/>
        <v>0</v>
      </c>
      <c r="EN22" s="188">
        <f t="shared" si="74"/>
        <v>0</v>
      </c>
      <c r="EO22" s="188">
        <f t="shared" si="75"/>
        <v>0</v>
      </c>
      <c r="EP22" s="188">
        <f t="shared" si="76"/>
        <v>0</v>
      </c>
      <c r="EQ22" s="188">
        <f t="shared" si="77"/>
        <v>0</v>
      </c>
      <c r="ER22" s="192">
        <f t="shared" si="78"/>
        <v>0</v>
      </c>
      <c r="ES22" s="16">
        <f t="shared" si="79"/>
        <v>0</v>
      </c>
      <c r="ET22" s="16">
        <f t="shared" si="56"/>
        <v>0</v>
      </c>
      <c r="EU22" s="16">
        <f t="shared" si="56"/>
        <v>0</v>
      </c>
      <c r="EV22" s="16">
        <f t="shared" si="56"/>
        <v>0</v>
      </c>
      <c r="EW22" s="16">
        <f t="shared" si="56"/>
        <v>0</v>
      </c>
      <c r="EX22" s="16">
        <f t="shared" si="56"/>
        <v>0</v>
      </c>
      <c r="EY22" s="16">
        <f t="shared" si="56"/>
        <v>0</v>
      </c>
      <c r="EZ22" s="16">
        <f t="shared" si="56"/>
        <v>0</v>
      </c>
      <c r="FA22" s="16">
        <f t="shared" si="56"/>
        <v>0</v>
      </c>
      <c r="FB22" s="16">
        <f t="shared" si="56"/>
        <v>0</v>
      </c>
      <c r="FC22" s="16">
        <f t="shared" si="56"/>
        <v>0</v>
      </c>
      <c r="FD22" s="16">
        <f t="shared" si="56"/>
        <v>0</v>
      </c>
      <c r="FE22" s="16">
        <f t="shared" si="56"/>
        <v>0</v>
      </c>
      <c r="FF22" s="16">
        <f t="shared" si="56"/>
        <v>0</v>
      </c>
      <c r="FG22" s="16">
        <f t="shared" si="56"/>
        <v>0</v>
      </c>
      <c r="FH22" s="16">
        <f t="shared" si="56"/>
        <v>0</v>
      </c>
      <c r="FI22" s="16">
        <f t="shared" si="56"/>
        <v>0</v>
      </c>
      <c r="FJ22" s="16">
        <f t="shared" si="56"/>
        <v>0</v>
      </c>
      <c r="FK22" s="16">
        <f t="shared" si="56"/>
        <v>0</v>
      </c>
      <c r="FL22" s="16">
        <f t="shared" si="56"/>
        <v>0</v>
      </c>
      <c r="FM22" s="16">
        <f t="shared" si="80"/>
        <v>0</v>
      </c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0"/>
      <c r="FZ22" s="30"/>
      <c r="GA22" s="30"/>
      <c r="GB22" s="30"/>
      <c r="GC22" s="30"/>
      <c r="GD22" s="30"/>
      <c r="GE22" s="30"/>
      <c r="GF22" s="30"/>
      <c r="GG22" s="30"/>
      <c r="HD22" s="195">
        <f>I22-CK22</f>
        <v>0</v>
      </c>
      <c r="HE22" s="195">
        <f t="shared" ref="HE22:HW22" si="104">J22-CL22</f>
        <v>0</v>
      </c>
      <c r="HF22" s="195">
        <f t="shared" si="104"/>
        <v>0</v>
      </c>
      <c r="HG22" s="195">
        <f t="shared" si="104"/>
        <v>0</v>
      </c>
      <c r="HH22" s="195">
        <f t="shared" si="104"/>
        <v>0</v>
      </c>
      <c r="HI22" s="195">
        <f t="shared" si="104"/>
        <v>0</v>
      </c>
      <c r="HJ22" s="195">
        <f t="shared" si="104"/>
        <v>0</v>
      </c>
      <c r="HK22" s="195">
        <f t="shared" si="104"/>
        <v>0</v>
      </c>
      <c r="HL22" s="195">
        <f t="shared" si="104"/>
        <v>0</v>
      </c>
      <c r="HM22" s="195">
        <f t="shared" si="104"/>
        <v>0</v>
      </c>
      <c r="HN22" s="195">
        <f t="shared" si="104"/>
        <v>0</v>
      </c>
      <c r="HO22" s="195">
        <f t="shared" si="104"/>
        <v>0</v>
      </c>
      <c r="HP22" s="195">
        <f t="shared" si="104"/>
        <v>0</v>
      </c>
      <c r="HQ22" s="195">
        <f t="shared" si="104"/>
        <v>0</v>
      </c>
      <c r="HR22" s="195">
        <f t="shared" si="104"/>
        <v>0</v>
      </c>
      <c r="HS22" s="195">
        <f t="shared" si="104"/>
        <v>0</v>
      </c>
      <c r="HT22" s="195">
        <f t="shared" si="104"/>
        <v>0</v>
      </c>
      <c r="HU22" s="195">
        <f t="shared" si="104"/>
        <v>0</v>
      </c>
      <c r="HV22" s="195">
        <f t="shared" si="104"/>
        <v>0</v>
      </c>
      <c r="HW22" s="195">
        <f t="shared" si="104"/>
        <v>0</v>
      </c>
      <c r="HY22" s="194">
        <f t="shared" ref="HY22:IF22" si="105">I22+$F$22</f>
        <v>24</v>
      </c>
      <c r="HZ22" s="194">
        <f t="shared" si="105"/>
        <v>36</v>
      </c>
      <c r="IA22" s="194">
        <f t="shared" si="105"/>
        <v>20</v>
      </c>
      <c r="IB22" s="194">
        <f t="shared" si="105"/>
        <v>29</v>
      </c>
      <c r="IC22" s="194">
        <f t="shared" si="105"/>
        <v>39</v>
      </c>
      <c r="ID22" s="194">
        <f t="shared" si="105"/>
        <v>20</v>
      </c>
      <c r="IE22" s="194">
        <f t="shared" si="105"/>
        <v>17</v>
      </c>
      <c r="IF22" s="194">
        <f t="shared" si="105"/>
        <v>27</v>
      </c>
      <c r="IG22" s="194"/>
      <c r="IH22" s="194">
        <f>R22+$F$22</f>
        <v>46</v>
      </c>
      <c r="II22" s="194">
        <f>S22+$F$22</f>
        <v>33</v>
      </c>
      <c r="IJ22" s="194">
        <f>T22+$F$22</f>
        <v>0</v>
      </c>
      <c r="IK22" s="194">
        <f>U22+$F$22</f>
        <v>0</v>
      </c>
      <c r="IL22" s="194">
        <f>V22+$F$22</f>
        <v>40</v>
      </c>
      <c r="IM22" s="194"/>
      <c r="IN22" s="194"/>
      <c r="IO22" s="194"/>
      <c r="IP22" s="194"/>
      <c r="IQ22" s="194"/>
      <c r="IR22" s="194"/>
    </row>
    <row r="23" spans="1:252" ht="15.75" thickBot="1" x14ac:dyDescent="0.3">
      <c r="C23">
        <v>143</v>
      </c>
      <c r="G23" s="38" t="s">
        <v>75</v>
      </c>
      <c r="H23" s="123" t="s">
        <v>30</v>
      </c>
      <c r="I23" s="135"/>
      <c r="J23" s="125"/>
      <c r="K23" s="125">
        <v>31</v>
      </c>
      <c r="L23" s="125"/>
      <c r="M23" s="125"/>
      <c r="N23" s="125"/>
      <c r="O23" s="125"/>
      <c r="P23" s="125"/>
      <c r="Q23" s="125"/>
      <c r="R23" s="125">
        <v>7</v>
      </c>
      <c r="S23" s="125">
        <v>32</v>
      </c>
      <c r="T23" s="125">
        <v>19</v>
      </c>
      <c r="U23" s="125">
        <v>16</v>
      </c>
      <c r="V23" s="125">
        <v>30</v>
      </c>
      <c r="W23" s="125">
        <v>2</v>
      </c>
      <c r="X23" s="125"/>
      <c r="Y23" s="125"/>
      <c r="Z23" s="125"/>
      <c r="AA23" s="125"/>
      <c r="AB23" s="154"/>
      <c r="AC23" s="156"/>
      <c r="AD23" s="144"/>
      <c r="AE23" s="11">
        <v>2.3299532565309371</v>
      </c>
      <c r="AF23" s="144"/>
      <c r="AG23" s="144"/>
      <c r="AH23" s="144"/>
      <c r="AI23" s="144"/>
      <c r="AJ23" s="144"/>
      <c r="AK23" s="11">
        <v>1.3254361602980282</v>
      </c>
      <c r="AL23" s="11">
        <v>0.99158512940440791</v>
      </c>
      <c r="AM23" s="11">
        <v>0.90317741333277168</v>
      </c>
      <c r="AN23" s="11">
        <v>1.3826138785578184</v>
      </c>
      <c r="AO23" s="144"/>
      <c r="AP23" s="11">
        <v>1.7824927831948638</v>
      </c>
      <c r="AQ23" s="11">
        <v>1.3255473304771759</v>
      </c>
      <c r="AR23" s="144"/>
      <c r="AS23" s="144"/>
      <c r="AT23" s="144"/>
      <c r="AU23" s="144"/>
      <c r="AV23" s="164"/>
      <c r="AW23" s="135">
        <f t="shared" ref="AW23:BL24" si="106">AW20</f>
        <v>0</v>
      </c>
      <c r="AX23" s="125">
        <f t="shared" si="106"/>
        <v>0</v>
      </c>
      <c r="AY23" s="125">
        <f t="shared" si="106"/>
        <v>3168921</v>
      </c>
      <c r="AZ23" s="125">
        <f t="shared" si="106"/>
        <v>0</v>
      </c>
      <c r="BA23" s="125">
        <f t="shared" si="106"/>
        <v>0</v>
      </c>
      <c r="BB23" s="125">
        <f t="shared" si="106"/>
        <v>0</v>
      </c>
      <c r="BC23" s="125">
        <f t="shared" si="106"/>
        <v>0</v>
      </c>
      <c r="BD23" s="125">
        <f t="shared" si="106"/>
        <v>0</v>
      </c>
      <c r="BE23" s="125">
        <f t="shared" si="106"/>
        <v>163962</v>
      </c>
      <c r="BF23" s="125">
        <f t="shared" si="106"/>
        <v>657271</v>
      </c>
      <c r="BG23" s="125">
        <f t="shared" si="106"/>
        <v>1593815</v>
      </c>
      <c r="BH23" s="125">
        <f t="shared" si="106"/>
        <v>692173</v>
      </c>
      <c r="BI23" s="125">
        <f t="shared" si="106"/>
        <v>98989</v>
      </c>
      <c r="BJ23" s="125">
        <f t="shared" si="106"/>
        <v>1025372</v>
      </c>
      <c r="BK23" s="125">
        <f t="shared" si="106"/>
        <v>167140</v>
      </c>
      <c r="BL23" s="125">
        <f t="shared" si="106"/>
        <v>0</v>
      </c>
      <c r="BM23" s="125">
        <f t="shared" si="102"/>
        <v>0</v>
      </c>
      <c r="BN23" s="125">
        <f t="shared" si="102"/>
        <v>0</v>
      </c>
      <c r="BO23" s="125">
        <f t="shared" si="102"/>
        <v>0</v>
      </c>
      <c r="BP23" s="154">
        <f t="shared" si="102"/>
        <v>0</v>
      </c>
      <c r="BQ23" s="135">
        <f t="shared" ref="BQ23:CF24" si="107">BQ20</f>
        <v>0</v>
      </c>
      <c r="BR23" s="125">
        <f t="shared" si="107"/>
        <v>0</v>
      </c>
      <c r="BS23" s="125">
        <f t="shared" si="107"/>
        <v>659135.56799999997</v>
      </c>
      <c r="BT23" s="125">
        <f t="shared" si="107"/>
        <v>0</v>
      </c>
      <c r="BU23" s="125">
        <f t="shared" si="107"/>
        <v>0</v>
      </c>
      <c r="BV23" s="125">
        <f t="shared" si="107"/>
        <v>0</v>
      </c>
      <c r="BW23" s="125">
        <f t="shared" si="107"/>
        <v>0</v>
      </c>
      <c r="BX23" s="125">
        <f t="shared" si="107"/>
        <v>0</v>
      </c>
      <c r="BY23" s="125">
        <f t="shared" si="107"/>
        <v>34104.095999999998</v>
      </c>
      <c r="BZ23" s="125">
        <f t="shared" si="107"/>
        <v>136712.36799999999</v>
      </c>
      <c r="CA23" s="125">
        <f t="shared" si="107"/>
        <v>331513.51999999996</v>
      </c>
      <c r="CB23" s="125">
        <f t="shared" si="107"/>
        <v>143971.984</v>
      </c>
      <c r="CC23" s="125">
        <f t="shared" si="107"/>
        <v>20589.712</v>
      </c>
      <c r="CD23" s="125">
        <f t="shared" si="107"/>
        <v>213277.37599999999</v>
      </c>
      <c r="CE23" s="125">
        <f t="shared" si="107"/>
        <v>34765.119999999995</v>
      </c>
      <c r="CF23" s="125">
        <f t="shared" si="107"/>
        <v>0</v>
      </c>
      <c r="CG23" s="125">
        <f t="shared" si="103"/>
        <v>0</v>
      </c>
      <c r="CH23" s="125">
        <f t="shared" si="103"/>
        <v>0</v>
      </c>
      <c r="CI23" s="125">
        <f t="shared" si="103"/>
        <v>0</v>
      </c>
      <c r="CJ23" s="139">
        <f t="shared" si="103"/>
        <v>0</v>
      </c>
      <c r="CK23" s="248"/>
      <c r="CL23" s="249"/>
      <c r="CM23" s="258">
        <v>31</v>
      </c>
      <c r="CN23" s="249"/>
      <c r="CO23" s="249"/>
      <c r="CP23" s="249"/>
      <c r="CQ23" s="249"/>
      <c r="CR23" s="249"/>
      <c r="CS23" s="249"/>
      <c r="CT23" s="258">
        <v>7</v>
      </c>
      <c r="CU23" s="258">
        <v>32</v>
      </c>
      <c r="CV23" s="258">
        <v>19</v>
      </c>
      <c r="CW23" s="258">
        <v>16</v>
      </c>
      <c r="CX23" s="258">
        <v>30</v>
      </c>
      <c r="CY23" s="258">
        <v>2</v>
      </c>
      <c r="CZ23" s="249"/>
      <c r="DA23" s="249"/>
      <c r="DB23" s="249"/>
      <c r="DC23" s="249"/>
      <c r="DD23" s="250"/>
      <c r="DE23" s="184">
        <f t="shared" si="58"/>
        <v>0</v>
      </c>
      <c r="DF23" s="181">
        <f t="shared" si="54"/>
        <v>0</v>
      </c>
      <c r="DG23" s="181">
        <f t="shared" si="54"/>
        <v>0</v>
      </c>
      <c r="DH23" s="181">
        <f t="shared" si="54"/>
        <v>0</v>
      </c>
      <c r="DI23" s="181">
        <f t="shared" si="54"/>
        <v>0</v>
      </c>
      <c r="DJ23" s="181">
        <f t="shared" si="54"/>
        <v>0</v>
      </c>
      <c r="DK23" s="181">
        <f t="shared" si="54"/>
        <v>0</v>
      </c>
      <c r="DL23" s="181">
        <f t="shared" si="54"/>
        <v>0</v>
      </c>
      <c r="DM23" s="181">
        <f t="shared" si="54"/>
        <v>0</v>
      </c>
      <c r="DN23" s="181">
        <f t="shared" si="54"/>
        <v>0</v>
      </c>
      <c r="DO23" s="181">
        <f t="shared" si="54"/>
        <v>0</v>
      </c>
      <c r="DP23" s="181">
        <f t="shared" si="54"/>
        <v>0</v>
      </c>
      <c r="DQ23" s="181">
        <f t="shared" si="54"/>
        <v>0</v>
      </c>
      <c r="DR23" s="181">
        <f t="shared" si="54"/>
        <v>0</v>
      </c>
      <c r="DS23" s="181">
        <f t="shared" si="54"/>
        <v>0</v>
      </c>
      <c r="DT23" s="181">
        <f t="shared" si="54"/>
        <v>0</v>
      </c>
      <c r="DU23" s="181">
        <f t="shared" si="54"/>
        <v>0</v>
      </c>
      <c r="DV23" s="181">
        <f t="shared" si="54"/>
        <v>0</v>
      </c>
      <c r="DW23" s="181">
        <f t="shared" si="54"/>
        <v>0</v>
      </c>
      <c r="DX23" s="190">
        <f t="shared" si="54"/>
        <v>0</v>
      </c>
      <c r="DY23" s="184">
        <f t="shared" si="59"/>
        <v>0</v>
      </c>
      <c r="DZ23" s="181">
        <f t="shared" si="60"/>
        <v>0</v>
      </c>
      <c r="EA23" s="181">
        <f t="shared" si="61"/>
        <v>0</v>
      </c>
      <c r="EB23" s="181">
        <f t="shared" si="62"/>
        <v>0</v>
      </c>
      <c r="EC23" s="181">
        <f t="shared" si="63"/>
        <v>0</v>
      </c>
      <c r="ED23" s="181">
        <f t="shared" si="64"/>
        <v>0</v>
      </c>
      <c r="EE23" s="181">
        <f t="shared" si="65"/>
        <v>0</v>
      </c>
      <c r="EF23" s="181">
        <f t="shared" si="66"/>
        <v>0</v>
      </c>
      <c r="EG23" s="181">
        <f t="shared" si="67"/>
        <v>0</v>
      </c>
      <c r="EH23" s="181">
        <f t="shared" si="68"/>
        <v>0</v>
      </c>
      <c r="EI23" s="181">
        <f t="shared" si="69"/>
        <v>0</v>
      </c>
      <c r="EJ23" s="181">
        <f t="shared" si="70"/>
        <v>0</v>
      </c>
      <c r="EK23" s="181">
        <f t="shared" si="71"/>
        <v>0</v>
      </c>
      <c r="EL23" s="181">
        <f t="shared" si="72"/>
        <v>0</v>
      </c>
      <c r="EM23" s="181">
        <f t="shared" si="73"/>
        <v>0</v>
      </c>
      <c r="EN23" s="181">
        <f t="shared" si="74"/>
        <v>0</v>
      </c>
      <c r="EO23" s="181">
        <f t="shared" si="75"/>
        <v>0</v>
      </c>
      <c r="EP23" s="181">
        <f t="shared" si="76"/>
        <v>0</v>
      </c>
      <c r="EQ23" s="181">
        <f t="shared" si="77"/>
        <v>0</v>
      </c>
      <c r="ER23" s="190">
        <f t="shared" si="78"/>
        <v>0</v>
      </c>
      <c r="ES23" s="16">
        <f t="shared" si="79"/>
        <v>0</v>
      </c>
      <c r="ET23" s="16">
        <f t="shared" si="56"/>
        <v>0</v>
      </c>
      <c r="EU23" s="16">
        <f t="shared" si="56"/>
        <v>0</v>
      </c>
      <c r="EV23" s="16">
        <f t="shared" si="56"/>
        <v>0</v>
      </c>
      <c r="EW23" s="16">
        <f t="shared" si="56"/>
        <v>0</v>
      </c>
      <c r="EX23" s="16">
        <f t="shared" si="56"/>
        <v>0</v>
      </c>
      <c r="EY23" s="16">
        <f t="shared" si="56"/>
        <v>0</v>
      </c>
      <c r="EZ23" s="16">
        <f t="shared" si="56"/>
        <v>0</v>
      </c>
      <c r="FA23" s="16">
        <f t="shared" si="56"/>
        <v>0</v>
      </c>
      <c r="FB23" s="16">
        <f t="shared" si="56"/>
        <v>0</v>
      </c>
      <c r="FC23" s="16">
        <f t="shared" si="56"/>
        <v>0</v>
      </c>
      <c r="FD23" s="16">
        <f t="shared" si="56"/>
        <v>0</v>
      </c>
      <c r="FE23" s="16">
        <f t="shared" si="56"/>
        <v>0</v>
      </c>
      <c r="FF23" s="16">
        <f t="shared" si="56"/>
        <v>0</v>
      </c>
      <c r="FG23" s="16">
        <f t="shared" si="56"/>
        <v>0</v>
      </c>
      <c r="FH23" s="16">
        <f t="shared" si="56"/>
        <v>0</v>
      </c>
      <c r="FI23" s="16">
        <f t="shared" si="56"/>
        <v>0</v>
      </c>
      <c r="FJ23" s="16">
        <f t="shared" si="56"/>
        <v>0</v>
      </c>
      <c r="FK23" s="16">
        <f t="shared" si="56"/>
        <v>0</v>
      </c>
      <c r="FL23" s="16">
        <f t="shared" si="56"/>
        <v>0</v>
      </c>
      <c r="FM23" s="16">
        <f t="shared" si="80"/>
        <v>0</v>
      </c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0"/>
      <c r="FZ23" s="30"/>
      <c r="GA23" s="30"/>
      <c r="GB23" s="30"/>
      <c r="GC23" s="30"/>
      <c r="GD23" s="30"/>
      <c r="GE23" s="30"/>
      <c r="GF23" s="30"/>
      <c r="GG23" s="30"/>
      <c r="HD23" s="195">
        <f t="shared" ref="HD23:HD24" si="108">I23-CK23</f>
        <v>0</v>
      </c>
      <c r="HE23" s="195">
        <f t="shared" ref="HE23:HE24" si="109">J23-CL23</f>
        <v>0</v>
      </c>
      <c r="HF23" s="195">
        <f t="shared" ref="HF23:HF24" si="110">K23-CM23</f>
        <v>0</v>
      </c>
      <c r="HG23" s="195">
        <f t="shared" ref="HG23:HG24" si="111">L23-CN23</f>
        <v>0</v>
      </c>
      <c r="HH23" s="195">
        <f t="shared" ref="HH23:HH24" si="112">M23-CO23</f>
        <v>0</v>
      </c>
      <c r="HI23" s="195">
        <f t="shared" ref="HI23:HI24" si="113">N23-CP23</f>
        <v>0</v>
      </c>
      <c r="HJ23" s="195">
        <f t="shared" ref="HJ23:HJ24" si="114">O23-CQ23</f>
        <v>0</v>
      </c>
      <c r="HK23" s="195">
        <f t="shared" ref="HK23:HK24" si="115">P23-CR23</f>
        <v>0</v>
      </c>
      <c r="HL23" s="195">
        <f t="shared" ref="HL23:HL24" si="116">Q23-CS23</f>
        <v>0</v>
      </c>
      <c r="HM23" s="195">
        <f t="shared" ref="HM23:HM24" si="117">R23-CT23</f>
        <v>0</v>
      </c>
      <c r="HN23" s="195">
        <f t="shared" ref="HN23:HN24" si="118">S23-CU23</f>
        <v>0</v>
      </c>
      <c r="HO23" s="195">
        <f t="shared" ref="HO23:HO24" si="119">T23-CV23</f>
        <v>0</v>
      </c>
      <c r="HP23" s="195">
        <f t="shared" ref="HP23:HP24" si="120">U23-CW23</f>
        <v>0</v>
      </c>
      <c r="HQ23" s="195">
        <f t="shared" ref="HQ23:HQ24" si="121">V23-CX23</f>
        <v>0</v>
      </c>
      <c r="HR23" s="195">
        <f t="shared" ref="HR23:HR24" si="122">W23-CY23</f>
        <v>0</v>
      </c>
      <c r="HS23" s="195">
        <f t="shared" ref="HS23:HS24" si="123">X23-CZ23</f>
        <v>0</v>
      </c>
      <c r="HT23" s="195">
        <f t="shared" ref="HT23:HT24" si="124">Y23-DA23</f>
        <v>0</v>
      </c>
      <c r="HU23" s="195">
        <f t="shared" ref="HU23:HU24" si="125">Z23-DB23</f>
        <v>0</v>
      </c>
      <c r="HV23" s="195">
        <f t="shared" ref="HV23:HV24" si="126">AA23-DC23</f>
        <v>0</v>
      </c>
      <c r="HW23" s="195">
        <f t="shared" ref="HW23:HW24" si="127">AB23-DD23</f>
        <v>0</v>
      </c>
      <c r="HY23" s="194"/>
      <c r="HZ23" s="194"/>
      <c r="IA23" s="194">
        <f t="shared" ref="IA23:IA24" si="128">K23+$F$22</f>
        <v>31</v>
      </c>
      <c r="IB23" s="194"/>
      <c r="IC23" s="194"/>
      <c r="ID23" s="194"/>
      <c r="IE23" s="194"/>
      <c r="IF23" s="194"/>
      <c r="IG23" s="194"/>
      <c r="IH23" s="194">
        <f>R23+$F$22</f>
        <v>7</v>
      </c>
      <c r="II23" s="194">
        <f>S23+$F$22</f>
        <v>32</v>
      </c>
      <c r="IJ23" s="194">
        <f>T23+$F$22</f>
        <v>19</v>
      </c>
      <c r="IK23" s="194">
        <f>U23+$F$22</f>
        <v>16</v>
      </c>
      <c r="IL23" s="194">
        <f t="shared" ref="IL23:IL24" si="129">V23+$F$22</f>
        <v>30</v>
      </c>
      <c r="IM23" s="194">
        <f>W23+$F$22</f>
        <v>2</v>
      </c>
      <c r="IN23" s="194"/>
      <c r="IO23" s="194"/>
      <c r="IP23" s="194"/>
      <c r="IQ23" s="194"/>
      <c r="IR23" s="194"/>
    </row>
    <row r="24" spans="1:252" ht="15.75" thickBot="1" x14ac:dyDescent="0.3">
      <c r="C24">
        <v>105</v>
      </c>
      <c r="G24" s="38" t="s">
        <v>75</v>
      </c>
      <c r="H24" s="123" t="s">
        <v>38</v>
      </c>
      <c r="I24" s="136"/>
      <c r="J24" s="137"/>
      <c r="K24" s="137">
        <v>12</v>
      </c>
      <c r="L24" s="263">
        <v>0</v>
      </c>
      <c r="M24" s="137"/>
      <c r="N24" s="137"/>
      <c r="O24" s="137"/>
      <c r="P24" s="137"/>
      <c r="Q24" s="137"/>
      <c r="R24" s="137"/>
      <c r="S24" s="137"/>
      <c r="T24" s="137"/>
      <c r="U24" s="137"/>
      <c r="V24" s="137">
        <v>3</v>
      </c>
      <c r="W24" s="137"/>
      <c r="X24" s="137"/>
      <c r="Y24" s="137">
        <v>1</v>
      </c>
      <c r="Z24" s="137">
        <v>21</v>
      </c>
      <c r="AA24" s="137">
        <v>22</v>
      </c>
      <c r="AB24" s="155">
        <v>5</v>
      </c>
      <c r="AC24" s="157"/>
      <c r="AD24" s="145"/>
      <c r="AE24" s="140">
        <v>1.4148409317581596</v>
      </c>
      <c r="AF24" s="140">
        <v>1.5405671339966702</v>
      </c>
      <c r="AG24" s="145"/>
      <c r="AH24" s="145"/>
      <c r="AI24" s="145"/>
      <c r="AJ24" s="145"/>
      <c r="AK24" s="145"/>
      <c r="AL24" s="145"/>
      <c r="AM24" s="145"/>
      <c r="AN24" s="145"/>
      <c r="AO24" s="145"/>
      <c r="AP24" s="140">
        <v>1.3758411843849545</v>
      </c>
      <c r="AQ24" s="140"/>
      <c r="AR24" s="140">
        <v>1.7655919678380347</v>
      </c>
      <c r="AS24" s="140">
        <v>1.1204704494152624</v>
      </c>
      <c r="AT24" s="140">
        <v>1.6983925178871022</v>
      </c>
      <c r="AU24" s="140">
        <v>1.9999103260638096</v>
      </c>
      <c r="AV24" s="162">
        <v>1.7126533050715607</v>
      </c>
      <c r="AW24" s="136">
        <f t="shared" si="106"/>
        <v>0</v>
      </c>
      <c r="AX24" s="137">
        <f t="shared" si="102"/>
        <v>0</v>
      </c>
      <c r="AY24" s="137">
        <f t="shared" si="102"/>
        <v>864022</v>
      </c>
      <c r="AZ24" s="137">
        <f t="shared" si="102"/>
        <v>459199</v>
      </c>
      <c r="BA24" s="137">
        <f t="shared" si="102"/>
        <v>0</v>
      </c>
      <c r="BB24" s="137">
        <f t="shared" si="102"/>
        <v>0</v>
      </c>
      <c r="BC24" s="137">
        <f t="shared" si="102"/>
        <v>0</v>
      </c>
      <c r="BD24" s="137">
        <f t="shared" si="102"/>
        <v>0</v>
      </c>
      <c r="BE24" s="137">
        <f t="shared" si="102"/>
        <v>0</v>
      </c>
      <c r="BF24" s="137">
        <f t="shared" si="102"/>
        <v>0</v>
      </c>
      <c r="BG24" s="137">
        <f t="shared" si="102"/>
        <v>0</v>
      </c>
      <c r="BH24" s="137">
        <f t="shared" si="102"/>
        <v>0</v>
      </c>
      <c r="BI24" s="137">
        <f t="shared" si="102"/>
        <v>0</v>
      </c>
      <c r="BJ24" s="137">
        <f t="shared" si="102"/>
        <v>0</v>
      </c>
      <c r="BK24" s="137">
        <f t="shared" si="102"/>
        <v>0</v>
      </c>
      <c r="BL24" s="137">
        <f t="shared" si="102"/>
        <v>52029</v>
      </c>
      <c r="BM24" s="137">
        <f t="shared" si="102"/>
        <v>176060</v>
      </c>
      <c r="BN24" s="137">
        <f t="shared" si="102"/>
        <v>655390</v>
      </c>
      <c r="BO24" s="137">
        <f t="shared" si="102"/>
        <v>3445036</v>
      </c>
      <c r="BP24" s="155">
        <f t="shared" si="102"/>
        <v>1001763</v>
      </c>
      <c r="BQ24" s="136">
        <f t="shared" si="107"/>
        <v>0</v>
      </c>
      <c r="BR24" s="137">
        <f t="shared" si="103"/>
        <v>0</v>
      </c>
      <c r="BS24" s="137">
        <f t="shared" si="103"/>
        <v>440651.22000000003</v>
      </c>
      <c r="BT24" s="137">
        <f t="shared" si="103"/>
        <v>234191.49</v>
      </c>
      <c r="BU24" s="137">
        <f t="shared" si="103"/>
        <v>0</v>
      </c>
      <c r="BV24" s="137">
        <f t="shared" si="103"/>
        <v>0</v>
      </c>
      <c r="BW24" s="137">
        <f t="shared" si="103"/>
        <v>0</v>
      </c>
      <c r="BX24" s="137">
        <f t="shared" si="103"/>
        <v>0</v>
      </c>
      <c r="BY24" s="137">
        <f t="shared" si="103"/>
        <v>0</v>
      </c>
      <c r="BZ24" s="137">
        <f t="shared" si="103"/>
        <v>0</v>
      </c>
      <c r="CA24" s="137">
        <f t="shared" si="103"/>
        <v>0</v>
      </c>
      <c r="CB24" s="137">
        <f t="shared" si="103"/>
        <v>0</v>
      </c>
      <c r="CC24" s="137">
        <f t="shared" si="103"/>
        <v>0</v>
      </c>
      <c r="CD24" s="137">
        <f t="shared" si="103"/>
        <v>0</v>
      </c>
      <c r="CE24" s="137">
        <f t="shared" si="103"/>
        <v>0</v>
      </c>
      <c r="CF24" s="137">
        <f t="shared" si="103"/>
        <v>26534.79</v>
      </c>
      <c r="CG24" s="137">
        <f t="shared" si="103"/>
        <v>89790.6</v>
      </c>
      <c r="CH24" s="137">
        <f t="shared" si="103"/>
        <v>334248.90000000002</v>
      </c>
      <c r="CI24" s="137">
        <f t="shared" si="103"/>
        <v>1756968.36</v>
      </c>
      <c r="CJ24" s="142">
        <f t="shared" si="103"/>
        <v>510899.13</v>
      </c>
      <c r="CK24" s="251"/>
      <c r="CL24" s="252"/>
      <c r="CM24" s="259">
        <v>12</v>
      </c>
      <c r="CN24" s="252">
        <v>0</v>
      </c>
      <c r="CO24" s="252"/>
      <c r="CP24" s="252"/>
      <c r="CQ24" s="252"/>
      <c r="CR24" s="252"/>
      <c r="CS24" s="252"/>
      <c r="CT24" s="252"/>
      <c r="CU24" s="252"/>
      <c r="CV24" s="252"/>
      <c r="CW24" s="252"/>
      <c r="CX24" s="258">
        <v>3</v>
      </c>
      <c r="CY24" s="252"/>
      <c r="CZ24" s="252"/>
      <c r="DA24" s="259">
        <v>1</v>
      </c>
      <c r="DB24" s="259">
        <v>21</v>
      </c>
      <c r="DC24" s="259">
        <v>22</v>
      </c>
      <c r="DD24" s="262">
        <v>5</v>
      </c>
      <c r="DE24" s="185">
        <f t="shared" si="58"/>
        <v>0</v>
      </c>
      <c r="DF24" s="186">
        <f t="shared" si="54"/>
        <v>0</v>
      </c>
      <c r="DG24" s="186">
        <f t="shared" si="54"/>
        <v>0</v>
      </c>
      <c r="DH24" s="186">
        <f t="shared" si="54"/>
        <v>0</v>
      </c>
      <c r="DI24" s="186">
        <f t="shared" si="54"/>
        <v>0</v>
      </c>
      <c r="DJ24" s="186">
        <f t="shared" si="54"/>
        <v>0</v>
      </c>
      <c r="DK24" s="186">
        <f t="shared" si="54"/>
        <v>0</v>
      </c>
      <c r="DL24" s="186">
        <f t="shared" si="54"/>
        <v>0</v>
      </c>
      <c r="DM24" s="186">
        <f t="shared" si="54"/>
        <v>0</v>
      </c>
      <c r="DN24" s="186">
        <f t="shared" si="54"/>
        <v>0</v>
      </c>
      <c r="DO24" s="186">
        <f t="shared" si="54"/>
        <v>0</v>
      </c>
      <c r="DP24" s="186">
        <f t="shared" si="54"/>
        <v>0</v>
      </c>
      <c r="DQ24" s="186">
        <f t="shared" si="54"/>
        <v>0</v>
      </c>
      <c r="DR24" s="186">
        <f t="shared" si="54"/>
        <v>0</v>
      </c>
      <c r="DS24" s="186">
        <f t="shared" si="54"/>
        <v>0</v>
      </c>
      <c r="DT24" s="186">
        <f t="shared" si="54"/>
        <v>0</v>
      </c>
      <c r="DU24" s="186">
        <f t="shared" si="54"/>
        <v>0</v>
      </c>
      <c r="DV24" s="186">
        <f t="shared" si="54"/>
        <v>0</v>
      </c>
      <c r="DW24" s="186">
        <f t="shared" si="54"/>
        <v>0</v>
      </c>
      <c r="DX24" s="191">
        <f t="shared" si="54"/>
        <v>0</v>
      </c>
      <c r="DY24" s="185">
        <f t="shared" si="59"/>
        <v>0</v>
      </c>
      <c r="DZ24" s="186">
        <f t="shared" si="60"/>
        <v>0</v>
      </c>
      <c r="EA24" s="186">
        <f t="shared" si="61"/>
        <v>0</v>
      </c>
      <c r="EB24" s="186">
        <f t="shared" si="62"/>
        <v>0</v>
      </c>
      <c r="EC24" s="186">
        <f t="shared" si="63"/>
        <v>0</v>
      </c>
      <c r="ED24" s="186">
        <f t="shared" si="64"/>
        <v>0</v>
      </c>
      <c r="EE24" s="186">
        <f t="shared" si="65"/>
        <v>0</v>
      </c>
      <c r="EF24" s="186">
        <f t="shared" si="66"/>
        <v>0</v>
      </c>
      <c r="EG24" s="186">
        <f t="shared" si="67"/>
        <v>0</v>
      </c>
      <c r="EH24" s="186">
        <f t="shared" si="68"/>
        <v>0</v>
      </c>
      <c r="EI24" s="186">
        <f t="shared" si="69"/>
        <v>0</v>
      </c>
      <c r="EJ24" s="186">
        <f t="shared" si="70"/>
        <v>0</v>
      </c>
      <c r="EK24" s="186">
        <f t="shared" si="71"/>
        <v>0</v>
      </c>
      <c r="EL24" s="186">
        <f t="shared" si="72"/>
        <v>0</v>
      </c>
      <c r="EM24" s="186">
        <f t="shared" si="73"/>
        <v>0</v>
      </c>
      <c r="EN24" s="186">
        <f t="shared" si="74"/>
        <v>0</v>
      </c>
      <c r="EO24" s="186">
        <f t="shared" si="75"/>
        <v>0</v>
      </c>
      <c r="EP24" s="186">
        <f t="shared" si="76"/>
        <v>0</v>
      </c>
      <c r="EQ24" s="186">
        <f t="shared" si="77"/>
        <v>0</v>
      </c>
      <c r="ER24" s="191">
        <f t="shared" si="78"/>
        <v>0</v>
      </c>
      <c r="ES24" s="16">
        <f t="shared" si="79"/>
        <v>0</v>
      </c>
      <c r="ET24" s="16">
        <f t="shared" si="56"/>
        <v>0</v>
      </c>
      <c r="EU24" s="16">
        <f t="shared" si="56"/>
        <v>0</v>
      </c>
      <c r="EV24" s="16">
        <f t="shared" si="56"/>
        <v>0</v>
      </c>
      <c r="EW24" s="16">
        <f t="shared" si="56"/>
        <v>0</v>
      </c>
      <c r="EX24" s="16">
        <f t="shared" si="56"/>
        <v>0</v>
      </c>
      <c r="EY24" s="16">
        <f t="shared" si="56"/>
        <v>0</v>
      </c>
      <c r="EZ24" s="16">
        <f t="shared" si="56"/>
        <v>0</v>
      </c>
      <c r="FA24" s="16">
        <f t="shared" si="56"/>
        <v>0</v>
      </c>
      <c r="FB24" s="16">
        <f t="shared" si="56"/>
        <v>0</v>
      </c>
      <c r="FC24" s="16">
        <f t="shared" si="56"/>
        <v>0</v>
      </c>
      <c r="FD24" s="16">
        <f t="shared" si="56"/>
        <v>0</v>
      </c>
      <c r="FE24" s="16">
        <f t="shared" si="56"/>
        <v>0</v>
      </c>
      <c r="FF24" s="16">
        <f t="shared" si="56"/>
        <v>0</v>
      </c>
      <c r="FG24" s="16">
        <f t="shared" si="56"/>
        <v>0</v>
      </c>
      <c r="FH24" s="16">
        <f t="shared" si="56"/>
        <v>0</v>
      </c>
      <c r="FI24" s="16">
        <f t="shared" si="56"/>
        <v>0</v>
      </c>
      <c r="FJ24" s="16">
        <f t="shared" si="56"/>
        <v>0</v>
      </c>
      <c r="FK24" s="16">
        <f t="shared" si="56"/>
        <v>0</v>
      </c>
      <c r="FL24" s="16">
        <f t="shared" si="56"/>
        <v>0</v>
      </c>
      <c r="FM24" s="16">
        <f t="shared" si="80"/>
        <v>0</v>
      </c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0"/>
      <c r="FZ24" s="30"/>
      <c r="GA24" s="30"/>
      <c r="GB24" s="30"/>
      <c r="GC24" s="30"/>
      <c r="GD24" s="30"/>
      <c r="GE24" s="30"/>
      <c r="GF24" s="30"/>
      <c r="GG24" s="30"/>
      <c r="HD24" s="195">
        <f t="shared" si="108"/>
        <v>0</v>
      </c>
      <c r="HE24" s="195">
        <f t="shared" si="109"/>
        <v>0</v>
      </c>
      <c r="HF24" s="195">
        <f t="shared" si="110"/>
        <v>0</v>
      </c>
      <c r="HG24" s="195">
        <f t="shared" si="111"/>
        <v>0</v>
      </c>
      <c r="HH24" s="195">
        <f t="shared" si="112"/>
        <v>0</v>
      </c>
      <c r="HI24" s="195">
        <f t="shared" si="113"/>
        <v>0</v>
      </c>
      <c r="HJ24" s="195">
        <f t="shared" si="114"/>
        <v>0</v>
      </c>
      <c r="HK24" s="195">
        <f t="shared" si="115"/>
        <v>0</v>
      </c>
      <c r="HL24" s="195">
        <f t="shared" si="116"/>
        <v>0</v>
      </c>
      <c r="HM24" s="195">
        <f t="shared" si="117"/>
        <v>0</v>
      </c>
      <c r="HN24" s="195">
        <f t="shared" si="118"/>
        <v>0</v>
      </c>
      <c r="HO24" s="195">
        <f t="shared" si="119"/>
        <v>0</v>
      </c>
      <c r="HP24" s="195">
        <f t="shared" si="120"/>
        <v>0</v>
      </c>
      <c r="HQ24" s="195">
        <f t="shared" si="121"/>
        <v>0</v>
      </c>
      <c r="HR24" s="195">
        <f t="shared" si="122"/>
        <v>0</v>
      </c>
      <c r="HS24" s="195">
        <f t="shared" si="123"/>
        <v>0</v>
      </c>
      <c r="HT24" s="195">
        <f t="shared" si="124"/>
        <v>0</v>
      </c>
      <c r="HU24" s="195">
        <f t="shared" si="125"/>
        <v>0</v>
      </c>
      <c r="HV24" s="195">
        <f t="shared" si="126"/>
        <v>0</v>
      </c>
      <c r="HW24" s="195">
        <f t="shared" si="127"/>
        <v>0</v>
      </c>
      <c r="HY24" s="194"/>
      <c r="HZ24" s="194"/>
      <c r="IA24" s="194">
        <f t="shared" si="128"/>
        <v>12</v>
      </c>
      <c r="IB24" s="194"/>
      <c r="IC24" s="194"/>
      <c r="ID24" s="194"/>
      <c r="IE24" s="194"/>
      <c r="IF24" s="194"/>
      <c r="IG24" s="194"/>
      <c r="IH24" s="194"/>
      <c r="II24" s="194"/>
      <c r="IJ24" s="194"/>
      <c r="IK24" s="194"/>
      <c r="IL24" s="194">
        <f t="shared" si="129"/>
        <v>3</v>
      </c>
      <c r="IM24" s="194"/>
      <c r="IN24" s="194"/>
      <c r="IO24" s="194">
        <f>Y24+$F$22</f>
        <v>1</v>
      </c>
      <c r="IP24" s="194">
        <f>Z24+$F$22</f>
        <v>21</v>
      </c>
      <c r="IQ24" s="194">
        <f>AA24+$F$22</f>
        <v>22</v>
      </c>
      <c r="IR24" s="194">
        <f>AB24+$F$22</f>
        <v>5</v>
      </c>
    </row>
    <row r="26" spans="1:252" ht="15.75" thickBot="1" x14ac:dyDescent="0.3"/>
    <row r="27" spans="1:252" ht="15.75" thickBot="1" x14ac:dyDescent="0.3">
      <c r="G27" s="549" t="s">
        <v>140</v>
      </c>
      <c r="H27" s="549"/>
      <c r="I27" s="549"/>
      <c r="J27" s="549"/>
      <c r="K27" s="549"/>
      <c r="L27" s="550" t="s">
        <v>145</v>
      </c>
      <c r="M27" s="551"/>
      <c r="N27" s="551"/>
      <c r="O27" s="551"/>
      <c r="P27" s="551"/>
      <c r="Q27" s="552"/>
      <c r="AC27" s="3"/>
      <c r="CJ27" s="36" t="s">
        <v>52</v>
      </c>
      <c r="CK27" s="126" t="s">
        <v>59</v>
      </c>
      <c r="CL27" s="127" t="s">
        <v>60</v>
      </c>
      <c r="CM27" s="127" t="s">
        <v>62</v>
      </c>
      <c r="CN27" s="127" t="s">
        <v>61</v>
      </c>
      <c r="CO27" s="127" t="s">
        <v>17</v>
      </c>
      <c r="CP27" s="127" t="s">
        <v>18</v>
      </c>
      <c r="CQ27" s="127" t="s">
        <v>63</v>
      </c>
      <c r="CR27" s="127" t="s">
        <v>64</v>
      </c>
      <c r="CS27" s="127" t="s">
        <v>22</v>
      </c>
      <c r="CT27" s="127" t="s">
        <v>70</v>
      </c>
      <c r="CU27" s="127" t="s">
        <v>65</v>
      </c>
      <c r="CV27" s="127" t="s">
        <v>66</v>
      </c>
      <c r="CW27" s="127" t="s">
        <v>35</v>
      </c>
      <c r="CX27" s="127" t="s">
        <v>36</v>
      </c>
      <c r="CY27" s="127" t="s">
        <v>37</v>
      </c>
      <c r="CZ27" s="127" t="s">
        <v>39</v>
      </c>
      <c r="DA27" s="127" t="s">
        <v>42</v>
      </c>
      <c r="DB27" s="127" t="s">
        <v>67</v>
      </c>
      <c r="DC27" s="127" t="s">
        <v>68</v>
      </c>
      <c r="DD27" s="128" t="s">
        <v>69</v>
      </c>
      <c r="DF27" t="s">
        <v>202</v>
      </c>
      <c r="DG27" s="233">
        <f>MAX(DE19:DX21)</f>
        <v>0</v>
      </c>
      <c r="DI27" t="s">
        <v>220</v>
      </c>
      <c r="FN27" s="539" t="s">
        <v>135</v>
      </c>
      <c r="FO27" s="540"/>
      <c r="FP27" s="540"/>
      <c r="FQ27" s="540"/>
      <c r="FR27" s="540"/>
      <c r="FS27" s="540"/>
      <c r="FT27" s="540"/>
      <c r="FU27" s="540"/>
      <c r="FV27" s="540"/>
      <c r="FW27" s="540"/>
      <c r="FX27" s="540"/>
      <c r="FY27" s="540"/>
      <c r="FZ27" s="540"/>
      <c r="GA27" s="540"/>
      <c r="GB27" s="540"/>
      <c r="GC27" s="540"/>
      <c r="GD27" s="540"/>
      <c r="GE27" s="540"/>
      <c r="GF27" s="540"/>
      <c r="GG27" s="541"/>
    </row>
    <row r="28" spans="1:252" ht="15.75" thickBot="1" x14ac:dyDescent="0.3">
      <c r="A28" t="s">
        <v>113</v>
      </c>
      <c r="B28" t="s">
        <v>222</v>
      </c>
      <c r="C28" t="s">
        <v>223</v>
      </c>
      <c r="D28" t="s">
        <v>224</v>
      </c>
      <c r="E28" t="s">
        <v>225</v>
      </c>
      <c r="F28" t="s">
        <v>226</v>
      </c>
      <c r="G28" s="36" t="s">
        <v>52</v>
      </c>
      <c r="H28" t="s">
        <v>141</v>
      </c>
      <c r="I28" t="s">
        <v>142</v>
      </c>
      <c r="J28" t="s">
        <v>143</v>
      </c>
      <c r="K28" t="s">
        <v>144</v>
      </c>
      <c r="L28" s="205" t="s">
        <v>146</v>
      </c>
      <c r="M28" s="205" t="s">
        <v>147</v>
      </c>
      <c r="N28" s="205" t="s">
        <v>148</v>
      </c>
      <c r="O28" s="205" t="s">
        <v>149</v>
      </c>
      <c r="P28" s="205" t="s">
        <v>155</v>
      </c>
      <c r="Q28" s="205" t="s">
        <v>156</v>
      </c>
      <c r="R28" s="225" t="s">
        <v>178</v>
      </c>
      <c r="S28" s="225" t="s">
        <v>189</v>
      </c>
      <c r="T28" s="225" t="s">
        <v>349</v>
      </c>
      <c r="U28" s="225" t="s">
        <v>191</v>
      </c>
      <c r="V28" s="225" t="s">
        <v>179</v>
      </c>
      <c r="W28" s="225" t="s">
        <v>163</v>
      </c>
      <c r="X28" s="222" t="s">
        <v>180</v>
      </c>
      <c r="Y28" s="226" t="s">
        <v>181</v>
      </c>
      <c r="Z28" s="227" t="s">
        <v>182</v>
      </c>
      <c r="AA28" s="225" t="s">
        <v>183</v>
      </c>
      <c r="AB28" s="222" t="s">
        <v>184</v>
      </c>
      <c r="AC28" s="225" t="s">
        <v>260</v>
      </c>
      <c r="AD28" s="225" t="s">
        <v>185</v>
      </c>
      <c r="AE28" s="225" t="s">
        <v>186</v>
      </c>
      <c r="AF28" s="225" t="s">
        <v>187</v>
      </c>
      <c r="AG28" s="225" t="s">
        <v>188</v>
      </c>
      <c r="AJ28" s="205" t="s">
        <v>238</v>
      </c>
      <c r="AK28" s="205" t="s">
        <v>239</v>
      </c>
      <c r="AL28" s="205" t="s">
        <v>79</v>
      </c>
      <c r="CJ28" s="123" t="s">
        <v>12</v>
      </c>
      <c r="CK28" s="131">
        <v>39.775852379323055</v>
      </c>
      <c r="CL28" s="131">
        <v>30.880153762112659</v>
      </c>
      <c r="CM28" s="131">
        <v>26.415966518519792</v>
      </c>
      <c r="CN28" s="131">
        <v>28.2555412866942</v>
      </c>
      <c r="CO28" s="131">
        <v>26.932342207540607</v>
      </c>
      <c r="CP28" s="131">
        <v>17.05862825600072</v>
      </c>
      <c r="CQ28" s="131">
        <v>15.183203044049282</v>
      </c>
      <c r="CR28" s="131">
        <v>14.322983319748673</v>
      </c>
      <c r="CS28" s="131"/>
      <c r="CT28" s="131">
        <v>11.83129331148055</v>
      </c>
      <c r="CU28" s="131">
        <v>18.925041170451312</v>
      </c>
      <c r="CV28" s="131"/>
      <c r="CW28" s="131"/>
      <c r="CX28" s="131">
        <v>14.123777398502911</v>
      </c>
      <c r="CY28" s="131"/>
      <c r="CZ28" s="131"/>
      <c r="DA28" s="131"/>
      <c r="DB28" s="131"/>
      <c r="DC28" s="131"/>
      <c r="DD28" s="131"/>
      <c r="DF28" t="s">
        <v>201</v>
      </c>
      <c r="DG28" s="233">
        <f>MIN(DE22:DX24)</f>
        <v>0</v>
      </c>
      <c r="FH28" t="s">
        <v>52</v>
      </c>
      <c r="FI28" t="s">
        <v>138</v>
      </c>
      <c r="FM28" t="s">
        <v>218</v>
      </c>
      <c r="FN28" s="126" t="s">
        <v>59</v>
      </c>
      <c r="FO28" s="127" t="s">
        <v>60</v>
      </c>
      <c r="FP28" s="127" t="s">
        <v>62</v>
      </c>
      <c r="FQ28" s="127" t="s">
        <v>61</v>
      </c>
      <c r="FR28" s="127" t="s">
        <v>17</v>
      </c>
      <c r="FS28" s="127" t="s">
        <v>18</v>
      </c>
      <c r="FT28" s="127" t="s">
        <v>63</v>
      </c>
      <c r="FU28" s="127" t="s">
        <v>64</v>
      </c>
      <c r="FV28" s="127" t="s">
        <v>22</v>
      </c>
      <c r="FW28" s="127" t="s">
        <v>70</v>
      </c>
      <c r="FX28" s="127" t="s">
        <v>65</v>
      </c>
      <c r="FY28" s="127" t="s">
        <v>66</v>
      </c>
      <c r="FZ28" s="127" t="s">
        <v>35</v>
      </c>
      <c r="GA28" s="127" t="s">
        <v>36</v>
      </c>
      <c r="GB28" s="127" t="s">
        <v>37</v>
      </c>
      <c r="GC28" s="127" t="s">
        <v>39</v>
      </c>
      <c r="GD28" s="127" t="s">
        <v>42</v>
      </c>
      <c r="GE28" s="127" t="s">
        <v>67</v>
      </c>
      <c r="GF28" s="127" t="s">
        <v>68</v>
      </c>
      <c r="GG28" s="128" t="s">
        <v>69</v>
      </c>
    </row>
    <row r="29" spans="1:252" ht="15.75" thickBot="1" x14ac:dyDescent="0.3">
      <c r="A29">
        <v>325</v>
      </c>
      <c r="B29">
        <v>27</v>
      </c>
      <c r="C29">
        <f>Simulator2!D24</f>
        <v>30</v>
      </c>
      <c r="D29">
        <f>MAX(C22,Simulator2!E24)</f>
        <v>175</v>
      </c>
      <c r="E29">
        <f>IF(MAX(B29:C29)&gt;52,52,MAX(B29:C29))</f>
        <v>30</v>
      </c>
      <c r="F29">
        <f>MAX(D29*E29,H36+1)</f>
        <v>5250</v>
      </c>
      <c r="G29" s="123" t="s">
        <v>12</v>
      </c>
      <c r="H29" s="204">
        <v>0.16847315958333334</v>
      </c>
      <c r="I29" s="4">
        <v>72860750</v>
      </c>
      <c r="J29" s="4">
        <v>70444631.50999999</v>
      </c>
      <c r="K29" s="4">
        <f>Simulator2!E10</f>
        <v>134633606</v>
      </c>
      <c r="L29" s="3">
        <f>Simulator2!E18</f>
        <v>0.18</v>
      </c>
      <c r="M29">
        <f>MIN('Thai input'!F44:G44)*'Thai input'!F41</f>
        <v>5250</v>
      </c>
      <c r="N29">
        <f>'Thai input'!F41*'Thai input'!F44*'Table Format Calculations'!P29</f>
        <v>27562.5</v>
      </c>
      <c r="O29" s="210">
        <f>J29*1.2</f>
        <v>84533557.811999992</v>
      </c>
      <c r="P29">
        <v>5.25</v>
      </c>
      <c r="Q29" s="4">
        <v>15686.081383357689</v>
      </c>
      <c r="R29">
        <v>5.72</v>
      </c>
      <c r="S29">
        <v>554</v>
      </c>
      <c r="T29" s="4">
        <f>P36</f>
        <v>72860750</v>
      </c>
      <c r="U29">
        <v>4644.9300000000239</v>
      </c>
      <c r="V29" s="194">
        <f>N36</f>
        <v>-7206975</v>
      </c>
      <c r="W29" s="19">
        <f>IF(V29&lt;0,0,I36-U29)</f>
        <v>0</v>
      </c>
      <c r="X29" s="194">
        <f>K36-J36</f>
        <v>496138.24540793989</v>
      </c>
      <c r="Y29">
        <v>0.19</v>
      </c>
      <c r="Z29" s="230">
        <v>0.16847315958333334</v>
      </c>
      <c r="AA29" s="203">
        <f>(Z29/H29-1)*Y29</f>
        <v>0</v>
      </c>
      <c r="AB29" s="194">
        <f>AA29*K29</f>
        <v>0</v>
      </c>
      <c r="AC29" s="285">
        <f>X29+AB29+FI29+Q143+S151+Q110</f>
        <v>624034.21860924654</v>
      </c>
      <c r="AD29" s="203">
        <f>Q164/K29</f>
        <v>4.2999999994898057E-2</v>
      </c>
      <c r="AE29">
        <f>(Z29-H29)*FM29*(K29*(1+AD29))</f>
        <v>0</v>
      </c>
      <c r="AF29" s="194">
        <f>AE29+V29+HB19+P143+P151+P110</f>
        <v>74796354.600698113</v>
      </c>
      <c r="AH29" s="204"/>
      <c r="AJ29" s="4">
        <f>SUM(AC29,'Table Format Calculations_Blue'!AC29)</f>
        <v>5789245.057313107</v>
      </c>
      <c r="AK29" s="4">
        <f>K29*Simulator2!D10</f>
        <v>5789245.0579999993</v>
      </c>
      <c r="AL29" s="204">
        <f>AJ29/K29</f>
        <v>4.2999999994898057E-2</v>
      </c>
      <c r="CJ29" s="124" t="s">
        <v>30</v>
      </c>
      <c r="CK29" s="131"/>
      <c r="CL29" s="131"/>
      <c r="CM29" s="131">
        <v>28.926823216031032</v>
      </c>
      <c r="CN29" s="131"/>
      <c r="CO29" s="131"/>
      <c r="CP29" s="131"/>
      <c r="CQ29" s="131"/>
      <c r="CR29" s="131"/>
      <c r="CS29" s="131"/>
      <c r="CT29" s="131">
        <v>10.077486339993728</v>
      </c>
      <c r="CU29" s="131">
        <v>18.4945796448972</v>
      </c>
      <c r="CV29" s="131">
        <v>14.13137292017319</v>
      </c>
      <c r="CW29" s="131">
        <v>15.967553528361877</v>
      </c>
      <c r="CX29" s="131">
        <v>14.626126006371658</v>
      </c>
      <c r="CY29" s="131">
        <v>10.367940728580532</v>
      </c>
      <c r="CZ29" s="131"/>
      <c r="DA29" s="131"/>
      <c r="DB29" s="131"/>
      <c r="DC29" s="131"/>
      <c r="DD29" s="131"/>
      <c r="DG29" s="233"/>
      <c r="FH29" t="s">
        <v>12</v>
      </c>
      <c r="FI29" s="194">
        <f>SUM(FM19,FM22)</f>
        <v>0</v>
      </c>
      <c r="FM29">
        <v>16.280423772266118</v>
      </c>
      <c r="FN29" s="16">
        <f t="shared" ref="FN29:GG29" si="130">FN19*(1+DE19)</f>
        <v>39.775852379323055</v>
      </c>
      <c r="FO29" s="16">
        <f t="shared" si="130"/>
        <v>30.880153762112659</v>
      </c>
      <c r="FP29" s="16">
        <f t="shared" si="130"/>
        <v>26.415966518519792</v>
      </c>
      <c r="FQ29" s="16">
        <f t="shared" si="130"/>
        <v>28.2555412866942</v>
      </c>
      <c r="FR29" s="16">
        <f t="shared" si="130"/>
        <v>26.932342207540607</v>
      </c>
      <c r="FS29" s="16">
        <f t="shared" si="130"/>
        <v>17.05862825600072</v>
      </c>
      <c r="FT29" s="16">
        <f t="shared" si="130"/>
        <v>15.183203044049282</v>
      </c>
      <c r="FU29" s="16">
        <f t="shared" si="130"/>
        <v>14.322983319748673</v>
      </c>
      <c r="FV29" s="16">
        <f t="shared" si="130"/>
        <v>15.447497661365762</v>
      </c>
      <c r="FW29" s="16">
        <f t="shared" si="130"/>
        <v>11.83129331148055</v>
      </c>
      <c r="FX29" s="16">
        <f t="shared" si="130"/>
        <v>18.925041170451312</v>
      </c>
      <c r="FY29" s="16">
        <f t="shared" si="130"/>
        <v>0</v>
      </c>
      <c r="FZ29" s="16">
        <f t="shared" si="130"/>
        <v>0</v>
      </c>
      <c r="GA29" s="16">
        <f t="shared" si="130"/>
        <v>14.123777398502911</v>
      </c>
      <c r="GB29" s="16">
        <f t="shared" si="130"/>
        <v>0</v>
      </c>
      <c r="GC29" s="16">
        <f t="shared" si="130"/>
        <v>0</v>
      </c>
      <c r="GD29" s="16">
        <f t="shared" si="130"/>
        <v>0</v>
      </c>
      <c r="GE29" s="16">
        <f t="shared" si="130"/>
        <v>0</v>
      </c>
      <c r="GF29" s="16">
        <f t="shared" si="130"/>
        <v>0</v>
      </c>
      <c r="GG29" s="16">
        <f t="shared" si="130"/>
        <v>0</v>
      </c>
    </row>
    <row r="30" spans="1:252" ht="15.75" thickBot="1" x14ac:dyDescent="0.3">
      <c r="A30">
        <v>750</v>
      </c>
      <c r="B30">
        <v>13</v>
      </c>
      <c r="C30">
        <f>Simulator2!D25</f>
        <v>15</v>
      </c>
      <c r="D30">
        <f>MAX(C23,Simulator2!E25)</f>
        <v>155</v>
      </c>
      <c r="E30">
        <f t="shared" ref="E30:E31" si="131">IF(MAX(B30:C30)&gt;52,52,MAX(B30:C30))</f>
        <v>15</v>
      </c>
      <c r="F30">
        <f t="shared" ref="F30:F31" si="132">MAX(D30*E30,H37+1)</f>
        <v>2325</v>
      </c>
      <c r="G30" s="124" t="s">
        <v>30</v>
      </c>
      <c r="H30" s="204">
        <v>0.16677894466666668</v>
      </c>
      <c r="I30" s="4">
        <v>22556750</v>
      </c>
      <c r="J30" s="4">
        <v>4868429.3082973203</v>
      </c>
      <c r="K30" s="4">
        <f>Simulator2!E11</f>
        <v>7665660</v>
      </c>
      <c r="L30" s="3">
        <f>Simulator2!E19</f>
        <v>0.18</v>
      </c>
      <c r="M30">
        <f>MIN('Thai input'!F45:G45)*'Thai input'!F42</f>
        <v>2325</v>
      </c>
      <c r="N30">
        <f>'Thai input'!F42*'Thai input'!F45*'Table Format Calculations'!P30</f>
        <v>3975.75</v>
      </c>
      <c r="O30" s="210">
        <f t="shared" ref="O30:O31" si="133">J30*1.2</f>
        <v>5842115.1699567838</v>
      </c>
      <c r="P30">
        <v>1.71</v>
      </c>
      <c r="Q30" s="4">
        <v>11558.554357629037</v>
      </c>
      <c r="R30">
        <v>2.81</v>
      </c>
      <c r="S30">
        <v>124</v>
      </c>
      <c r="T30" s="4">
        <f>P37</f>
        <v>22556750</v>
      </c>
      <c r="U30">
        <v>1951.5199999999813</v>
      </c>
      <c r="V30" s="194">
        <f t="shared" ref="V30:V31" si="134">N37</f>
        <v>3304776.0267857127</v>
      </c>
      <c r="W30" s="19">
        <f t="shared" ref="W30:W31" si="135">IF(V30&lt;0,0,I37-U30)</f>
        <v>4563.3800000000183</v>
      </c>
      <c r="X30" s="194">
        <f t="shared" ref="X30:X31" si="136">K37-J37</f>
        <v>96073.772119774949</v>
      </c>
      <c r="Y30">
        <v>0.1</v>
      </c>
      <c r="Z30" s="230">
        <v>0.18</v>
      </c>
      <c r="AA30" s="203">
        <f t="shared" ref="AA30:AA31" si="137">(Z30/H30-1)*Y30</f>
        <v>7.927292836489408E-3</v>
      </c>
      <c r="AB30" s="194">
        <f t="shared" ref="AB30:AB31" si="138">AA30*K30</f>
        <v>60767.931604963393</v>
      </c>
      <c r="AC30" s="285">
        <f>X30+AB30+FI30+S157+Q122</f>
        <v>221552.3591057391</v>
      </c>
      <c r="AD30" s="203">
        <f>Q165/K30</f>
        <v>0.20800000004328736</v>
      </c>
      <c r="AE30">
        <f t="shared" ref="AE30:AE31" si="139">(Z30-H30)*FM30*(K30*(1+AD30))</f>
        <v>2041928.9699109346</v>
      </c>
      <c r="AF30" s="194">
        <f>AE30+V30+HB20+P157+P122</f>
        <v>12460033.876696745</v>
      </c>
      <c r="AH30" s="204"/>
      <c r="AJ30" s="4">
        <f>SUM(AC30,'Table Format Calculations_Blue'!AC30)</f>
        <v>1594457.2803318261</v>
      </c>
      <c r="AK30" s="4">
        <f>K30*Simulator2!D11</f>
        <v>1594457.28</v>
      </c>
      <c r="AL30" s="204">
        <f t="shared" ref="AL30:AL31" si="140">AJ30/K30</f>
        <v>0.20800000004328734</v>
      </c>
      <c r="CJ30" s="124" t="s">
        <v>38</v>
      </c>
      <c r="CK30" s="131"/>
      <c r="CL30" s="131"/>
      <c r="CM30" s="131">
        <v>29.479149059948661</v>
      </c>
      <c r="CN30" s="131">
        <v>29.542317471848889</v>
      </c>
      <c r="CO30" s="131"/>
      <c r="CP30" s="131"/>
      <c r="CQ30" s="131"/>
      <c r="CR30" s="131"/>
      <c r="CS30" s="131"/>
      <c r="CT30" s="131"/>
      <c r="CU30" s="131"/>
      <c r="CV30" s="131"/>
      <c r="CW30" s="131"/>
      <c r="CX30" s="131">
        <v>12.524858109043448</v>
      </c>
      <c r="CY30" s="131"/>
      <c r="CZ30" s="131"/>
      <c r="DA30" s="131">
        <v>14.302068492427839</v>
      </c>
      <c r="DB30" s="131">
        <v>14.132208560096787</v>
      </c>
      <c r="DC30" s="131">
        <v>10.486109047737465</v>
      </c>
      <c r="DD30" s="131">
        <v>10.029355963188261</v>
      </c>
      <c r="FH30" t="s">
        <v>30</v>
      </c>
      <c r="FI30" s="194">
        <f t="shared" ref="FI30:FI31" si="141">SUM(FM20,FM23)</f>
        <v>0</v>
      </c>
      <c r="FM30">
        <v>16.678539613172774</v>
      </c>
      <c r="FN30" s="16">
        <f t="shared" ref="FN30:FN31" si="142">FN20*(1+DE20)</f>
        <v>0</v>
      </c>
      <c r="FO30" s="16">
        <f t="shared" ref="FO30:FO31" si="143">FO20*(1+DF20)</f>
        <v>0</v>
      </c>
      <c r="FP30" s="16">
        <f t="shared" ref="FP30:FP31" si="144">FP20*(1+DG20)</f>
        <v>28.926823216031032</v>
      </c>
      <c r="FQ30" s="16">
        <f t="shared" ref="FQ30:FQ31" si="145">FQ20*(1+DH20)</f>
        <v>0</v>
      </c>
      <c r="FR30" s="16">
        <f t="shared" ref="FR30:FR31" si="146">FR20*(1+DI20)</f>
        <v>0</v>
      </c>
      <c r="FS30" s="16">
        <f t="shared" ref="FS30:FS31" si="147">FS20*(1+DJ20)</f>
        <v>0</v>
      </c>
      <c r="FT30" s="16">
        <f t="shared" ref="FT30:FT31" si="148">FT20*(1+DK20)</f>
        <v>0</v>
      </c>
      <c r="FU30" s="16">
        <f t="shared" ref="FU30:FU31" si="149">FU20*(1+DL20)</f>
        <v>0</v>
      </c>
      <c r="FV30" s="16">
        <f t="shared" ref="FV30:FV31" si="150">FV20*(1+DM20)</f>
        <v>15.976377952755904</v>
      </c>
      <c r="FW30" s="16">
        <f t="shared" ref="FW30:FW31" si="151">FW20*(1+DN20)</f>
        <v>10.077486339993728</v>
      </c>
      <c r="FX30" s="16">
        <f t="shared" ref="FX30:FX31" si="152">FX20*(1+DO20)</f>
        <v>18.4945796448972</v>
      </c>
      <c r="FY30" s="16">
        <f t="shared" ref="FY30:FY31" si="153">FY20*(1+DP20)</f>
        <v>14.13137292017319</v>
      </c>
      <c r="FZ30" s="16">
        <f t="shared" ref="FZ30:FZ31" si="154">FZ20*(1+DQ20)</f>
        <v>15.967553528361877</v>
      </c>
      <c r="GA30" s="16">
        <f t="shared" ref="GA30:GA31" si="155">GA20*(1+DR20)</f>
        <v>14.626126006371658</v>
      </c>
      <c r="GB30" s="16">
        <f t="shared" ref="GB30:GB31" si="156">GB20*(1+DS20)</f>
        <v>10.367940728580532</v>
      </c>
      <c r="GC30" s="16">
        <f t="shared" ref="GC30:GC31" si="157">GC20*(1+DT20)</f>
        <v>0</v>
      </c>
      <c r="GD30" s="16">
        <f t="shared" ref="GD30:GD31" si="158">GD20*(1+DU20)</f>
        <v>0</v>
      </c>
      <c r="GE30" s="16">
        <f t="shared" ref="GE30:GE31" si="159">GE20*(1+DV20)</f>
        <v>0</v>
      </c>
      <c r="GF30" s="16">
        <f>GF20*(1+DW20)</f>
        <v>0</v>
      </c>
      <c r="GG30" s="16">
        <f>GG20*(1+DX20)</f>
        <v>0</v>
      </c>
    </row>
    <row r="31" spans="1:252" ht="15.75" thickBot="1" x14ac:dyDescent="0.3">
      <c r="A31">
        <v>800</v>
      </c>
      <c r="B31">
        <v>11</v>
      </c>
      <c r="C31">
        <f>Simulator2!D26</f>
        <v>15</v>
      </c>
      <c r="D31">
        <f>MAX(C24,Simulator2!E26)</f>
        <v>120</v>
      </c>
      <c r="E31">
        <f t="shared" si="131"/>
        <v>15</v>
      </c>
      <c r="F31">
        <f t="shared" si="132"/>
        <v>1800</v>
      </c>
      <c r="G31" s="124" t="s">
        <v>38</v>
      </c>
      <c r="H31" s="204">
        <v>0.16734845875000001</v>
      </c>
      <c r="I31" s="4">
        <v>16660625</v>
      </c>
      <c r="J31" s="4">
        <v>30794035.323410086</v>
      </c>
      <c r="K31" s="4">
        <f>Simulator2!E12</f>
        <v>6868436</v>
      </c>
      <c r="L31" s="3">
        <f>Simulator2!E20</f>
        <v>0.2</v>
      </c>
      <c r="M31">
        <f>MIN('Thai input'!F46:G46)*'Thai input'!F43</f>
        <v>1800</v>
      </c>
      <c r="N31">
        <f>'Thai input'!F43*'Thai input'!F46*'Table Format Calculations'!P31</f>
        <v>576</v>
      </c>
      <c r="O31" s="210">
        <f t="shared" si="133"/>
        <v>36952842.388092101</v>
      </c>
      <c r="P31">
        <v>0.32</v>
      </c>
      <c r="Q31" s="4">
        <v>13340.559866118985</v>
      </c>
      <c r="R31">
        <v>0.9</v>
      </c>
      <c r="S31">
        <v>25</v>
      </c>
      <c r="T31" s="4">
        <v>16660625</v>
      </c>
      <c r="U31">
        <v>1248.8699999999988</v>
      </c>
      <c r="V31" s="194">
        <f t="shared" si="134"/>
        <v>5882950.8333333358</v>
      </c>
      <c r="W31" s="19">
        <f t="shared" si="135"/>
        <v>551.13000000000125</v>
      </c>
      <c r="X31" s="194">
        <f t="shared" si="136"/>
        <v>30021.910000000036</v>
      </c>
      <c r="Y31">
        <v>7.0000000000000007E-2</v>
      </c>
      <c r="Z31" s="230">
        <v>0.2</v>
      </c>
      <c r="AA31" s="203">
        <f t="shared" si="137"/>
        <v>1.3657776740653733E-2</v>
      </c>
      <c r="AB31" s="194">
        <f t="shared" si="138"/>
        <v>93807.565445468761</v>
      </c>
      <c r="AC31" s="285">
        <f>X31+AB31+Q134+FI31+Q147</f>
        <v>384191.66480367095</v>
      </c>
      <c r="AD31" s="327">
        <f>Q166/K31</f>
        <v>0.51000067228459522</v>
      </c>
      <c r="AE31" s="4">
        <f t="shared" si="139"/>
        <v>3956916.7862606202</v>
      </c>
      <c r="AF31" s="194">
        <f>AE31+V31+HB21+P134+P147</f>
        <v>23088635.569593944</v>
      </c>
      <c r="AH31" s="204"/>
      <c r="AJ31" s="4">
        <f>SUM(AC31,'Table Format Calculations_Blue'!AC31)</f>
        <v>3502906.9775437163</v>
      </c>
      <c r="AK31" s="4">
        <f>K31*Simulator2!D12</f>
        <v>3502902.36</v>
      </c>
      <c r="AL31" s="204">
        <f t="shared" si="140"/>
        <v>0.51000067228459522</v>
      </c>
      <c r="CJ31" s="123" t="s">
        <v>12</v>
      </c>
      <c r="CK31" s="131">
        <v>24</v>
      </c>
      <c r="CL31" s="131">
        <v>36</v>
      </c>
      <c r="CM31" s="131">
        <v>20</v>
      </c>
      <c r="CN31" s="131">
        <v>29</v>
      </c>
      <c r="CO31" s="131">
        <v>39</v>
      </c>
      <c r="CP31" s="131">
        <v>20</v>
      </c>
      <c r="CQ31" s="131">
        <v>17</v>
      </c>
      <c r="CR31" s="131">
        <v>27</v>
      </c>
      <c r="CS31" s="131"/>
      <c r="CT31" s="131">
        <v>46</v>
      </c>
      <c r="CU31" s="131">
        <v>33</v>
      </c>
      <c r="CV31" s="131"/>
      <c r="CW31" s="131"/>
      <c r="CX31" s="131">
        <v>40</v>
      </c>
      <c r="CY31" s="131"/>
      <c r="CZ31" s="131"/>
      <c r="DA31" s="131"/>
      <c r="DB31" s="131"/>
      <c r="DC31" s="131"/>
      <c r="DD31" s="131"/>
      <c r="FH31" t="s">
        <v>38</v>
      </c>
      <c r="FI31" s="194">
        <f t="shared" si="141"/>
        <v>0</v>
      </c>
      <c r="FM31">
        <v>11.684717973880931</v>
      </c>
      <c r="FN31" s="16">
        <f t="shared" si="142"/>
        <v>0</v>
      </c>
      <c r="FO31" s="16">
        <f t="shared" si="143"/>
        <v>0</v>
      </c>
      <c r="FP31" s="16">
        <f t="shared" si="144"/>
        <v>29.479149059948661</v>
      </c>
      <c r="FQ31" s="16">
        <f t="shared" si="145"/>
        <v>29.542317471848889</v>
      </c>
      <c r="FR31" s="16">
        <f t="shared" si="146"/>
        <v>0</v>
      </c>
      <c r="FS31" s="16">
        <f t="shared" si="147"/>
        <v>0</v>
      </c>
      <c r="FT31" s="16">
        <f t="shared" si="148"/>
        <v>0</v>
      </c>
      <c r="FU31" s="16">
        <f t="shared" si="149"/>
        <v>0</v>
      </c>
      <c r="FV31" s="16">
        <f t="shared" si="150"/>
        <v>0</v>
      </c>
      <c r="FW31" s="16">
        <f t="shared" si="151"/>
        <v>0</v>
      </c>
      <c r="FX31" s="16">
        <f t="shared" si="152"/>
        <v>0</v>
      </c>
      <c r="FY31" s="16">
        <f t="shared" si="153"/>
        <v>0</v>
      </c>
      <c r="FZ31" s="16">
        <f t="shared" si="154"/>
        <v>0</v>
      </c>
      <c r="GA31" s="16">
        <f t="shared" si="155"/>
        <v>12.524858109043448</v>
      </c>
      <c r="GB31" s="16">
        <f t="shared" si="156"/>
        <v>0</v>
      </c>
      <c r="GC31" s="16">
        <f t="shared" si="157"/>
        <v>0</v>
      </c>
      <c r="GD31" s="16">
        <f t="shared" si="158"/>
        <v>14.302068492427839</v>
      </c>
      <c r="GE31" s="16">
        <f t="shared" si="159"/>
        <v>14.132208560096787</v>
      </c>
      <c r="GF31" s="16">
        <f>GF21*(1+DW21)</f>
        <v>10.486109047737465</v>
      </c>
      <c r="GG31" s="16">
        <f t="shared" ref="GG31" si="160">GG21*(1+DX21)</f>
        <v>10.029355963188261</v>
      </c>
    </row>
    <row r="32" spans="1:252" ht="15.75" thickBot="1" x14ac:dyDescent="0.3">
      <c r="AC32" s="3"/>
      <c r="AF32" s="4">
        <f>SUM(AF29:AF31)</f>
        <v>110345024.04698882</v>
      </c>
      <c r="CJ32" s="124" t="s">
        <v>30</v>
      </c>
      <c r="CK32" s="131"/>
      <c r="CL32" s="131"/>
      <c r="CM32" s="131">
        <v>31</v>
      </c>
      <c r="CN32" s="131"/>
      <c r="CO32" s="131"/>
      <c r="CP32" s="131"/>
      <c r="CQ32" s="131"/>
      <c r="CR32" s="131"/>
      <c r="CS32" s="131"/>
      <c r="CT32" s="131">
        <v>7</v>
      </c>
      <c r="CU32" s="131">
        <v>32</v>
      </c>
      <c r="CV32" s="131">
        <v>19</v>
      </c>
      <c r="CW32" s="131">
        <v>16</v>
      </c>
      <c r="CX32" s="131">
        <v>30</v>
      </c>
      <c r="CY32" s="131">
        <v>2</v>
      </c>
      <c r="CZ32" s="131"/>
      <c r="DA32" s="131"/>
      <c r="DB32" s="131"/>
      <c r="DC32" s="131"/>
      <c r="DD32" s="131"/>
    </row>
    <row r="33" spans="7:108" x14ac:dyDescent="0.25">
      <c r="CJ33" s="124" t="s">
        <v>38</v>
      </c>
      <c r="CK33" s="270"/>
      <c r="CL33" s="270"/>
      <c r="CM33" s="270">
        <v>12</v>
      </c>
      <c r="CN33" s="270">
        <v>0</v>
      </c>
      <c r="CO33" s="270"/>
      <c r="CP33" s="270"/>
      <c r="CQ33" s="270"/>
      <c r="CR33" s="270"/>
      <c r="CS33" s="270"/>
      <c r="CT33" s="270"/>
      <c r="CU33" s="270"/>
      <c r="CV33" s="270"/>
      <c r="CW33" s="270"/>
      <c r="CX33" s="270">
        <v>3</v>
      </c>
      <c r="CY33" s="270"/>
      <c r="CZ33" s="270"/>
      <c r="DA33" s="270">
        <v>1</v>
      </c>
      <c r="DB33" s="270">
        <v>21</v>
      </c>
      <c r="DC33" s="270">
        <v>22</v>
      </c>
      <c r="DD33" s="270">
        <v>5</v>
      </c>
    </row>
    <row r="34" spans="7:108" x14ac:dyDescent="0.25">
      <c r="J34" t="s">
        <v>192</v>
      </c>
      <c r="K34" t="s">
        <v>193</v>
      </c>
      <c r="AC34" s="194">
        <f>SUM(AC29:AC30)</f>
        <v>845586.5777149857</v>
      </c>
      <c r="AE34" t="s">
        <v>347</v>
      </c>
      <c r="AF34" s="194">
        <f>SUM(AF29:AF30)</f>
        <v>87256388.477394864</v>
      </c>
      <c r="CK34" s="271"/>
      <c r="CL34" s="271"/>
      <c r="CM34" s="271"/>
      <c r="CN34" s="271"/>
      <c r="CO34" s="271"/>
      <c r="CP34" s="271"/>
      <c r="CQ34" s="271"/>
      <c r="CR34" s="271"/>
      <c r="CS34" s="271"/>
      <c r="CT34" s="271"/>
      <c r="CU34" s="271"/>
      <c r="CV34" s="271"/>
      <c r="CW34" s="271"/>
      <c r="CX34" s="271"/>
      <c r="CY34" s="271"/>
      <c r="CZ34" s="271"/>
      <c r="DA34" s="271"/>
      <c r="DB34" s="271"/>
      <c r="DC34" s="271"/>
      <c r="DD34" s="271"/>
    </row>
    <row r="35" spans="7:108" ht="15.75" thickBot="1" x14ac:dyDescent="0.3">
      <c r="G35" s="36" t="s">
        <v>52</v>
      </c>
      <c r="H35" s="10" t="s">
        <v>157</v>
      </c>
      <c r="I35" s="223" t="s">
        <v>174</v>
      </c>
      <c r="J35" s="228" t="s">
        <v>194</v>
      </c>
      <c r="K35" s="229" t="s">
        <v>195</v>
      </c>
      <c r="L35" s="39" t="s">
        <v>196</v>
      </c>
      <c r="M35" s="229" t="s">
        <v>197</v>
      </c>
      <c r="N35" s="20" t="s">
        <v>198</v>
      </c>
      <c r="P35" s="225" t="s">
        <v>348</v>
      </c>
      <c r="Q35" t="s">
        <v>344</v>
      </c>
      <c r="R35" t="s">
        <v>345</v>
      </c>
    </row>
    <row r="36" spans="7:108" x14ac:dyDescent="0.25">
      <c r="G36" s="123" t="s">
        <v>12</v>
      </c>
      <c r="H36">
        <v>4644.9300000000239</v>
      </c>
      <c r="I36" s="224">
        <f>J98</f>
        <v>6514.9</v>
      </c>
      <c r="J36" s="220">
        <f>S60</f>
        <v>6328400.2846381459</v>
      </c>
      <c r="K36" s="194">
        <f>L98</f>
        <v>6824538.5300460858</v>
      </c>
      <c r="M36" s="194">
        <f>K98</f>
        <v>65653775</v>
      </c>
      <c r="N36" s="194">
        <f>M36-T29</f>
        <v>-7206975</v>
      </c>
      <c r="P36" s="4">
        <v>72860750</v>
      </c>
      <c r="Q36" s="210">
        <f>P36/H36</f>
        <v>15686.081383357689</v>
      </c>
      <c r="R36" s="194">
        <f>(F29-H36)*Q36</f>
        <v>9491177.2626278605</v>
      </c>
    </row>
    <row r="37" spans="7:108" x14ac:dyDescent="0.25">
      <c r="G37" s="124" t="s">
        <v>30</v>
      </c>
      <c r="H37">
        <v>1951.5199999999813</v>
      </c>
      <c r="I37" s="224">
        <f t="shared" ref="I37:I38" si="161">J99</f>
        <v>6514.9</v>
      </c>
      <c r="J37" s="220">
        <f>S74</f>
        <v>317814.03628223907</v>
      </c>
      <c r="K37" s="194">
        <f t="shared" ref="K37:K38" si="162">L99</f>
        <v>413887.80840201402</v>
      </c>
      <c r="M37" s="194">
        <f t="shared" ref="M37:M38" si="163">K99</f>
        <v>25861526.026785713</v>
      </c>
      <c r="N37" s="194">
        <f t="shared" ref="N37:N38" si="164">M37-T30</f>
        <v>3304776.0267857127</v>
      </c>
      <c r="P37" s="4">
        <v>22556750</v>
      </c>
      <c r="Q37" s="210">
        <f t="shared" ref="Q37:Q38" si="165">P37/H37</f>
        <v>11558.554357629037</v>
      </c>
      <c r="R37" s="194">
        <f t="shared" ref="R37:R38" si="166">(F30-H37)*Q37</f>
        <v>4316888.8814875083</v>
      </c>
    </row>
    <row r="38" spans="7:108" x14ac:dyDescent="0.25">
      <c r="G38" s="124" t="s">
        <v>38</v>
      </c>
      <c r="H38">
        <v>1248.8699999999988</v>
      </c>
      <c r="I38" s="224">
        <f t="shared" si="161"/>
        <v>1800</v>
      </c>
      <c r="J38">
        <f t="shared" ref="J38" si="167">H38*S31</f>
        <v>31221.749999999967</v>
      </c>
      <c r="K38" s="194">
        <f t="shared" si="162"/>
        <v>61243.66</v>
      </c>
      <c r="M38" s="194">
        <f t="shared" si="163"/>
        <v>22543575.833333336</v>
      </c>
      <c r="N38" s="194">
        <f t="shared" si="164"/>
        <v>5882950.8333333358</v>
      </c>
      <c r="P38" s="4">
        <v>16660625</v>
      </c>
      <c r="Q38" s="210">
        <f t="shared" si="165"/>
        <v>13340.559866118985</v>
      </c>
      <c r="R38" s="194">
        <f t="shared" si="166"/>
        <v>7352382.7590141725</v>
      </c>
    </row>
    <row r="40" spans="7:108" x14ac:dyDescent="0.25">
      <c r="AG40" s="194"/>
    </row>
    <row r="49" spans="3:31" x14ac:dyDescent="0.25">
      <c r="Q49" t="s">
        <v>377</v>
      </c>
    </row>
    <row r="50" spans="3:31" x14ac:dyDescent="0.25">
      <c r="P50" t="s">
        <v>376</v>
      </c>
      <c r="Q50" s="210">
        <f>SUM(Q54:Q59,Q68:Q73)</f>
        <v>91515301.026785716</v>
      </c>
    </row>
    <row r="52" spans="3:31" x14ac:dyDescent="0.25">
      <c r="AA52" t="s">
        <v>172</v>
      </c>
      <c r="AB52" t="s">
        <v>173</v>
      </c>
    </row>
    <row r="53" spans="3:31" x14ac:dyDescent="0.25">
      <c r="C53" t="s">
        <v>309</v>
      </c>
      <c r="D53" t="s">
        <v>310</v>
      </c>
      <c r="F53" t="s">
        <v>73</v>
      </c>
      <c r="G53" s="533" t="s">
        <v>12</v>
      </c>
      <c r="H53" s="211" t="s">
        <v>158</v>
      </c>
      <c r="I53" s="211" t="s">
        <v>159</v>
      </c>
      <c r="J53" s="211" t="s">
        <v>95</v>
      </c>
      <c r="K53" s="211" t="s">
        <v>96</v>
      </c>
      <c r="L53" s="212" t="s">
        <v>160</v>
      </c>
      <c r="M53" s="212" t="s">
        <v>161</v>
      </c>
      <c r="N53" s="213" t="s">
        <v>162</v>
      </c>
      <c r="O53" s="214" t="s">
        <v>163</v>
      </c>
      <c r="P53" s="215" t="s">
        <v>164</v>
      </c>
      <c r="Q53" s="215" t="s">
        <v>165</v>
      </c>
      <c r="R53" s="216" t="s">
        <v>166</v>
      </c>
      <c r="S53" s="217" t="s">
        <v>167</v>
      </c>
      <c r="T53" s="217" t="s">
        <v>168</v>
      </c>
      <c r="U53" s="217" t="s">
        <v>342</v>
      </c>
      <c r="W53" s="445" t="s">
        <v>378</v>
      </c>
      <c r="X53" s="445" t="s">
        <v>380</v>
      </c>
      <c r="Y53" s="445" t="s">
        <v>381</v>
      </c>
      <c r="AA53" s="220">
        <f>SUM(S54:S58)</f>
        <v>2201051</v>
      </c>
      <c r="AB53" s="220">
        <f>SUM(R54:R58)</f>
        <v>1980945.9</v>
      </c>
      <c r="AD53" t="s">
        <v>230</v>
      </c>
      <c r="AE53" t="s">
        <v>231</v>
      </c>
    </row>
    <row r="54" spans="3:31" x14ac:dyDescent="0.25">
      <c r="C54" s="3">
        <f>S54*$H$13/J54</f>
        <v>2.2056832952124839</v>
      </c>
      <c r="D54" s="3">
        <f>R54*$AD$12/Q54</f>
        <v>2.2056832952124839</v>
      </c>
      <c r="E54" s="203">
        <f>J54/SUM($J$54:$J$59)</f>
        <v>0.49815572856441909</v>
      </c>
      <c r="F54" s="210">
        <f>I54/L54</f>
        <v>1.4734350892660347E-2</v>
      </c>
      <c r="G54" s="533"/>
      <c r="H54" t="s">
        <v>97</v>
      </c>
      <c r="I54">
        <v>333</v>
      </c>
      <c r="J54">
        <v>36296000</v>
      </c>
      <c r="K54">
        <v>1606</v>
      </c>
      <c r="L54" s="4">
        <f>J54/K54</f>
        <v>22600.249066002492</v>
      </c>
      <c r="M54" s="218">
        <f>K54/SUM($K$54:$K$58)</f>
        <v>0.35366659326139616</v>
      </c>
      <c r="N54" s="219">
        <f>0.9*K54</f>
        <v>1445.4</v>
      </c>
      <c r="O54">
        <v>0</v>
      </c>
      <c r="P54" s="3">
        <f>N54+O54</f>
        <v>1445.4</v>
      </c>
      <c r="Q54" s="210">
        <f>P54*U54</f>
        <v>32666400.000000004</v>
      </c>
      <c r="R54" s="220">
        <f>P54*I54</f>
        <v>481318.2</v>
      </c>
      <c r="S54" s="220">
        <f>K54*I54</f>
        <v>534798</v>
      </c>
      <c r="T54" s="220">
        <f>R54-S54</f>
        <v>-53479.799999999988</v>
      </c>
      <c r="U54">
        <f>Simulator2!D29</f>
        <v>22600.249066002492</v>
      </c>
      <c r="W54" s="210">
        <f>Simulator2!D10*K29</f>
        <v>5789245.0579999993</v>
      </c>
      <c r="X54" s="194">
        <f>AA171</f>
        <v>5293106.8119051671</v>
      </c>
      <c r="Y54" s="194">
        <f>W54-X54</f>
        <v>496138.2460948322</v>
      </c>
      <c r="AA54" s="203">
        <f>S54/$AA$53</f>
        <v>0.24297392472959509</v>
      </c>
      <c r="AB54" s="203">
        <f>R54/$AB$53</f>
        <v>0.24297392472959511</v>
      </c>
      <c r="AD54" s="210">
        <f>J54/S54</f>
        <v>67.868615813821293</v>
      </c>
      <c r="AE54" s="210">
        <f>Q54/R54</f>
        <v>67.868615813821293</v>
      </c>
    </row>
    <row r="55" spans="3:31" x14ac:dyDescent="0.25">
      <c r="C55" s="3">
        <f t="shared" ref="C55:C58" si="168">S55*$H$13/J55</f>
        <v>3.4180225723869988</v>
      </c>
      <c r="D55" s="3">
        <f t="shared" ref="D55:D58" si="169">R55*$AD$12/Q55</f>
        <v>3.4180225723869988</v>
      </c>
      <c r="E55" s="203">
        <f t="shared" ref="E55:E59" si="170">J55/SUM($J$54:$J$59)</f>
        <v>0.18638292908047199</v>
      </c>
      <c r="F55" s="210">
        <f t="shared" ref="F55:F58" si="171">I55/L55</f>
        <v>2.2832989690721648E-2</v>
      </c>
      <c r="G55" s="533"/>
      <c r="H55" t="s">
        <v>171</v>
      </c>
      <c r="I55">
        <v>392</v>
      </c>
      <c r="J55">
        <v>13580000</v>
      </c>
      <c r="K55">
        <v>791</v>
      </c>
      <c r="L55" s="4">
        <f t="shared" ref="L55:L59" si="172">J55/K55</f>
        <v>17168.141592920354</v>
      </c>
      <c r="M55" s="218">
        <f t="shared" ref="M55:M58" si="173">K55/SUM($K$54:$K$58)</f>
        <v>0.1741907068927549</v>
      </c>
      <c r="N55" s="219">
        <f t="shared" ref="N55:N58" si="174">0.9*K55</f>
        <v>711.9</v>
      </c>
      <c r="O55">
        <v>0</v>
      </c>
      <c r="P55" s="3">
        <f t="shared" ref="P55:P58" si="175">N55+O55</f>
        <v>711.9</v>
      </c>
      <c r="Q55" s="210">
        <f t="shared" ref="Q55:Q58" si="176">P55*U55</f>
        <v>12222000</v>
      </c>
      <c r="R55" s="220">
        <f t="shared" ref="R55:R58" si="177">P55*I55</f>
        <v>279064.8</v>
      </c>
      <c r="S55" s="220">
        <f t="shared" ref="S55:S58" si="178">K55*I55</f>
        <v>310072</v>
      </c>
      <c r="T55" s="220">
        <f t="shared" ref="T55:T61" si="179">R55-S55</f>
        <v>-31007.200000000012</v>
      </c>
      <c r="U55">
        <f>Simulator2!D30</f>
        <v>17168.141592920354</v>
      </c>
      <c r="AA55" s="203">
        <f>S55/$AA$53</f>
        <v>0.14087451858225911</v>
      </c>
      <c r="AB55" s="203">
        <f>R55/$AB$53</f>
        <v>0.14087451858225911</v>
      </c>
      <c r="AD55" s="210">
        <f>J55/S55</f>
        <v>43.79627957377641</v>
      </c>
      <c r="AE55" s="210">
        <f>Q55/R55</f>
        <v>43.796279573776417</v>
      </c>
    </row>
    <row r="56" spans="3:31" x14ac:dyDescent="0.25">
      <c r="C56" s="3">
        <f t="shared" si="168"/>
        <v>7.6225843835135869</v>
      </c>
      <c r="D56" s="3">
        <f t="shared" si="169"/>
        <v>7.622584383513586</v>
      </c>
      <c r="E56" s="203">
        <f t="shared" si="170"/>
        <v>0.13703194106566294</v>
      </c>
      <c r="F56" s="210">
        <f t="shared" si="171"/>
        <v>5.0920199313919424E-2</v>
      </c>
      <c r="G56" s="533"/>
      <c r="H56" t="s">
        <v>100</v>
      </c>
      <c r="I56">
        <v>656</v>
      </c>
      <c r="J56">
        <v>9984250</v>
      </c>
      <c r="K56">
        <v>775</v>
      </c>
      <c r="L56" s="4">
        <f t="shared" si="172"/>
        <v>12882.903225806451</v>
      </c>
      <c r="M56" s="218">
        <f t="shared" si="173"/>
        <v>0.17066725390883064</v>
      </c>
      <c r="N56" s="219">
        <f t="shared" si="174"/>
        <v>697.5</v>
      </c>
      <c r="O56">
        <v>0</v>
      </c>
      <c r="P56" s="3">
        <f t="shared" si="175"/>
        <v>697.5</v>
      </c>
      <c r="Q56" s="210">
        <f t="shared" si="176"/>
        <v>8985825</v>
      </c>
      <c r="R56" s="220">
        <f t="shared" si="177"/>
        <v>457560</v>
      </c>
      <c r="S56" s="220">
        <f t="shared" si="178"/>
        <v>508400</v>
      </c>
      <c r="T56" s="220">
        <f t="shared" si="179"/>
        <v>-50840</v>
      </c>
      <c r="U56">
        <f>Simulator2!D31</f>
        <v>12882.903225806451</v>
      </c>
      <c r="AA56" s="203">
        <f>S56/$AA$53</f>
        <v>0.23098056337631431</v>
      </c>
      <c r="AB56" s="203">
        <f>R56/$AB$53</f>
        <v>0.23098056337631431</v>
      </c>
      <c r="AD56" s="210">
        <f>J56/S56</f>
        <v>19.638571990558614</v>
      </c>
      <c r="AE56" s="210">
        <f>Q56/R56</f>
        <v>19.638571990558614</v>
      </c>
    </row>
    <row r="57" spans="3:31" x14ac:dyDescent="0.25">
      <c r="C57" s="3">
        <f t="shared" si="168"/>
        <v>8.2569226683838686</v>
      </c>
      <c r="D57" s="3">
        <f t="shared" si="169"/>
        <v>8.2569226683838703</v>
      </c>
      <c r="E57" s="203">
        <f t="shared" si="170"/>
        <v>0.11301695357239666</v>
      </c>
      <c r="F57" s="210">
        <f t="shared" si="171"/>
        <v>5.5157690205841277E-2</v>
      </c>
      <c r="G57" s="533"/>
      <c r="H57" t="s">
        <v>114</v>
      </c>
      <c r="I57">
        <v>419</v>
      </c>
      <c r="J57">
        <v>8234500</v>
      </c>
      <c r="K57">
        <v>1084</v>
      </c>
      <c r="L57" s="4">
        <f t="shared" si="172"/>
        <v>7596.4022140221405</v>
      </c>
      <c r="M57" s="218">
        <f t="shared" si="173"/>
        <v>0.23871393966086765</v>
      </c>
      <c r="N57" s="219">
        <f t="shared" si="174"/>
        <v>975.6</v>
      </c>
      <c r="O57">
        <v>0</v>
      </c>
      <c r="P57" s="3">
        <f t="shared" si="175"/>
        <v>975.6</v>
      </c>
      <c r="Q57" s="210">
        <f t="shared" si="176"/>
        <v>7411050</v>
      </c>
      <c r="R57" s="220">
        <f t="shared" si="177"/>
        <v>408776.4</v>
      </c>
      <c r="S57" s="220">
        <f t="shared" si="178"/>
        <v>454196</v>
      </c>
      <c r="T57" s="220">
        <f t="shared" si="179"/>
        <v>-45419.599999999977</v>
      </c>
      <c r="U57">
        <f>Simulator2!D32</f>
        <v>7596.4022140221405</v>
      </c>
      <c r="AA57" s="203">
        <f>S57/$AA$53</f>
        <v>0.20635414626921411</v>
      </c>
      <c r="AB57" s="203">
        <f>R57/$AB$53</f>
        <v>0.20635414626921414</v>
      </c>
      <c r="AD57" s="210">
        <f>J57/S57</f>
        <v>18.129838219623245</v>
      </c>
      <c r="AE57" s="210">
        <f>Q57/R57</f>
        <v>18.129838219623245</v>
      </c>
    </row>
    <row r="58" spans="3:31" x14ac:dyDescent="0.25">
      <c r="C58" s="3">
        <f t="shared" si="168"/>
        <v>14.822230117214312</v>
      </c>
      <c r="D58" s="3">
        <f t="shared" si="169"/>
        <v>14.822230117214314</v>
      </c>
      <c r="E58" s="203">
        <f t="shared" si="170"/>
        <v>5.4556122466485731E-2</v>
      </c>
      <c r="F58" s="210">
        <f t="shared" si="171"/>
        <v>9.9015094339622647E-2</v>
      </c>
      <c r="G58" s="533"/>
      <c r="H58" s="286" t="s">
        <v>118</v>
      </c>
      <c r="I58">
        <v>1381</v>
      </c>
      <c r="J58">
        <v>3975000</v>
      </c>
      <c r="K58">
        <v>285</v>
      </c>
      <c r="L58" s="4">
        <f t="shared" si="172"/>
        <v>13947.368421052632</v>
      </c>
      <c r="M58" s="218">
        <f t="shared" si="173"/>
        <v>6.2761506276150625E-2</v>
      </c>
      <c r="N58" s="219">
        <f t="shared" si="174"/>
        <v>256.5</v>
      </c>
      <c r="O58">
        <v>0</v>
      </c>
      <c r="P58" s="3">
        <f t="shared" si="175"/>
        <v>256.5</v>
      </c>
      <c r="Q58" s="210">
        <f t="shared" si="176"/>
        <v>3577500</v>
      </c>
      <c r="R58" s="220">
        <f t="shared" si="177"/>
        <v>354226.5</v>
      </c>
      <c r="S58" s="220">
        <f t="shared" si="178"/>
        <v>393585</v>
      </c>
      <c r="T58" s="220">
        <f t="shared" si="179"/>
        <v>-39358.5</v>
      </c>
      <c r="U58">
        <f>Simulator2!D33</f>
        <v>13947.368421052632</v>
      </c>
      <c r="AA58" s="203">
        <f>S58/$AA$53</f>
        <v>0.17881684704261736</v>
      </c>
      <c r="AB58" s="203">
        <f>R58/$AB$53</f>
        <v>0.17881684704261738</v>
      </c>
      <c r="AD58" s="210">
        <f>J58/S58</f>
        <v>10.09947025420176</v>
      </c>
      <c r="AE58" s="210">
        <f>Q58/R58</f>
        <v>10.09947025420176</v>
      </c>
    </row>
    <row r="59" spans="3:31" x14ac:dyDescent="0.25">
      <c r="C59" s="3">
        <f t="shared" ref="C59" si="180">S59*$H$13/J59</f>
        <v>70.446425008512804</v>
      </c>
      <c r="D59" s="3">
        <f t="shared" ref="D59" si="181">R59*$AD$12/Q59</f>
        <v>70.446425008512804</v>
      </c>
      <c r="E59" s="203">
        <f t="shared" si="170"/>
        <v>1.0856325250563575E-2</v>
      </c>
      <c r="G59" s="533"/>
      <c r="H59" t="s">
        <v>105</v>
      </c>
      <c r="J59">
        <v>791000</v>
      </c>
      <c r="K59">
        <v>103</v>
      </c>
      <c r="L59" s="4">
        <f t="shared" si="172"/>
        <v>7679.6116504854372</v>
      </c>
      <c r="M59" s="218"/>
      <c r="N59" s="219">
        <v>103</v>
      </c>
      <c r="O59">
        <v>0</v>
      </c>
      <c r="P59" s="3">
        <v>103</v>
      </c>
      <c r="Q59">
        <f t="shared" ref="Q59" si="182">P59*L59</f>
        <v>791000</v>
      </c>
      <c r="R59" s="220">
        <v>372240.22000001301</v>
      </c>
      <c r="S59" s="220">
        <v>372240.22000001301</v>
      </c>
      <c r="T59" s="220">
        <f t="shared" si="179"/>
        <v>0</v>
      </c>
    </row>
    <row r="60" spans="3:31" x14ac:dyDescent="0.25">
      <c r="C60" s="3">
        <f t="shared" ref="C60" si="183">S60*$H$13/J60</f>
        <v>9.9283722877707152</v>
      </c>
      <c r="D60" s="3">
        <f t="shared" ref="D60" si="184">R60*$AD$12/Q60</f>
        <v>11.163277567573623</v>
      </c>
      <c r="J60" s="194">
        <f>SUM(J54:J59,J61)</f>
        <v>95417500</v>
      </c>
      <c r="K60" s="194">
        <f>SUM(K54:K59,K61)</f>
        <v>6596.57</v>
      </c>
      <c r="L60" s="4"/>
      <c r="N60" s="3">
        <f>SUM(N54:N59)</f>
        <v>4189.8999999999996</v>
      </c>
      <c r="O60">
        <f t="shared" ref="O60:S60" si="185">SUM(O54:O59,O61)</f>
        <v>561.92999999999984</v>
      </c>
      <c r="P60" s="3">
        <f t="shared" si="185"/>
        <v>6514.9</v>
      </c>
      <c r="Q60" s="3">
        <f t="shared" si="185"/>
        <v>91515301.026785716</v>
      </c>
      <c r="R60" s="4">
        <f t="shared" si="185"/>
        <v>6824538.5300460858</v>
      </c>
      <c r="S60" s="220">
        <f t="shared" si="185"/>
        <v>6328400.2846381459</v>
      </c>
      <c r="T60" s="220">
        <f>SUM(T54:T59,T61)</f>
        <v>496138.24540793907</v>
      </c>
    </row>
    <row r="61" spans="3:31" x14ac:dyDescent="0.25">
      <c r="C61" s="3">
        <f>SUM(S54:S59)*$H$13/SUM(J54:J59)</f>
        <v>5.286977311619915</v>
      </c>
      <c r="D61" s="210">
        <f>SUM(R54:R59)*$AD$12/SUM(Q54:Q59)</f>
        <v>5.3654817435863071</v>
      </c>
      <c r="H61" t="s">
        <v>343</v>
      </c>
      <c r="I61" s="437">
        <v>1923.1623269015367</v>
      </c>
      <c r="J61" s="194">
        <f>P37</f>
        <v>22556750</v>
      </c>
      <c r="K61" s="444">
        <v>1952.57</v>
      </c>
      <c r="L61" s="4">
        <f>Q37</f>
        <v>11558.554357629037</v>
      </c>
      <c r="N61" s="219">
        <f>SUM(N68:N73)</f>
        <v>1763.0700000000002</v>
      </c>
      <c r="O61">
        <f>SUM(O68:O72)</f>
        <v>561.92999999999984</v>
      </c>
      <c r="P61" s="438">
        <f t="shared" ref="P61" si="186">N61+O61</f>
        <v>2325</v>
      </c>
      <c r="Q61" s="4">
        <f>Q78</f>
        <v>25861526.026785713</v>
      </c>
      <c r="R61" s="220">
        <f t="shared" ref="R61" si="187">P61*I61</f>
        <v>4471352.4100460727</v>
      </c>
      <c r="S61" s="220">
        <f t="shared" ref="S61" si="188">K61*I61</f>
        <v>3755109.0646381336</v>
      </c>
      <c r="T61" s="220">
        <f t="shared" si="179"/>
        <v>716243.34540793905</v>
      </c>
      <c r="X61" s="204">
        <f>T61/K29</f>
        <v>5.319944749960415E-3</v>
      </c>
    </row>
    <row r="62" spans="3:31" x14ac:dyDescent="0.25">
      <c r="N62" s="222" t="s">
        <v>169</v>
      </c>
      <c r="O62" s="222" t="s">
        <v>170</v>
      </c>
    </row>
    <row r="63" spans="3:31" x14ac:dyDescent="0.25">
      <c r="C63" s="3">
        <f>MAX(C54:C58)</f>
        <v>14.822230117214312</v>
      </c>
      <c r="E63">
        <f>VLOOKUP(C63,$C$53:$I$59,7,FALSE)</f>
        <v>1381</v>
      </c>
      <c r="F63">
        <f>E63*O63</f>
        <v>0</v>
      </c>
      <c r="N63" s="11">
        <f>SUM(M29)-N60</f>
        <v>1060.1000000000004</v>
      </c>
      <c r="O63" s="19">
        <f>SUM(O54:O59)</f>
        <v>0</v>
      </c>
      <c r="S63" s="220"/>
    </row>
    <row r="64" spans="3:31" x14ac:dyDescent="0.25">
      <c r="I64" t="s">
        <v>12</v>
      </c>
      <c r="J64" s="4">
        <f>SUM(J54:J59)</f>
        <v>72860750</v>
      </c>
      <c r="K64" s="4">
        <f>SUM(K54:K59)</f>
        <v>4644</v>
      </c>
      <c r="P64" s="4">
        <f>SUM(P54:P59)</f>
        <v>4189.8999999999996</v>
      </c>
      <c r="Q64" s="4">
        <f>SUM(Q54:Q59)</f>
        <v>65653775</v>
      </c>
    </row>
    <row r="65" spans="3:31" x14ac:dyDescent="0.25">
      <c r="I65" t="s">
        <v>388</v>
      </c>
      <c r="J65" s="4">
        <f>J61</f>
        <v>22556750</v>
      </c>
      <c r="K65" s="4">
        <f>K61</f>
        <v>1952.57</v>
      </c>
      <c r="P65" s="4">
        <f>P61</f>
        <v>2325</v>
      </c>
      <c r="Q65" s="4">
        <f>Q61</f>
        <v>25861526.026785713</v>
      </c>
    </row>
    <row r="66" spans="3:31" x14ac:dyDescent="0.25">
      <c r="AA66" t="s">
        <v>172</v>
      </c>
      <c r="AB66" t="s">
        <v>173</v>
      </c>
    </row>
    <row r="67" spans="3:31" x14ac:dyDescent="0.25">
      <c r="C67" t="s">
        <v>309</v>
      </c>
      <c r="D67" t="s">
        <v>310</v>
      </c>
      <c r="F67" t="s">
        <v>73</v>
      </c>
      <c r="G67" s="533" t="s">
        <v>30</v>
      </c>
      <c r="H67" s="211" t="s">
        <v>158</v>
      </c>
      <c r="I67" s="211" t="s">
        <v>159</v>
      </c>
      <c r="J67" s="211" t="s">
        <v>95</v>
      </c>
      <c r="K67" s="211" t="s">
        <v>96</v>
      </c>
      <c r="L67" s="212" t="s">
        <v>160</v>
      </c>
      <c r="M67" s="212" t="s">
        <v>161</v>
      </c>
      <c r="N67" s="213" t="s">
        <v>162</v>
      </c>
      <c r="O67" s="214" t="s">
        <v>163</v>
      </c>
      <c r="P67" s="215" t="s">
        <v>164</v>
      </c>
      <c r="Q67" s="215" t="s">
        <v>165</v>
      </c>
      <c r="R67" s="216" t="s">
        <v>166</v>
      </c>
      <c r="S67" s="217" t="s">
        <v>167</v>
      </c>
      <c r="T67" s="217" t="s">
        <v>168</v>
      </c>
      <c r="U67" s="217" t="s">
        <v>342</v>
      </c>
      <c r="W67" s="445" t="s">
        <v>378</v>
      </c>
      <c r="X67" s="445" t="s">
        <v>380</v>
      </c>
      <c r="Y67" s="445" t="s">
        <v>381</v>
      </c>
      <c r="AA67" s="220">
        <f>SUM(S68:S72)</f>
        <v>201364</v>
      </c>
      <c r="AB67" s="220">
        <f>SUM(R68:R72)</f>
        <v>304852.19999999995</v>
      </c>
      <c r="AD67" t="s">
        <v>230</v>
      </c>
      <c r="AE67" t="s">
        <v>231</v>
      </c>
    </row>
    <row r="68" spans="3:31" x14ac:dyDescent="0.25">
      <c r="C68" s="3">
        <f>S68*$H$14/J68</f>
        <v>0.65885151864681557</v>
      </c>
      <c r="D68" s="3">
        <f>R68*$AD$13/Q68</f>
        <v>0.65885151864681546</v>
      </c>
      <c r="E68" s="203">
        <f>J68/SUM($J$68:$J$73)</f>
        <v>0.45140589845611623</v>
      </c>
      <c r="F68" s="210">
        <f>I68/L68</f>
        <v>4.1741265437403325E-3</v>
      </c>
      <c r="G68" s="533"/>
      <c r="H68" t="s">
        <v>97</v>
      </c>
      <c r="I68">
        <v>79</v>
      </c>
      <c r="J68">
        <v>10182250</v>
      </c>
      <c r="K68">
        <v>538</v>
      </c>
      <c r="L68">
        <f>J68/K68</f>
        <v>18926.115241635689</v>
      </c>
      <c r="M68" s="218">
        <f>K68/SUM($K$68:$K$72)</f>
        <v>0.28390501319261213</v>
      </c>
      <c r="N68" s="219">
        <f>0.9*K68</f>
        <v>484.2</v>
      </c>
      <c r="O68">
        <f>IF(I68=$E$76,$O$77,0)</f>
        <v>0</v>
      </c>
      <c r="P68" s="3">
        <f>N68+O68</f>
        <v>484.2</v>
      </c>
      <c r="Q68">
        <f>P68*U68</f>
        <v>9164025</v>
      </c>
      <c r="R68" s="220">
        <f>P68*I68</f>
        <v>38251.799999999996</v>
      </c>
      <c r="S68" s="220">
        <f>K68*I68</f>
        <v>42502</v>
      </c>
      <c r="T68" s="220">
        <f>R68-S68</f>
        <v>-4250.2000000000044</v>
      </c>
      <c r="U68">
        <f>Simulator2!E29</f>
        <v>18926.115241635689</v>
      </c>
      <c r="W68" s="210">
        <f>Simulator2!D11*'Table Format Calculations'!K30</f>
        <v>1594457.28</v>
      </c>
      <c r="X68" s="194">
        <f>AA172</f>
        <v>1498383.5082120514</v>
      </c>
      <c r="Y68" s="194">
        <f>W68-X68</f>
        <v>96073.771787948674</v>
      </c>
      <c r="AA68" s="203">
        <f>S68/$AA$67</f>
        <v>0.21107049919548679</v>
      </c>
      <c r="AB68" s="203">
        <f>R68/$AB$67</f>
        <v>0.1254765424031711</v>
      </c>
      <c r="AD68" s="210">
        <f>J68/S68</f>
        <v>239.57107900804667</v>
      </c>
      <c r="AE68" s="210">
        <f>Q68/R68</f>
        <v>239.57107900804669</v>
      </c>
    </row>
    <row r="69" spans="3:31" x14ac:dyDescent="0.25">
      <c r="C69" s="3">
        <f t="shared" ref="C69:C72" si="189">S69*$H$14/J69</f>
        <v>1.3249660712293043</v>
      </c>
      <c r="D69" s="3">
        <f t="shared" ref="D69:D72" si="190">R69*$AD$13/Q69</f>
        <v>1.3249660712293041</v>
      </c>
      <c r="E69" s="203">
        <f t="shared" ref="E69:E73" si="191">J69/SUM($J$68:$J$73)</f>
        <v>0.1902534717989072</v>
      </c>
      <c r="F69" s="210">
        <f t="shared" ref="F69:F72" si="192">I69/L69</f>
        <v>8.3942677385529536E-3</v>
      </c>
      <c r="G69" s="533"/>
      <c r="H69" t="s">
        <v>171</v>
      </c>
      <c r="I69">
        <v>114</v>
      </c>
      <c r="J69">
        <v>4291500</v>
      </c>
      <c r="K69">
        <v>316</v>
      </c>
      <c r="L69">
        <f t="shared" ref="L69:L74" si="193">J69/K69</f>
        <v>13580.696202531646</v>
      </c>
      <c r="M69" s="218">
        <f t="shared" ref="M69:M72" si="194">K69/SUM($K$68:$K$72)</f>
        <v>0.16675461741424802</v>
      </c>
      <c r="N69" s="219">
        <f t="shared" ref="N69:N72" si="195">0.9*K69</f>
        <v>284.40000000000003</v>
      </c>
      <c r="O69">
        <f t="shared" ref="O69:O72" si="196">IF(I69=$E$76,$O$77,0)</f>
        <v>0</v>
      </c>
      <c r="P69" s="3">
        <f t="shared" ref="P69:P72" si="197">N69+O69</f>
        <v>284.40000000000003</v>
      </c>
      <c r="Q69">
        <f t="shared" ref="Q69:Q72" si="198">P69*U69</f>
        <v>3862350.0000000005</v>
      </c>
      <c r="R69" s="220">
        <f t="shared" ref="R69:R72" si="199">P69*I69</f>
        <v>32421.600000000002</v>
      </c>
      <c r="S69" s="220">
        <f t="shared" ref="S69:S72" si="200">K69*I69</f>
        <v>36024</v>
      </c>
      <c r="T69" s="220">
        <f t="shared" ref="T69:T73" si="201">R69-S69</f>
        <v>-3602.3999999999978</v>
      </c>
      <c r="U69">
        <f>Simulator2!E30</f>
        <v>13580.696202531646</v>
      </c>
      <c r="AA69" s="203">
        <f>S69/$AA$67</f>
        <v>0.17889990266383266</v>
      </c>
      <c r="AB69" s="203">
        <f>R69/$AB$67</f>
        <v>0.1063518649365168</v>
      </c>
      <c r="AD69" s="210">
        <f>J69/S69</f>
        <v>119.12891405729513</v>
      </c>
      <c r="AE69" s="210">
        <f>Q69/R69</f>
        <v>119.12891405729515</v>
      </c>
    </row>
    <row r="70" spans="3:31" x14ac:dyDescent="0.25">
      <c r="C70" s="3">
        <f t="shared" si="189"/>
        <v>2.2051729210666648</v>
      </c>
      <c r="D70" s="3">
        <f t="shared" si="190"/>
        <v>2.2051729210666648</v>
      </c>
      <c r="E70" s="203">
        <f t="shared" si="191"/>
        <v>0.13807396898932692</v>
      </c>
      <c r="F70" s="210">
        <f t="shared" si="192"/>
        <v>1.3970781826938512E-2</v>
      </c>
      <c r="G70" s="533"/>
      <c r="H70" t="s">
        <v>100</v>
      </c>
      <c r="I70">
        <v>168</v>
      </c>
      <c r="J70">
        <v>3114500</v>
      </c>
      <c r="K70">
        <v>259</v>
      </c>
      <c r="L70">
        <f t="shared" si="193"/>
        <v>12025.096525096526</v>
      </c>
      <c r="M70" s="218">
        <f t="shared" si="194"/>
        <v>0.13667546174142481</v>
      </c>
      <c r="N70" s="219">
        <f t="shared" si="195"/>
        <v>233.1</v>
      </c>
      <c r="O70">
        <f t="shared" si="196"/>
        <v>0</v>
      </c>
      <c r="P70" s="3">
        <f t="shared" si="197"/>
        <v>233.1</v>
      </c>
      <c r="Q70">
        <f t="shared" si="198"/>
        <v>2803050</v>
      </c>
      <c r="R70" s="220">
        <f t="shared" si="199"/>
        <v>39160.799999999996</v>
      </c>
      <c r="S70" s="220">
        <f t="shared" si="200"/>
        <v>43512</v>
      </c>
      <c r="T70" s="220">
        <f t="shared" si="201"/>
        <v>-4351.2000000000044</v>
      </c>
      <c r="U70">
        <f>Simulator2!E31</f>
        <v>12025.096525096526</v>
      </c>
      <c r="AA70" s="203">
        <f>S70/$AA$67</f>
        <v>0.21608629149202441</v>
      </c>
      <c r="AB70" s="203">
        <f>R70/$AB$67</f>
        <v>0.12845831520979675</v>
      </c>
      <c r="AD70" s="210">
        <f>J70/S70</f>
        <v>71.577955506526934</v>
      </c>
      <c r="AE70" s="210">
        <f>Q70/R70</f>
        <v>71.577955506526948</v>
      </c>
    </row>
    <row r="71" spans="3:31" x14ac:dyDescent="0.25">
      <c r="C71" s="3">
        <f t="shared" si="189"/>
        <v>2.2223743420161139</v>
      </c>
      <c r="D71" s="3">
        <f t="shared" si="190"/>
        <v>2.2223743420161139</v>
      </c>
      <c r="E71" s="203">
        <f t="shared" si="191"/>
        <v>0.13339687676637813</v>
      </c>
      <c r="F71" s="210">
        <f t="shared" si="192"/>
        <v>1.407976071784646E-2</v>
      </c>
      <c r="G71" s="533"/>
      <c r="H71" t="s">
        <v>114</v>
      </c>
      <c r="I71">
        <v>69</v>
      </c>
      <c r="J71">
        <v>3009000</v>
      </c>
      <c r="K71">
        <v>614</v>
      </c>
      <c r="L71">
        <f t="shared" si="193"/>
        <v>4900.651465798046</v>
      </c>
      <c r="M71" s="218">
        <f t="shared" si="194"/>
        <v>0.32401055408970975</v>
      </c>
      <c r="N71" s="219">
        <f t="shared" si="195"/>
        <v>552.6</v>
      </c>
      <c r="O71">
        <f t="shared" si="196"/>
        <v>0</v>
      </c>
      <c r="P71" s="3">
        <f t="shared" si="197"/>
        <v>552.6</v>
      </c>
      <c r="Q71">
        <f t="shared" si="198"/>
        <v>2708100.0000000005</v>
      </c>
      <c r="R71" s="220">
        <f t="shared" si="199"/>
        <v>38129.4</v>
      </c>
      <c r="S71" s="220">
        <f t="shared" si="200"/>
        <v>42366</v>
      </c>
      <c r="T71" s="220">
        <f t="shared" si="201"/>
        <v>-4236.5999999999985</v>
      </c>
      <c r="U71">
        <f>Simulator2!E32</f>
        <v>4900.651465798046</v>
      </c>
      <c r="AA71" s="203">
        <f>S71/$AA$67</f>
        <v>0.21039510538129955</v>
      </c>
      <c r="AB71" s="203">
        <f>R71/$AB$67</f>
        <v>0.12507503636188294</v>
      </c>
      <c r="AD71" s="210">
        <f>J71/S71</f>
        <v>71.023934286928196</v>
      </c>
      <c r="AE71" s="210">
        <f>Q71/R71</f>
        <v>71.02393428692821</v>
      </c>
    </row>
    <row r="72" spans="3:31" x14ac:dyDescent="0.25">
      <c r="C72" s="3">
        <f t="shared" si="189"/>
        <v>3.5287051508714686</v>
      </c>
      <c r="D72" s="3">
        <f t="shared" si="190"/>
        <v>3.5287051508714691</v>
      </c>
      <c r="E72" s="203">
        <f t="shared" si="191"/>
        <v>7.3292916754408327E-2</v>
      </c>
      <c r="F72" s="210">
        <f t="shared" si="192"/>
        <v>2.2355965522455768E-2</v>
      </c>
      <c r="G72" s="533"/>
      <c r="H72" t="s">
        <v>118</v>
      </c>
      <c r="I72">
        <v>220</v>
      </c>
      <c r="J72">
        <v>1653250</v>
      </c>
      <c r="K72">
        <v>168</v>
      </c>
      <c r="L72">
        <f t="shared" si="193"/>
        <v>9840.7738095238092</v>
      </c>
      <c r="M72" s="218">
        <f t="shared" si="194"/>
        <v>8.8654353562005281E-2</v>
      </c>
      <c r="N72" s="219">
        <f t="shared" si="195"/>
        <v>151.20000000000002</v>
      </c>
      <c r="O72">
        <f t="shared" si="196"/>
        <v>561.92999999999984</v>
      </c>
      <c r="P72" s="3">
        <f t="shared" si="197"/>
        <v>713.12999999999988</v>
      </c>
      <c r="Q72">
        <f t="shared" si="198"/>
        <v>7017751.0267857127</v>
      </c>
      <c r="R72" s="220">
        <f t="shared" si="199"/>
        <v>156888.59999999998</v>
      </c>
      <c r="S72" s="220">
        <f t="shared" si="200"/>
        <v>36960</v>
      </c>
      <c r="T72" s="220">
        <f t="shared" si="201"/>
        <v>119928.59999999998</v>
      </c>
      <c r="U72">
        <f>Simulator2!E33</f>
        <v>9840.7738095238092</v>
      </c>
      <c r="AA72" s="203">
        <f>S72/$AA$67</f>
        <v>0.18354820126735663</v>
      </c>
      <c r="AB72" s="203">
        <f>R72/$AB$67</f>
        <v>0.51463824108863243</v>
      </c>
      <c r="AD72" s="210">
        <f>J72/S72</f>
        <v>44.730790043290042</v>
      </c>
      <c r="AE72" s="210">
        <f>Q72/R72</f>
        <v>44.730790043290042</v>
      </c>
    </row>
    <row r="73" spans="3:31" x14ac:dyDescent="0.25">
      <c r="C73" s="3">
        <f t="shared" ref="C73:C74" si="202">S73*$H$14/J73</f>
        <v>20.937678475529061</v>
      </c>
      <c r="D73" s="3">
        <f t="shared" ref="D73:D74" si="203">R73*$AD$13/Q73</f>
        <v>20.937678475529061</v>
      </c>
      <c r="E73" s="203">
        <f t="shared" si="191"/>
        <v>1.3576867234863179E-2</v>
      </c>
      <c r="G73" s="533"/>
      <c r="H73" t="s">
        <v>105</v>
      </c>
      <c r="J73">
        <v>306250</v>
      </c>
      <c r="K73">
        <v>57.569999999999993</v>
      </c>
      <c r="L73">
        <f t="shared" si="193"/>
        <v>5319.6109084592672</v>
      </c>
      <c r="M73" s="218"/>
      <c r="N73" s="219">
        <v>57.569999999999993</v>
      </c>
      <c r="O73">
        <v>0</v>
      </c>
      <c r="P73" s="3">
        <v>57.569999999999993</v>
      </c>
      <c r="Q73">
        <f t="shared" ref="Q73" si="204">P73*L73</f>
        <v>306250</v>
      </c>
      <c r="R73" s="220">
        <v>40624</v>
      </c>
      <c r="S73" s="220">
        <v>40624</v>
      </c>
      <c r="T73" s="220">
        <f t="shared" si="201"/>
        <v>0</v>
      </c>
    </row>
    <row r="74" spans="3:31" x14ac:dyDescent="0.25">
      <c r="C74" s="3">
        <f t="shared" si="202"/>
        <v>0.52573510909820753</v>
      </c>
      <c r="D74" s="3">
        <f t="shared" si="203"/>
        <v>0.71385640660330241</v>
      </c>
      <c r="J74" s="194">
        <f>SUM(J68:J73,J75)</f>
        <v>95417500</v>
      </c>
      <c r="K74" s="194">
        <f>SUM(K68:K73,K75)</f>
        <v>6596.57</v>
      </c>
      <c r="L74">
        <f t="shared" si="193"/>
        <v>14464.714237853916</v>
      </c>
      <c r="N74" s="3">
        <f>SUM(N68:N73)</f>
        <v>1763.0700000000002</v>
      </c>
      <c r="O74">
        <f t="shared" ref="O74:T74" si="205">SUM(O68:O73,O75)</f>
        <v>561.92999999999984</v>
      </c>
      <c r="P74" s="3">
        <f t="shared" si="205"/>
        <v>6514.9</v>
      </c>
      <c r="Q74" s="3">
        <f t="shared" si="205"/>
        <v>91515301.026785716</v>
      </c>
      <c r="R74" s="3">
        <f t="shared" si="205"/>
        <v>413887.80840201402</v>
      </c>
      <c r="S74" s="220">
        <f t="shared" si="205"/>
        <v>317814.03628223907</v>
      </c>
      <c r="T74" s="220">
        <f t="shared" si="205"/>
        <v>96073.772119774992</v>
      </c>
    </row>
    <row r="75" spans="3:31" x14ac:dyDescent="0.25">
      <c r="C75" s="3">
        <f>SUM(S68:S73)*$H$14/SUM(J68:J73)</f>
        <v>1.6933208042834071</v>
      </c>
      <c r="D75" s="210">
        <f>SUM(R68:R73)*$AD$13/SUM(Q68:Q73)</f>
        <v>2.108559818851889</v>
      </c>
      <c r="H75" t="s">
        <v>346</v>
      </c>
      <c r="I75" s="437">
        <v>16.327742524168617</v>
      </c>
      <c r="J75" s="194">
        <f>P36</f>
        <v>72860750</v>
      </c>
      <c r="K75" s="4">
        <v>4644</v>
      </c>
      <c r="L75" s="210">
        <f>Q36</f>
        <v>15686.081383357689</v>
      </c>
      <c r="N75" s="219">
        <f>SUM(N54:N59)</f>
        <v>4189.8999999999996</v>
      </c>
      <c r="O75">
        <f>SUM(O54:O58)</f>
        <v>0</v>
      </c>
      <c r="P75" s="3">
        <f t="shared" ref="P75" si="206">N75+O75</f>
        <v>4189.8999999999996</v>
      </c>
      <c r="Q75" s="4">
        <f>Q64</f>
        <v>65653775</v>
      </c>
      <c r="R75" s="220">
        <f t="shared" ref="R75" si="207">P75*I75</f>
        <v>68411.608402014084</v>
      </c>
      <c r="S75" s="220">
        <f t="shared" ref="S75" si="208">K75*I75</f>
        <v>75826.03628223906</v>
      </c>
      <c r="T75" s="220">
        <f t="shared" ref="T75" si="209">R75-S75</f>
        <v>-7414.4278802249755</v>
      </c>
    </row>
    <row r="76" spans="3:31" x14ac:dyDescent="0.25">
      <c r="C76" s="3">
        <f>MAX(C68:C72)</f>
        <v>3.5287051508714686</v>
      </c>
      <c r="E76">
        <f>VLOOKUP(C76,$C$67:$I$73,7,FALSE)</f>
        <v>220</v>
      </c>
      <c r="F76">
        <f>E76*O77</f>
        <v>123624.59999999996</v>
      </c>
      <c r="N76" s="222" t="s">
        <v>169</v>
      </c>
      <c r="O76" s="222" t="s">
        <v>170</v>
      </c>
    </row>
    <row r="77" spans="3:31" x14ac:dyDescent="0.25">
      <c r="N77" s="11">
        <f>SUM(M30)-N74</f>
        <v>561.92999999999984</v>
      </c>
      <c r="O77" s="19">
        <v>561.92999999999984</v>
      </c>
      <c r="S77" s="220"/>
    </row>
    <row r="78" spans="3:31" x14ac:dyDescent="0.25">
      <c r="I78" t="s">
        <v>30</v>
      </c>
      <c r="J78" s="4">
        <f>SUM(J68:J73)</f>
        <v>22556750</v>
      </c>
      <c r="K78" s="4">
        <f>SUM(K68:K73)</f>
        <v>1952.57</v>
      </c>
      <c r="P78" s="4">
        <f>SUM(P68:P73)</f>
        <v>2325.0000000000005</v>
      </c>
      <c r="Q78" s="4">
        <f>SUM(Q68:Q73)</f>
        <v>25861526.026785713</v>
      </c>
    </row>
    <row r="79" spans="3:31" x14ac:dyDescent="0.25">
      <c r="I79" t="s">
        <v>388</v>
      </c>
      <c r="J79" s="4">
        <f>J75</f>
        <v>72860750</v>
      </c>
      <c r="K79" s="4">
        <f>K75</f>
        <v>4644</v>
      </c>
      <c r="P79" s="4">
        <f>P75</f>
        <v>4189.8999999999996</v>
      </c>
      <c r="Q79" s="4">
        <f>Q75</f>
        <v>65653775</v>
      </c>
    </row>
    <row r="81" spans="3:31" x14ac:dyDescent="0.25">
      <c r="AA81" t="s">
        <v>172</v>
      </c>
      <c r="AB81" t="s">
        <v>173</v>
      </c>
    </row>
    <row r="82" spans="3:31" x14ac:dyDescent="0.25">
      <c r="C82" t="s">
        <v>309</v>
      </c>
      <c r="D82" t="s">
        <v>310</v>
      </c>
      <c r="F82" t="s">
        <v>73</v>
      </c>
      <c r="G82" s="533" t="s">
        <v>38</v>
      </c>
      <c r="H82" s="211" t="s">
        <v>158</v>
      </c>
      <c r="I82" s="211" t="s">
        <v>159</v>
      </c>
      <c r="J82" s="211" t="s">
        <v>95</v>
      </c>
      <c r="K82" s="211" t="s">
        <v>96</v>
      </c>
      <c r="L82" s="212" t="s">
        <v>160</v>
      </c>
      <c r="M82" s="212" t="s">
        <v>161</v>
      </c>
      <c r="N82" s="213" t="s">
        <v>162</v>
      </c>
      <c r="O82" s="214" t="s">
        <v>163</v>
      </c>
      <c r="P82" s="215" t="s">
        <v>164</v>
      </c>
      <c r="Q82" s="215" t="s">
        <v>165</v>
      </c>
      <c r="R82" s="216" t="s">
        <v>166</v>
      </c>
      <c r="S82" s="217" t="s">
        <v>167</v>
      </c>
      <c r="T82" s="217" t="s">
        <v>168</v>
      </c>
      <c r="U82" s="217" t="s">
        <v>342</v>
      </c>
      <c r="AA82" s="220">
        <f>SUM(S83:S87)</f>
        <v>30896</v>
      </c>
      <c r="AB82" s="220">
        <f>SUM(R83:R87)</f>
        <v>60917.66</v>
      </c>
      <c r="AD82" t="s">
        <v>230</v>
      </c>
      <c r="AE82" t="s">
        <v>231</v>
      </c>
    </row>
    <row r="83" spans="3:31" x14ac:dyDescent="0.25">
      <c r="C83" s="3">
        <f>S83*$H$15/J83</f>
        <v>0.1251707953187057</v>
      </c>
      <c r="D83" s="3">
        <f>R83*$AD$14/Q83</f>
        <v>0.1251707953187057</v>
      </c>
      <c r="E83" s="203">
        <f>J83/SUM($J$83:$J$88)</f>
        <v>0.51689987620512434</v>
      </c>
      <c r="F83" s="309">
        <f>I83/L83</f>
        <v>7.8902677988242976E-4</v>
      </c>
      <c r="G83" s="533"/>
      <c r="H83" t="s">
        <v>97</v>
      </c>
      <c r="I83">
        <v>15</v>
      </c>
      <c r="J83">
        <v>8611875</v>
      </c>
      <c r="K83">
        <v>453</v>
      </c>
      <c r="L83">
        <f>J83/K83</f>
        <v>19010.761589403974</v>
      </c>
      <c r="M83" s="218">
        <f>K83/SUM($K$83:$K$87)</f>
        <v>0.36444086886564764</v>
      </c>
      <c r="N83" s="219">
        <f>0.9*K83</f>
        <v>407.7</v>
      </c>
      <c r="O83">
        <v>0</v>
      </c>
      <c r="P83" s="3">
        <f>N83+O83</f>
        <v>407.7</v>
      </c>
      <c r="Q83">
        <f>P83*U83</f>
        <v>7750687.5</v>
      </c>
      <c r="R83" s="220">
        <f>P83*I83</f>
        <v>6115.5</v>
      </c>
      <c r="S83" s="220">
        <f>K83*I83</f>
        <v>6795</v>
      </c>
      <c r="T83" s="220">
        <f>R83-S83</f>
        <v>-679.5</v>
      </c>
      <c r="U83">
        <f>Simulator2!G29</f>
        <v>19010.761589403974</v>
      </c>
      <c r="AA83" s="203">
        <f>S83/$AA$82</f>
        <v>0.21993138270326257</v>
      </c>
      <c r="AB83" s="203">
        <f>R83/$AB$82</f>
        <v>0.10038960787397283</v>
      </c>
      <c r="AD83" s="210">
        <f>J83/S83</f>
        <v>1267.3841059602648</v>
      </c>
      <c r="AE83" s="210">
        <f>Q83/R83</f>
        <v>1267.3841059602648</v>
      </c>
    </row>
    <row r="84" spans="3:31" x14ac:dyDescent="0.25">
      <c r="C84" s="3">
        <f t="shared" ref="C84:C87" si="210">S84*$H$15/J84</f>
        <v>0.27970937918621847</v>
      </c>
      <c r="D84" s="3">
        <f t="shared" ref="D84:D87" si="211">R84*$AD$14/Q84</f>
        <v>0.27970937918621847</v>
      </c>
      <c r="E84" s="203">
        <f t="shared" ref="E84:E87" si="212">J84/SUM($J$83:$J$88)</f>
        <v>0.1708219229470683</v>
      </c>
      <c r="F84" s="309">
        <f t="shared" ref="F84:F87" si="213">I84/L84</f>
        <v>1.76317638791286E-3</v>
      </c>
      <c r="G84" s="533"/>
      <c r="H84" t="s">
        <v>171</v>
      </c>
      <c r="I84">
        <v>26</v>
      </c>
      <c r="J84">
        <v>2846000</v>
      </c>
      <c r="K84">
        <v>193</v>
      </c>
      <c r="L84">
        <f t="shared" ref="L84:L88" si="214">J84/K84</f>
        <v>14746.113989637306</v>
      </c>
      <c r="M84" s="218">
        <f t="shared" ref="M84:M87" si="215">K84/SUM($K$83:$K$87)</f>
        <v>0.15526950925181013</v>
      </c>
      <c r="N84" s="219">
        <f t="shared" ref="N84:N87" si="216">0.9*K84</f>
        <v>173.70000000000002</v>
      </c>
      <c r="O84">
        <v>0</v>
      </c>
      <c r="P84" s="3">
        <f t="shared" ref="P84:P87" si="217">N84+O84</f>
        <v>173.70000000000002</v>
      </c>
      <c r="Q84">
        <f t="shared" ref="Q84:Q87" si="218">P84*U84</f>
        <v>2561400.0000000005</v>
      </c>
      <c r="R84" s="220">
        <f t="shared" ref="R84:R87" si="219">P84*I84</f>
        <v>4516.2000000000007</v>
      </c>
      <c r="S84" s="220">
        <f t="shared" ref="S84:S87" si="220">K84*I84</f>
        <v>5018</v>
      </c>
      <c r="T84" s="220">
        <f t="shared" ref="T84:T88" si="221">R84-S84</f>
        <v>-501.79999999999927</v>
      </c>
      <c r="U84">
        <f>Simulator2!G30</f>
        <v>14746.113989637306</v>
      </c>
      <c r="AA84" s="203">
        <f>S84/$AA$82</f>
        <v>0.16241584671154843</v>
      </c>
      <c r="AB84" s="203">
        <f>R84/$AB$82</f>
        <v>7.4136137205532859E-2</v>
      </c>
      <c r="AD84" s="210">
        <f>J84/S84</f>
        <v>567.15823037066559</v>
      </c>
      <c r="AE84" s="210">
        <f>Q84/R84</f>
        <v>567.15823037066559</v>
      </c>
    </row>
    <row r="85" spans="3:31" x14ac:dyDescent="0.25">
      <c r="C85" s="3">
        <f t="shared" si="210"/>
        <v>0.64992610535694928</v>
      </c>
      <c r="D85" s="3">
        <f t="shared" si="211"/>
        <v>0.64992610535694917</v>
      </c>
      <c r="E85" s="203">
        <f t="shared" si="212"/>
        <v>0.11524177514348952</v>
      </c>
      <c r="F85" s="309">
        <f t="shared" si="213"/>
        <v>4.0968749999999998E-3</v>
      </c>
      <c r="G85" s="533"/>
      <c r="H85" t="s">
        <v>100</v>
      </c>
      <c r="I85">
        <v>46</v>
      </c>
      <c r="J85">
        <v>1920000</v>
      </c>
      <c r="K85">
        <v>171</v>
      </c>
      <c r="L85">
        <f t="shared" si="214"/>
        <v>11228.070175438597</v>
      </c>
      <c r="M85" s="218">
        <f t="shared" si="215"/>
        <v>0.13757039420756234</v>
      </c>
      <c r="N85" s="219">
        <f t="shared" si="216"/>
        <v>153.9</v>
      </c>
      <c r="O85">
        <v>0</v>
      </c>
      <c r="P85" s="3">
        <f t="shared" si="217"/>
        <v>153.9</v>
      </c>
      <c r="Q85">
        <f t="shared" si="218"/>
        <v>1728000.0000000002</v>
      </c>
      <c r="R85" s="220">
        <f t="shared" si="219"/>
        <v>7079.4000000000005</v>
      </c>
      <c r="S85" s="220">
        <f t="shared" si="220"/>
        <v>7866</v>
      </c>
      <c r="T85" s="220">
        <f t="shared" si="221"/>
        <v>-786.59999999999945</v>
      </c>
      <c r="U85">
        <f>Simulator2!G31</f>
        <v>11228.070175438597</v>
      </c>
      <c r="AA85" s="203">
        <f>S85/$AA$82</f>
        <v>0.2545960642154324</v>
      </c>
      <c r="AB85" s="203">
        <f>R85/$AB$82</f>
        <v>0.11621260567132749</v>
      </c>
      <c r="AD85" s="210">
        <f>J85/S85</f>
        <v>244.08848207475211</v>
      </c>
      <c r="AE85" s="210">
        <f>Q85/R85</f>
        <v>244.08848207475211</v>
      </c>
    </row>
    <row r="86" spans="3:31" x14ac:dyDescent="0.25">
      <c r="C86" s="3">
        <f t="shared" si="210"/>
        <v>0.47769364241231549</v>
      </c>
      <c r="D86" s="3">
        <f t="shared" si="211"/>
        <v>0.47769364241231554</v>
      </c>
      <c r="E86" s="203">
        <f t="shared" si="212"/>
        <v>0.13275312300709008</v>
      </c>
      <c r="F86" s="309">
        <f t="shared" si="213"/>
        <v>3.0111902339776198E-3</v>
      </c>
      <c r="G86" s="533"/>
      <c r="H86" t="s">
        <v>114</v>
      </c>
      <c r="I86">
        <v>20</v>
      </c>
      <c r="J86">
        <v>2211750</v>
      </c>
      <c r="K86">
        <v>333</v>
      </c>
      <c r="L86">
        <f t="shared" si="214"/>
        <v>6641.8918918918916</v>
      </c>
      <c r="M86" s="218">
        <f t="shared" si="215"/>
        <v>0.26790024135156876</v>
      </c>
      <c r="N86" s="219">
        <f t="shared" si="216"/>
        <v>299.7</v>
      </c>
      <c r="O86">
        <v>0</v>
      </c>
      <c r="P86" s="3">
        <f t="shared" si="217"/>
        <v>299.7</v>
      </c>
      <c r="Q86">
        <f t="shared" si="218"/>
        <v>1990574.9999999998</v>
      </c>
      <c r="R86" s="220">
        <f t="shared" si="219"/>
        <v>5994</v>
      </c>
      <c r="S86" s="220">
        <f t="shared" si="220"/>
        <v>6660</v>
      </c>
      <c r="T86" s="220">
        <f t="shared" si="221"/>
        <v>-666</v>
      </c>
      <c r="U86">
        <f>Simulator2!G32</f>
        <v>6641.8918918918916</v>
      </c>
      <c r="AA86" s="203">
        <f>S86/$AA$82</f>
        <v>0.2155618850336613</v>
      </c>
      <c r="AB86" s="203">
        <f>R86/$AB$82</f>
        <v>9.839511235329787E-2</v>
      </c>
      <c r="AD86" s="210">
        <f>J86/S86</f>
        <v>332.09459459459458</v>
      </c>
      <c r="AE86" s="210">
        <f>Q86/R86</f>
        <v>332.09459459459458</v>
      </c>
    </row>
    <row r="87" spans="3:31" x14ac:dyDescent="0.25">
      <c r="C87" s="3">
        <f t="shared" si="210"/>
        <v>0.69611949397158124</v>
      </c>
      <c r="D87" s="3">
        <f t="shared" si="211"/>
        <v>0.69611949397158124</v>
      </c>
      <c r="E87" s="203">
        <f t="shared" si="212"/>
        <v>6.2332595565892636E-2</v>
      </c>
      <c r="F87" s="309">
        <f t="shared" si="213"/>
        <v>4.3880597014925374E-3</v>
      </c>
      <c r="G87" s="533"/>
      <c r="H87" t="s">
        <v>118</v>
      </c>
      <c r="I87">
        <v>49</v>
      </c>
      <c r="J87">
        <v>1038500</v>
      </c>
      <c r="K87">
        <v>93</v>
      </c>
      <c r="L87">
        <f t="shared" si="214"/>
        <v>11166.666666666666</v>
      </c>
      <c r="M87" s="218">
        <f t="shared" si="215"/>
        <v>7.4818986323411107E-2</v>
      </c>
      <c r="N87" s="219">
        <f t="shared" si="216"/>
        <v>83.7</v>
      </c>
      <c r="O87">
        <v>675.74</v>
      </c>
      <c r="P87" s="3">
        <f t="shared" si="217"/>
        <v>759.44</v>
      </c>
      <c r="Q87">
        <f t="shared" si="218"/>
        <v>8480413.333333334</v>
      </c>
      <c r="R87" s="220">
        <f t="shared" si="219"/>
        <v>37212.560000000005</v>
      </c>
      <c r="S87" s="220">
        <f t="shared" si="220"/>
        <v>4557</v>
      </c>
      <c r="T87" s="220">
        <f>R87-S87</f>
        <v>32655.560000000005</v>
      </c>
      <c r="U87">
        <f>Simulator2!G33</f>
        <v>11166.666666666666</v>
      </c>
      <c r="AA87" s="203">
        <f>S87/$AA$82</f>
        <v>0.14749482133609529</v>
      </c>
      <c r="AB87" s="203">
        <f>R87/$AB$82</f>
        <v>0.61086653689586901</v>
      </c>
      <c r="AD87" s="210">
        <f>J87/S87</f>
        <v>227.89115646258503</v>
      </c>
      <c r="AE87" s="210">
        <f>Q87/R87</f>
        <v>227.89115646258503</v>
      </c>
    </row>
    <row r="88" spans="3:31" x14ac:dyDescent="0.25">
      <c r="C88" s="3">
        <f t="shared" ref="C88:C89" si="222">S88*$H$15/J88</f>
        <v>1.5912759798354033</v>
      </c>
      <c r="D88" s="3">
        <f t="shared" ref="D88:D89" si="223">R88*$AD$14/Q88</f>
        <v>1.5912759798354035</v>
      </c>
      <c r="G88" s="533"/>
      <c r="H88" t="s">
        <v>105</v>
      </c>
      <c r="J88">
        <v>32500</v>
      </c>
      <c r="K88">
        <v>5.56</v>
      </c>
      <c r="L88">
        <f t="shared" si="214"/>
        <v>5845.3237410071943</v>
      </c>
      <c r="M88" s="218"/>
      <c r="N88" s="219">
        <v>5.56</v>
      </c>
      <c r="O88">
        <v>0</v>
      </c>
      <c r="P88" s="3">
        <v>5.56</v>
      </c>
      <c r="Q88">
        <f t="shared" ref="Q88" si="224">P88*L88</f>
        <v>32499.999999999996</v>
      </c>
      <c r="R88" s="220">
        <v>326</v>
      </c>
      <c r="S88" s="220">
        <v>326</v>
      </c>
      <c r="T88" s="220">
        <f t="shared" si="221"/>
        <v>0</v>
      </c>
    </row>
    <row r="89" spans="3:31" x14ac:dyDescent="0.25">
      <c r="C89" s="3">
        <f t="shared" si="222"/>
        <v>0.2972902718730045</v>
      </c>
      <c r="D89" s="3">
        <f t="shared" si="223"/>
        <v>0.43097254110147792</v>
      </c>
      <c r="J89">
        <f>SUM(J83:J88)</f>
        <v>16660625</v>
      </c>
      <c r="K89">
        <f>SUM(K83:K88)</f>
        <v>1248.56</v>
      </c>
      <c r="N89" s="3">
        <f>SUM(N83:N88)</f>
        <v>1124.26</v>
      </c>
      <c r="O89">
        <f>SUM(O83:O88)</f>
        <v>675.74</v>
      </c>
      <c r="P89" s="3">
        <f>SUM(P83:P88)</f>
        <v>1800</v>
      </c>
      <c r="Q89" s="3">
        <f t="shared" ref="Q89:R89" si="225">SUM(Q83:Q88)</f>
        <v>22543575.833333336</v>
      </c>
      <c r="R89" s="3">
        <f t="shared" si="225"/>
        <v>61243.66</v>
      </c>
      <c r="S89" s="220">
        <f>SUM(S83:S88)</f>
        <v>31222</v>
      </c>
      <c r="T89" s="220">
        <f>SUM(T83:T88)</f>
        <v>30021.660000000007</v>
      </c>
    </row>
    <row r="90" spans="3:31" x14ac:dyDescent="0.25">
      <c r="N90" s="3"/>
      <c r="P90" s="3"/>
      <c r="Q90" s="3"/>
      <c r="R90" s="221"/>
    </row>
    <row r="91" spans="3:31" x14ac:dyDescent="0.25">
      <c r="H91" t="s">
        <v>97</v>
      </c>
      <c r="I91">
        <f>SUM(J83,J68,J54)</f>
        <v>55090125</v>
      </c>
      <c r="J91">
        <f>I91/SUM($I$91:$I$96)</f>
        <v>0.49153324968632373</v>
      </c>
      <c r="N91" s="222" t="s">
        <v>169</v>
      </c>
      <c r="O91" s="222" t="s">
        <v>170</v>
      </c>
    </row>
    <row r="92" spans="3:31" x14ac:dyDescent="0.25">
      <c r="H92" t="s">
        <v>171</v>
      </c>
      <c r="I92">
        <f t="shared" ref="I92:I96" si="226">SUM(J84,J69,J55)</f>
        <v>20717500</v>
      </c>
      <c r="N92" s="11">
        <f>M31-N89</f>
        <v>675.74</v>
      </c>
      <c r="O92" s="19">
        <f>SUM(O83:O88)</f>
        <v>675.74</v>
      </c>
      <c r="S92" s="220"/>
    </row>
    <row r="93" spans="3:31" x14ac:dyDescent="0.25">
      <c r="H93" t="s">
        <v>100</v>
      </c>
      <c r="I93">
        <f t="shared" si="226"/>
        <v>15018750</v>
      </c>
    </row>
    <row r="94" spans="3:31" x14ac:dyDescent="0.25">
      <c r="H94" t="s">
        <v>114</v>
      </c>
      <c r="I94">
        <f t="shared" si="226"/>
        <v>13455250</v>
      </c>
    </row>
    <row r="95" spans="3:31" x14ac:dyDescent="0.25">
      <c r="H95" t="s">
        <v>118</v>
      </c>
      <c r="I95">
        <f t="shared" si="226"/>
        <v>6666750</v>
      </c>
    </row>
    <row r="96" spans="3:31" x14ac:dyDescent="0.25">
      <c r="H96" t="s">
        <v>105</v>
      </c>
      <c r="I96">
        <f t="shared" si="226"/>
        <v>1129750</v>
      </c>
    </row>
    <row r="97" spans="2:28" ht="15.75" thickBot="1" x14ac:dyDescent="0.3">
      <c r="I97" s="36" t="s">
        <v>52</v>
      </c>
      <c r="J97" s="39" t="s">
        <v>175</v>
      </c>
      <c r="K97" s="39" t="s">
        <v>176</v>
      </c>
      <c r="L97" s="39" t="s">
        <v>177</v>
      </c>
    </row>
    <row r="98" spans="2:28" x14ac:dyDescent="0.25">
      <c r="I98" s="123" t="s">
        <v>12</v>
      </c>
      <c r="J98" s="16">
        <f>P60</f>
        <v>6514.9</v>
      </c>
      <c r="K98" s="16">
        <f>Q64</f>
        <v>65653775</v>
      </c>
      <c r="L98" s="16">
        <f t="shared" ref="L98" si="227">R60</f>
        <v>6824538.5300460858</v>
      </c>
    </row>
    <row r="99" spans="2:28" x14ac:dyDescent="0.25">
      <c r="I99" s="124" t="s">
        <v>30</v>
      </c>
      <c r="J99" s="16">
        <f>P74</f>
        <v>6514.9</v>
      </c>
      <c r="K99" s="16">
        <f>Q78</f>
        <v>25861526.026785713</v>
      </c>
      <c r="L99" s="16">
        <f t="shared" ref="L99" si="228">R74</f>
        <v>413887.80840201402</v>
      </c>
    </row>
    <row r="100" spans="2:28" x14ac:dyDescent="0.25">
      <c r="I100" s="124" t="s">
        <v>38</v>
      </c>
      <c r="J100" s="16">
        <f>P89</f>
        <v>1800</v>
      </c>
      <c r="K100" s="16">
        <f t="shared" ref="K100:L100" si="229">Q89</f>
        <v>22543575.833333336</v>
      </c>
      <c r="L100" s="16">
        <f t="shared" si="229"/>
        <v>61243.66</v>
      </c>
    </row>
    <row r="101" spans="2:28" x14ac:dyDescent="0.25">
      <c r="I101" s="39"/>
      <c r="J101" s="19"/>
      <c r="K101" s="19"/>
      <c r="L101" s="19"/>
    </row>
    <row r="103" spans="2:28" x14ac:dyDescent="0.25">
      <c r="N103" t="s">
        <v>382</v>
      </c>
      <c r="O103" s="210">
        <f>SUM(O106:O109,O118:O121)</f>
        <v>50383674.340698197</v>
      </c>
      <c r="P103" t="s">
        <v>228</v>
      </c>
      <c r="Q103" s="267">
        <f>Simulator2!E35</f>
        <v>0.3</v>
      </c>
    </row>
    <row r="104" spans="2:28" ht="15.75" thickBot="1" x14ac:dyDescent="0.3">
      <c r="P104" s="272" t="s">
        <v>229</v>
      </c>
      <c r="Q104" s="283">
        <f>(1+Q103)*L111</f>
        <v>49296838.136</v>
      </c>
      <c r="U104" s="194"/>
    </row>
    <row r="105" spans="2:28" x14ac:dyDescent="0.25">
      <c r="B105" t="s">
        <v>227</v>
      </c>
      <c r="E105" s="530" t="s">
        <v>254</v>
      </c>
      <c r="F105" t="s">
        <v>73</v>
      </c>
      <c r="G105" s="533" t="s">
        <v>12</v>
      </c>
      <c r="H105" s="211" t="s">
        <v>203</v>
      </c>
      <c r="I105" s="211" t="s">
        <v>178</v>
      </c>
      <c r="J105" s="211" t="s">
        <v>159</v>
      </c>
      <c r="K105" s="211" t="s">
        <v>206</v>
      </c>
      <c r="L105" s="234" t="s">
        <v>209</v>
      </c>
      <c r="M105" s="214" t="s">
        <v>207</v>
      </c>
      <c r="N105" s="234" t="s">
        <v>208</v>
      </c>
      <c r="O105" s="234" t="s">
        <v>197</v>
      </c>
      <c r="P105" s="234" t="s">
        <v>198</v>
      </c>
      <c r="Q105" s="222" t="s">
        <v>210</v>
      </c>
      <c r="R105" s="234" t="s">
        <v>302</v>
      </c>
      <c r="S105" s="234" t="s">
        <v>256</v>
      </c>
      <c r="U105" s="428" t="s">
        <v>309</v>
      </c>
      <c r="V105" s="428" t="s">
        <v>310</v>
      </c>
      <c r="X105" s="211" t="s">
        <v>203</v>
      </c>
      <c r="Y105" s="275" t="s">
        <v>370</v>
      </c>
      <c r="AA105" s="211" t="s">
        <v>203</v>
      </c>
      <c r="AB105" s="275" t="s">
        <v>368</v>
      </c>
    </row>
    <row r="106" spans="2:28" x14ac:dyDescent="0.25">
      <c r="B106" s="443">
        <f>Simulator2!E37</f>
        <v>2.5319217683916206E-2</v>
      </c>
      <c r="E106" s="531"/>
      <c r="F106" s="210">
        <f>J106/N106</f>
        <v>1.9002735009904476E-2</v>
      </c>
      <c r="G106" s="533"/>
      <c r="H106" s="19" t="s">
        <v>110</v>
      </c>
      <c r="I106" s="11">
        <v>2.940991730265206</v>
      </c>
      <c r="J106" s="403">
        <v>4.81134384305547E-4</v>
      </c>
      <c r="K106" s="16">
        <v>687567610</v>
      </c>
      <c r="L106" s="16">
        <v>17408673.990000002</v>
      </c>
      <c r="M106" s="209">
        <v>885756940.75198293</v>
      </c>
      <c r="N106">
        <f>L106/K106</f>
        <v>2.5319217683916206E-2</v>
      </c>
      <c r="O106" s="210">
        <f>M106*B106</f>
        <v>22426672.797939125</v>
      </c>
      <c r="P106" s="194">
        <f>O106-L106</f>
        <v>5017998.8079391234</v>
      </c>
      <c r="Q106" s="4">
        <f>IFERROR((M106-K106)*J106,0)</f>
        <v>95355.701627283721</v>
      </c>
      <c r="R106" s="210">
        <f>K106*J106</f>
        <v>330812.41870578646</v>
      </c>
      <c r="S106" s="210">
        <f>M106*J106</f>
        <v>426168.12033307017</v>
      </c>
      <c r="U106" s="210">
        <f>R106*$H$13/L106</f>
        <v>2.8446461931061</v>
      </c>
      <c r="V106" s="210">
        <f>S106*$AD$12/O106</f>
        <v>2.8446461931061</v>
      </c>
      <c r="X106" s="19" t="s">
        <v>110</v>
      </c>
      <c r="Y106">
        <f>R106/K106</f>
        <v>4.81134384305547E-4</v>
      </c>
      <c r="AA106" s="19" t="s">
        <v>110</v>
      </c>
      <c r="AB106">
        <f>Y106/Y119</f>
        <v>1.032158047920261</v>
      </c>
    </row>
    <row r="107" spans="2:28" x14ac:dyDescent="0.25">
      <c r="B107" s="443">
        <f>Simulator2!E39</f>
        <v>9.8614418321418498E-2</v>
      </c>
      <c r="E107" s="531"/>
      <c r="F107" s="210">
        <f t="shared" ref="F107:F109" si="230">J107/N107</f>
        <v>2.3849550449026764E-2</v>
      </c>
      <c r="G107" s="533"/>
      <c r="H107" s="19" t="s">
        <v>204</v>
      </c>
      <c r="I107" s="11">
        <v>3.5672391304371103</v>
      </c>
      <c r="J107" s="403">
        <v>2.3519095447580999E-3</v>
      </c>
      <c r="K107" s="16">
        <v>68508058</v>
      </c>
      <c r="L107" s="16">
        <v>6755882.290000001</v>
      </c>
      <c r="M107" s="209">
        <v>68508058.000225902</v>
      </c>
      <c r="N107">
        <f t="shared" ref="N107:N109" si="231">L107/K107</f>
        <v>9.8614418321418498E-2</v>
      </c>
      <c r="O107" s="210">
        <f t="shared" ref="O107:O109" si="232">M107*B107</f>
        <v>6755882.2900222782</v>
      </c>
      <c r="P107" s="194">
        <f t="shared" ref="P107:P109" si="233">O107-L107</f>
        <v>2.2277235984802246E-5</v>
      </c>
      <c r="Q107" s="4">
        <f t="shared" ref="Q107:Q109" si="234">IFERROR((M107-K107)*J107,0)</f>
        <v>5.3130013791520583E-7</v>
      </c>
      <c r="R107" s="210">
        <f t="shared" ref="R107:R109" si="235">K107*J107</f>
        <v>161124.7555030415</v>
      </c>
      <c r="S107" s="210">
        <f t="shared" ref="S107:S109" si="236">M107*J107</f>
        <v>161124.75550357281</v>
      </c>
      <c r="U107" s="210">
        <f t="shared" ref="U107:U109" si="237">R107*$H$13/L107</f>
        <v>3.5701983349636213</v>
      </c>
      <c r="V107" s="210">
        <f t="shared" ref="V107:V109" si="238">S107*$AD$12/O107</f>
        <v>3.5701983349636222</v>
      </c>
      <c r="X107" s="19" t="s">
        <v>204</v>
      </c>
      <c r="Y107">
        <f t="shared" ref="Y107:Y109" si="239">R107/K107</f>
        <v>2.3519095447580999E-3</v>
      </c>
      <c r="AA107" s="19" t="s">
        <v>204</v>
      </c>
      <c r="AB107">
        <f>Y107/Y120</f>
        <v>12.207660418606498</v>
      </c>
    </row>
    <row r="108" spans="2:28" x14ac:dyDescent="0.25">
      <c r="B108" s="443">
        <f>Simulator2!E40</f>
        <v>4.3182938651888207E-2</v>
      </c>
      <c r="E108" s="531"/>
      <c r="F108" s="210">
        <f t="shared" si="230"/>
        <v>0.11326755890231263</v>
      </c>
      <c r="G108" s="533"/>
      <c r="H108" s="19" t="s">
        <v>205</v>
      </c>
      <c r="I108" s="310">
        <v>17.661766907254883</v>
      </c>
      <c r="J108" s="403">
        <v>4.8912260473277002E-3</v>
      </c>
      <c r="K108" s="16">
        <v>44278494</v>
      </c>
      <c r="L108" s="16">
        <v>1912075.4900000002</v>
      </c>
      <c r="M108" s="209">
        <v>44278494</v>
      </c>
      <c r="N108">
        <f t="shared" si="231"/>
        <v>4.3182938651888207E-2</v>
      </c>
      <c r="O108" s="210">
        <f t="shared" si="232"/>
        <v>1912075.49</v>
      </c>
      <c r="P108" s="194">
        <f t="shared" si="233"/>
        <v>0</v>
      </c>
      <c r="Q108" s="278">
        <f t="shared" si="234"/>
        <v>0</v>
      </c>
      <c r="R108" s="210">
        <f t="shared" si="235"/>
        <v>216576.12318924328</v>
      </c>
      <c r="S108" s="210">
        <f t="shared" si="236"/>
        <v>216576.12318924328</v>
      </c>
      <c r="U108" s="210">
        <f t="shared" si="237"/>
        <v>16.955776632466144</v>
      </c>
      <c r="V108" s="210">
        <f t="shared" si="238"/>
        <v>16.955776632466144</v>
      </c>
      <c r="X108" s="19" t="s">
        <v>205</v>
      </c>
      <c r="Y108">
        <f t="shared" si="239"/>
        <v>4.8912260473277002E-3</v>
      </c>
      <c r="AA108" s="19" t="s">
        <v>205</v>
      </c>
      <c r="AB108">
        <v>1</v>
      </c>
    </row>
    <row r="109" spans="2:28" x14ac:dyDescent="0.25">
      <c r="B109" s="443">
        <f>Simulator2!E38</f>
        <v>2.5019347143833089E-2</v>
      </c>
      <c r="E109" s="531"/>
      <c r="F109" s="210">
        <f t="shared" si="230"/>
        <v>2.9156059709589177E-2</v>
      </c>
      <c r="G109" s="533"/>
      <c r="H109" s="19" t="s">
        <v>106</v>
      </c>
      <c r="I109" s="11">
        <v>4.499386005183335</v>
      </c>
      <c r="J109" s="403">
        <v>7.2946557922053698E-4</v>
      </c>
      <c r="K109" s="16">
        <v>473394165</v>
      </c>
      <c r="L109" s="16">
        <v>11844012.949999999</v>
      </c>
      <c r="M109" s="209">
        <v>518002536.52626473</v>
      </c>
      <c r="N109">
        <f t="shared" si="231"/>
        <v>2.5019347143833089E-2</v>
      </c>
      <c r="O109" s="210">
        <f t="shared" si="232"/>
        <v>12960085.282736696</v>
      </c>
      <c r="P109" s="194">
        <f t="shared" si="233"/>
        <v>1116072.332736697</v>
      </c>
      <c r="Q109" s="4">
        <f t="shared" si="234"/>
        <v>32540.271573491609</v>
      </c>
      <c r="R109" s="210">
        <f t="shared" si="235"/>
        <v>345324.74877134745</v>
      </c>
      <c r="S109" s="210">
        <f t="shared" si="236"/>
        <v>377865.02034483908</v>
      </c>
      <c r="U109" s="210">
        <f t="shared" si="237"/>
        <v>4.3645651121077194</v>
      </c>
      <c r="V109" s="210">
        <f t="shared" si="238"/>
        <v>4.3645651121077194</v>
      </c>
      <c r="X109" s="19" t="s">
        <v>106</v>
      </c>
      <c r="Y109">
        <f t="shared" si="239"/>
        <v>7.2946557922053698E-4</v>
      </c>
      <c r="AA109" s="19" t="s">
        <v>106</v>
      </c>
      <c r="AB109">
        <f>Y109/Y121</f>
        <v>1.9438404244101837</v>
      </c>
    </row>
    <row r="110" spans="2:28" x14ac:dyDescent="0.25">
      <c r="E110" s="531"/>
      <c r="O110" s="276">
        <f>SUM(O106:O109)</f>
        <v>44054715.860698104</v>
      </c>
      <c r="P110" s="237">
        <f t="shared" ref="P110:Q110" si="240">SUM(P106:P109)</f>
        <v>6134071.1406980976</v>
      </c>
      <c r="Q110" s="276">
        <f t="shared" si="240"/>
        <v>127895.97320130664</v>
      </c>
      <c r="R110" s="210">
        <f>SUM(R106:R109)</f>
        <v>1053838.0461694188</v>
      </c>
      <c r="S110" s="210">
        <f>SUM(S106:S109)</f>
        <v>1181734.0193707254</v>
      </c>
      <c r="T110" t="s">
        <v>296</v>
      </c>
      <c r="U110" s="210">
        <f>R110*$H$13/L111</f>
        <v>4.1601626154372573</v>
      </c>
      <c r="V110" s="210">
        <f t="shared" ref="V110" si="241">S110*$AD$12/O110</f>
        <v>4.015498605164872</v>
      </c>
      <c r="AA110" s="19" t="s">
        <v>369</v>
      </c>
      <c r="AB110">
        <v>1</v>
      </c>
    </row>
    <row r="111" spans="2:28" x14ac:dyDescent="0.25">
      <c r="E111" s="531"/>
      <c r="K111" s="194">
        <f>SUM(K106:K109)</f>
        <v>1273748327</v>
      </c>
      <c r="L111" s="284">
        <f>SUM(L106:L109)</f>
        <v>37920644.719999999</v>
      </c>
      <c r="M111" s="194">
        <f>SUM(M106:M109)</f>
        <v>1516546029.2784736</v>
      </c>
      <c r="Q111" s="267"/>
    </row>
    <row r="112" spans="2:28" x14ac:dyDescent="0.25">
      <c r="E112" s="531"/>
      <c r="K112" s="194"/>
      <c r="L112" s="194"/>
      <c r="M112" s="194"/>
      <c r="O112" s="218">
        <f>O110/L111-1</f>
        <v>0.16176072917512641</v>
      </c>
      <c r="Q112" s="267"/>
    </row>
    <row r="113" spans="2:25" x14ac:dyDescent="0.25">
      <c r="E113" s="531"/>
      <c r="K113" s="194"/>
      <c r="L113" s="194"/>
      <c r="M113" s="194"/>
      <c r="Q113" s="267"/>
    </row>
    <row r="114" spans="2:25" x14ac:dyDescent="0.25">
      <c r="E114" s="531"/>
      <c r="K114" s="194"/>
      <c r="L114" s="194"/>
      <c r="M114" s="194"/>
      <c r="Q114" s="267"/>
      <c r="U114" s="194"/>
    </row>
    <row r="115" spans="2:25" x14ac:dyDescent="0.25">
      <c r="E115" s="531"/>
      <c r="K115" s="194"/>
      <c r="L115" s="194"/>
      <c r="M115" s="194"/>
      <c r="P115" t="s">
        <v>228</v>
      </c>
      <c r="Q115" s="267">
        <f>Simulator2!G35</f>
        <v>0.3</v>
      </c>
    </row>
    <row r="116" spans="2:25" x14ac:dyDescent="0.25">
      <c r="E116" s="531"/>
      <c r="P116" s="272" t="s">
        <v>229</v>
      </c>
      <c r="Q116" s="283">
        <f>(1+Q115)*L123</f>
        <v>6328958.4800000014</v>
      </c>
    </row>
    <row r="117" spans="2:25" x14ac:dyDescent="0.25">
      <c r="B117" t="s">
        <v>227</v>
      </c>
      <c r="E117" s="531"/>
      <c r="F117" t="s">
        <v>73</v>
      </c>
      <c r="G117" s="533" t="s">
        <v>30</v>
      </c>
      <c r="H117" s="211" t="s">
        <v>203</v>
      </c>
      <c r="I117" s="211" t="s">
        <v>178</v>
      </c>
      <c r="J117" s="211" t="s">
        <v>159</v>
      </c>
      <c r="K117" s="211" t="s">
        <v>206</v>
      </c>
      <c r="L117" s="234" t="s">
        <v>209</v>
      </c>
      <c r="M117" s="214" t="s">
        <v>207</v>
      </c>
      <c r="N117" s="234" t="s">
        <v>208</v>
      </c>
      <c r="O117" s="234" t="s">
        <v>197</v>
      </c>
      <c r="P117" s="234" t="s">
        <v>198</v>
      </c>
      <c r="Q117" s="222" t="s">
        <v>210</v>
      </c>
      <c r="R117" s="234" t="s">
        <v>302</v>
      </c>
      <c r="S117" s="234" t="s">
        <v>256</v>
      </c>
      <c r="U117" s="428" t="s">
        <v>309</v>
      </c>
      <c r="V117" s="428" t="s">
        <v>310</v>
      </c>
      <c r="X117" s="211" t="s">
        <v>203</v>
      </c>
      <c r="Y117" s="275" t="s">
        <v>371</v>
      </c>
    </row>
    <row r="118" spans="2:25" x14ac:dyDescent="0.25">
      <c r="B118" s="3">
        <f>Simulator2!G42</f>
        <v>0.21610399648286818</v>
      </c>
      <c r="E118" s="531"/>
      <c r="F118" s="309">
        <f>J118/N118</f>
        <v>6.9433079647786677E-3</v>
      </c>
      <c r="G118" s="533"/>
      <c r="H118" s="19" t="s">
        <v>211</v>
      </c>
      <c r="I118" s="11">
        <v>1.0916745999999999</v>
      </c>
      <c r="J118" s="404">
        <v>1.5004765999999999E-3</v>
      </c>
      <c r="K118" s="16">
        <v>3384576</v>
      </c>
      <c r="L118" s="16">
        <v>731420.4</v>
      </c>
      <c r="M118" s="194">
        <v>3384576</v>
      </c>
      <c r="N118">
        <f>L118/K118</f>
        <v>0.21610399648286818</v>
      </c>
      <c r="O118" s="210">
        <f>M118*B118</f>
        <v>731420.4</v>
      </c>
      <c r="P118" s="194">
        <f>O118-L118</f>
        <v>0</v>
      </c>
      <c r="Q118" s="4">
        <f>IFERROR((M118-K118)*J118,0)</f>
        <v>0</v>
      </c>
      <c r="R118" s="210">
        <f>K118*J118</f>
        <v>5078.4770889215997</v>
      </c>
      <c r="S118" s="210">
        <f>M118*J118</f>
        <v>5078.4770889215997</v>
      </c>
      <c r="U118" s="210">
        <f>R118*$H$14/L118</f>
        <v>1.0959440134576659</v>
      </c>
      <c r="V118" s="210">
        <f>S118*$AD$13/O118</f>
        <v>1.0959440134576659</v>
      </c>
      <c r="X118" s="19" t="s">
        <v>211</v>
      </c>
      <c r="Y118">
        <f>R118/K118</f>
        <v>1.5004765999999999E-3</v>
      </c>
    </row>
    <row r="119" spans="2:25" x14ac:dyDescent="0.25">
      <c r="B119" s="3">
        <f>Simulator2!G37</f>
        <v>1.6018600522454657E-2</v>
      </c>
      <c r="E119" s="531"/>
      <c r="F119" s="309">
        <f t="shared" ref="F119:F121" si="242">J119/N119</f>
        <v>2.910017634477903E-2</v>
      </c>
      <c r="G119" s="533"/>
      <c r="H119" s="19" t="s">
        <v>110</v>
      </c>
      <c r="I119" s="11">
        <v>4.5243149999999996</v>
      </c>
      <c r="J119" s="404">
        <v>4.6614410000000002E-4</v>
      </c>
      <c r="K119" s="16">
        <v>147802300</v>
      </c>
      <c r="L119" s="16">
        <v>2367586</v>
      </c>
      <c r="M119" s="194">
        <v>238979358.69203421</v>
      </c>
      <c r="N119">
        <f t="shared" ref="N119:N121" si="243">L119/K119</f>
        <v>1.6018600522454657E-2</v>
      </c>
      <c r="O119" s="210">
        <f t="shared" ref="O119:O121" si="244">M119*B119</f>
        <v>3828114.8800000981</v>
      </c>
      <c r="P119" s="194">
        <f t="shared" ref="P119:P121" si="245">O119-L119</f>
        <v>1460528.8800000981</v>
      </c>
      <c r="Q119" s="4">
        <f t="shared" ref="Q119:Q121" si="246">IFERROR((M119-K119)*J119,0)</f>
        <v>42501.647964645468</v>
      </c>
      <c r="R119" s="210">
        <f t="shared" ref="R119:R121" si="247">K119*J119</f>
        <v>68897.170111430009</v>
      </c>
      <c r="S119" s="210">
        <f t="shared" ref="S119:S121" si="248">M119*J119</f>
        <v>111398.81807607548</v>
      </c>
      <c r="U119" s="210">
        <f t="shared" ref="U119:U121" si="249">R119*$H$14/L119</f>
        <v>4.5932233191156726</v>
      </c>
      <c r="V119" s="210">
        <f t="shared" ref="V119:V121" si="250">S119*$AD$13/O119</f>
        <v>4.5932233191156735</v>
      </c>
      <c r="X119" s="19" t="s">
        <v>110</v>
      </c>
      <c r="Y119">
        <f t="shared" ref="Y119:Y121" si="251">R119/K119</f>
        <v>4.6614410000000008E-4</v>
      </c>
    </row>
    <row r="120" spans="2:25" x14ac:dyDescent="0.25">
      <c r="B120" s="3">
        <f>Simulator2!G39</f>
        <v>0.17696028092771701</v>
      </c>
      <c r="E120" s="531"/>
      <c r="F120" s="309">
        <f t="shared" si="242"/>
        <v>1.0887104099857031E-3</v>
      </c>
      <c r="G120" s="533"/>
      <c r="H120" s="19" t="s">
        <v>212</v>
      </c>
      <c r="I120" s="11">
        <v>0.179089</v>
      </c>
      <c r="J120" s="404">
        <v>1.9265849999999999E-4</v>
      </c>
      <c r="K120" s="16">
        <v>5479559</v>
      </c>
      <c r="L120" s="16">
        <v>969664.3</v>
      </c>
      <c r="M120" s="194">
        <v>5479559</v>
      </c>
      <c r="N120">
        <f t="shared" si="243"/>
        <v>0.17696028092771701</v>
      </c>
      <c r="O120" s="210">
        <f t="shared" si="244"/>
        <v>969664.3</v>
      </c>
      <c r="P120" s="194">
        <f t="shared" si="245"/>
        <v>0</v>
      </c>
      <c r="Q120" s="4">
        <f t="shared" si="246"/>
        <v>0</v>
      </c>
      <c r="R120" s="210">
        <f t="shared" si="247"/>
        <v>1055.6836176014999</v>
      </c>
      <c r="S120" s="210">
        <f t="shared" si="248"/>
        <v>1055.6836176014999</v>
      </c>
      <c r="U120" s="210">
        <f t="shared" si="249"/>
        <v>0.17184397728941972</v>
      </c>
      <c r="V120" s="210">
        <f t="shared" si="250"/>
        <v>0.17184397728941972</v>
      </c>
      <c r="X120" s="19" t="s">
        <v>212</v>
      </c>
      <c r="Y120">
        <f t="shared" si="251"/>
        <v>1.9265849999999999E-4</v>
      </c>
    </row>
    <row r="121" spans="2:25" x14ac:dyDescent="0.25">
      <c r="B121" s="3">
        <f>Simulator2!G38</f>
        <v>3.4728323102035219E-2</v>
      </c>
      <c r="E121" s="531"/>
      <c r="F121" s="309">
        <f t="shared" si="242"/>
        <v>1.0805885988143426E-2</v>
      </c>
      <c r="G121" s="533"/>
      <c r="H121" s="19" t="s">
        <v>106</v>
      </c>
      <c r="I121" s="11">
        <v>1.6791027999999999</v>
      </c>
      <c r="J121" s="404">
        <v>3.7527030000000002E-4</v>
      </c>
      <c r="K121" s="16">
        <v>23029010</v>
      </c>
      <c r="L121" s="16">
        <v>799758.9</v>
      </c>
      <c r="M121" s="194">
        <v>23029010</v>
      </c>
      <c r="N121">
        <f t="shared" si="243"/>
        <v>3.4728323102035219E-2</v>
      </c>
      <c r="O121" s="210">
        <f t="shared" si="244"/>
        <v>799758.9</v>
      </c>
      <c r="P121" s="194">
        <f t="shared" si="245"/>
        <v>0</v>
      </c>
      <c r="Q121" s="4">
        <f t="shared" si="246"/>
        <v>0</v>
      </c>
      <c r="R121" s="210">
        <f t="shared" si="247"/>
        <v>8642.1034914030006</v>
      </c>
      <c r="S121" s="210">
        <f t="shared" si="248"/>
        <v>8642.1034914030006</v>
      </c>
      <c r="U121" s="210">
        <f t="shared" si="249"/>
        <v>1.7056201624479395</v>
      </c>
      <c r="V121" s="210">
        <f t="shared" si="250"/>
        <v>1.7056201624479395</v>
      </c>
      <c r="X121" s="19" t="s">
        <v>106</v>
      </c>
      <c r="Y121">
        <f t="shared" si="251"/>
        <v>3.7527030000000002E-4</v>
      </c>
    </row>
    <row r="122" spans="2:25" x14ac:dyDescent="0.25">
      <c r="E122" s="531"/>
      <c r="O122" s="276">
        <f>SUM(O118:O121)</f>
        <v>6328958.4800000982</v>
      </c>
      <c r="P122" s="237">
        <f t="shared" ref="P122" si="252">SUM(P118:P121)</f>
        <v>1460528.8800000981</v>
      </c>
      <c r="Q122" s="274">
        <f>SUM(Q118:Q121,Q124)</f>
        <v>64710.65538100079</v>
      </c>
      <c r="R122" s="210">
        <f>SUM(R118:R121)</f>
        <v>83673.434309356118</v>
      </c>
      <c r="S122" s="210">
        <f>SUM(S118:S121)</f>
        <v>126175.08227400159</v>
      </c>
      <c r="T122" t="s">
        <v>296</v>
      </c>
      <c r="U122" s="210">
        <f>R122*$H$14/L123</f>
        <v>2.7128178887083747</v>
      </c>
      <c r="V122" s="210">
        <f t="shared" ref="V122" si="253">S122*$AD$13/O122</f>
        <v>3.146757603417774</v>
      </c>
    </row>
    <row r="123" spans="2:25" x14ac:dyDescent="0.25">
      <c r="E123" s="531"/>
      <c r="K123" s="194">
        <f>SUM(K118:K121)</f>
        <v>179695445</v>
      </c>
      <c r="L123" s="194">
        <f>SUM(L118:L121)</f>
        <v>4868429.6000000006</v>
      </c>
      <c r="M123" s="194">
        <f>SUM(M118:M121)</f>
        <v>270872503.69203424</v>
      </c>
    </row>
    <row r="124" spans="2:25" x14ac:dyDescent="0.25">
      <c r="E124" s="531"/>
      <c r="H124" t="s">
        <v>375</v>
      </c>
      <c r="I124" s="11"/>
      <c r="J124" s="403">
        <v>9.1471242140846103E-5</v>
      </c>
      <c r="K124" s="16">
        <f>SUM(K106:K109)</f>
        <v>1273748327</v>
      </c>
      <c r="L124" s="16">
        <f>L111</f>
        <v>37920644.719999999</v>
      </c>
      <c r="M124" s="16">
        <f>SUM(M106:M109)</f>
        <v>1516546029.2784736</v>
      </c>
      <c r="N124">
        <f t="shared" ref="N124" si="254">L124/K124</f>
        <v>2.977090836249632E-2</v>
      </c>
      <c r="O124" s="210">
        <f>M124*N124</f>
        <v>45148952.865157098</v>
      </c>
      <c r="P124" s="194">
        <f t="shared" ref="P124" si="255">O124-L124</f>
        <v>7228308.1451570988</v>
      </c>
      <c r="Q124" s="4">
        <f t="shared" ref="Q124" si="256">IFERROR((M124-K124)*J124,0)</f>
        <v>22209.007416355322</v>
      </c>
      <c r="R124" s="210">
        <f t="shared" ref="R124" si="257">K124*J124</f>
        <v>116511.34164551462</v>
      </c>
      <c r="S124" s="210">
        <f t="shared" ref="S124" si="258">M124*J124</f>
        <v>138720.34906186996</v>
      </c>
    </row>
    <row r="125" spans="2:25" x14ac:dyDescent="0.25">
      <c r="E125" s="531"/>
      <c r="K125" s="194"/>
      <c r="L125" s="194"/>
      <c r="M125" s="194"/>
    </row>
    <row r="126" spans="2:25" x14ac:dyDescent="0.25">
      <c r="E126" s="531"/>
      <c r="K126" s="194"/>
      <c r="L126" s="194"/>
      <c r="M126" s="194"/>
      <c r="P126" t="s">
        <v>228</v>
      </c>
      <c r="Q126" s="267">
        <f>Simulator2!I35</f>
        <v>0.5</v>
      </c>
    </row>
    <row r="127" spans="2:25" x14ac:dyDescent="0.25">
      <c r="E127" s="531"/>
      <c r="P127" s="272" t="s">
        <v>229</v>
      </c>
      <c r="Q127" s="405">
        <f>(1+Q126)*L135</f>
        <v>39746303.849999994</v>
      </c>
    </row>
    <row r="128" spans="2:25" x14ac:dyDescent="0.25">
      <c r="B128" t="s">
        <v>227</v>
      </c>
      <c r="E128" s="531"/>
      <c r="F128" t="s">
        <v>73</v>
      </c>
      <c r="G128" s="537" t="s">
        <v>38</v>
      </c>
      <c r="H128" s="211" t="s">
        <v>203</v>
      </c>
      <c r="I128" s="211" t="s">
        <v>178</v>
      </c>
      <c r="J128" s="211" t="s">
        <v>159</v>
      </c>
      <c r="K128" s="211" t="s">
        <v>206</v>
      </c>
      <c r="L128" s="234" t="s">
        <v>209</v>
      </c>
      <c r="M128" s="214" t="s">
        <v>207</v>
      </c>
      <c r="N128" s="234" t="s">
        <v>208</v>
      </c>
      <c r="O128" s="234" t="s">
        <v>197</v>
      </c>
      <c r="P128" s="234" t="s">
        <v>198</v>
      </c>
      <c r="Q128" s="222" t="s">
        <v>210</v>
      </c>
      <c r="R128" s="234" t="s">
        <v>302</v>
      </c>
      <c r="S128" s="234" t="s">
        <v>256</v>
      </c>
      <c r="U128" s="428" t="s">
        <v>309</v>
      </c>
      <c r="V128" s="428" t="s">
        <v>310</v>
      </c>
    </row>
    <row r="129" spans="2:22" x14ac:dyDescent="0.25">
      <c r="B129" s="3">
        <f>Simulator2!I41</f>
        <v>2.6290601191449499E-2</v>
      </c>
      <c r="E129" s="531"/>
      <c r="F129" s="309">
        <f>J129/N129</f>
        <v>6.5657434304626098E-3</v>
      </c>
      <c r="G129" s="537"/>
      <c r="H129" s="19" t="s">
        <v>121</v>
      </c>
      <c r="I129" s="11">
        <v>1.1134276677462558</v>
      </c>
      <c r="J129" s="404">
        <v>1.72617342055672E-4</v>
      </c>
      <c r="K129" s="16">
        <v>60153284</v>
      </c>
      <c r="L129" s="16">
        <v>1581466</v>
      </c>
      <c r="M129" s="209">
        <v>60153283.999999002</v>
      </c>
      <c r="N129">
        <f>L129/K129</f>
        <v>2.6290601191449499E-2</v>
      </c>
      <c r="O129" s="210">
        <f>M129*B129</f>
        <v>1581465.9999999739</v>
      </c>
      <c r="P129" s="194">
        <f>O129-L129</f>
        <v>-2.6077032089233398E-8</v>
      </c>
      <c r="Q129" s="4">
        <f>IFERROR((M129-K129)*J129,0)</f>
        <v>-1.7233732220128214E-10</v>
      </c>
      <c r="R129" s="210">
        <f>K129*J129</f>
        <v>10383.499999999982</v>
      </c>
      <c r="S129" s="210">
        <f>M129*J129</f>
        <v>10383.499999999809</v>
      </c>
      <c r="U129" s="210">
        <f>R129*$H$15/L129</f>
        <v>1.0415861007557077</v>
      </c>
      <c r="V129" s="210">
        <f>S129*$AD$14/O129</f>
        <v>1.0415861007557075</v>
      </c>
    </row>
    <row r="130" spans="2:22" x14ac:dyDescent="0.25">
      <c r="B130" s="3">
        <f>Simulator2!I37</f>
        <v>2.1876040052405701E-2</v>
      </c>
      <c r="E130" s="531"/>
      <c r="F130" s="309">
        <f t="shared" ref="F130:F133" si="259">J130/N130</f>
        <v>8.138655079001687E-3</v>
      </c>
      <c r="G130" s="537"/>
      <c r="H130" s="19" t="s">
        <v>110</v>
      </c>
      <c r="I130" s="11">
        <v>1.4119701846382726</v>
      </c>
      <c r="J130" s="404">
        <v>1.7804154448095599E-4</v>
      </c>
      <c r="K130" s="16">
        <v>489713905</v>
      </c>
      <c r="L130" s="16">
        <v>10713001</v>
      </c>
      <c r="M130" s="209">
        <v>722665763.25082099</v>
      </c>
      <c r="N130">
        <f t="shared" ref="N130:N132" si="260">L130/K130</f>
        <v>2.1876040052405701E-2</v>
      </c>
      <c r="O130" s="210">
        <f t="shared" ref="O130:O133" si="261">M130*B130</f>
        <v>15809065.181377295</v>
      </c>
      <c r="P130" s="194">
        <f t="shared" ref="P130:P132" si="262">O130-L130</f>
        <v>5096064.1813772954</v>
      </c>
      <c r="Q130" s="4">
        <f t="shared" ref="Q130:Q132" si="263">IFERROR((M130-K130)*J130,0)</f>
        <v>41475.108632684904</v>
      </c>
      <c r="R130" s="210">
        <f t="shared" ref="R130:R133" si="264">K130*J130</f>
        <v>87189.420000000158</v>
      </c>
      <c r="S130" s="210">
        <f t="shared" ref="S130:S133" si="265">M130*J130</f>
        <v>128664.52863268506</v>
      </c>
      <c r="U130" s="210">
        <f t="shared" ref="U130:U133" si="266">R130*$H$15/L130</f>
        <v>1.2911119812879623</v>
      </c>
      <c r="V130" s="210">
        <f t="shared" ref="V130:V133" si="267">S130*$AD$14/O130</f>
        <v>1.2911119812879623</v>
      </c>
    </row>
    <row r="131" spans="2:22" x14ac:dyDescent="0.25">
      <c r="B131" s="3">
        <f>Simulator2!I39</f>
        <v>0.18407802986902216</v>
      </c>
      <c r="E131" s="531"/>
      <c r="F131" s="309">
        <f t="shared" si="259"/>
        <v>1.0920197702228038E-3</v>
      </c>
      <c r="G131" s="537"/>
      <c r="H131" s="19" t="s">
        <v>212</v>
      </c>
      <c r="I131" s="11">
        <v>0.18727682235223378</v>
      </c>
      <c r="J131" s="404">
        <v>2.01016847880636E-4</v>
      </c>
      <c r="K131" s="16">
        <v>6784889</v>
      </c>
      <c r="L131" s="16">
        <v>1248949</v>
      </c>
      <c r="M131" s="209">
        <v>6784889</v>
      </c>
      <c r="N131">
        <f t="shared" si="260"/>
        <v>0.18407802986902216</v>
      </c>
      <c r="O131" s="210">
        <f t="shared" si="261"/>
        <v>1248949</v>
      </c>
      <c r="P131" s="194">
        <f t="shared" si="262"/>
        <v>0</v>
      </c>
      <c r="Q131" s="4">
        <f t="shared" si="263"/>
        <v>0</v>
      </c>
      <c r="R131" s="210">
        <f t="shared" si="264"/>
        <v>1363.8770000000004</v>
      </c>
      <c r="S131" s="210">
        <f t="shared" si="265"/>
        <v>1363.8770000000004</v>
      </c>
      <c r="U131" s="210">
        <f t="shared" si="266"/>
        <v>0.17323744469472402</v>
      </c>
      <c r="V131" s="210">
        <f t="shared" si="267"/>
        <v>0.17323744469472402</v>
      </c>
    </row>
    <row r="132" spans="2:22" x14ac:dyDescent="0.25">
      <c r="B132" s="3">
        <f>Simulator2!I38</f>
        <v>7.8215985700524262E-3</v>
      </c>
      <c r="E132" s="531"/>
      <c r="F132" s="309">
        <f t="shared" si="259"/>
        <v>2.6848403540423893E-2</v>
      </c>
      <c r="G132" s="537"/>
      <c r="H132" s="19" t="s">
        <v>106</v>
      </c>
      <c r="I132" s="11">
        <v>4.6916009920212032</v>
      </c>
      <c r="J132" s="404">
        <v>2.0999743473997E-4</v>
      </c>
      <c r="K132" s="16">
        <v>73961313</v>
      </c>
      <c r="L132" s="16">
        <v>578495.69999999995</v>
      </c>
      <c r="M132" s="209">
        <v>1116293477.6597972</v>
      </c>
      <c r="N132">
        <f t="shared" si="260"/>
        <v>7.8215985700524262E-3</v>
      </c>
      <c r="O132" s="210">
        <f t="shared" si="261"/>
        <v>8731199.4686227199</v>
      </c>
      <c r="P132" s="194">
        <f t="shared" si="262"/>
        <v>8152703.7686227197</v>
      </c>
      <c r="Q132" s="4">
        <f t="shared" si="263"/>
        <v>218887.08072551744</v>
      </c>
      <c r="R132" s="210">
        <f t="shared" si="264"/>
        <v>15531.685999999994</v>
      </c>
      <c r="S132" s="210">
        <f t="shared" si="265"/>
        <v>234418.76672551743</v>
      </c>
      <c r="U132" s="210">
        <f t="shared" si="266"/>
        <v>4.2592166829789599</v>
      </c>
      <c r="V132" s="210">
        <f t="shared" si="267"/>
        <v>4.2592166829789599</v>
      </c>
    </row>
    <row r="133" spans="2:22" ht="15.75" thickBot="1" x14ac:dyDescent="0.3">
      <c r="B133" s="3">
        <f>Simulator2!I40</f>
        <v>6.4901662630651141E-2</v>
      </c>
      <c r="E133" s="532"/>
      <c r="F133" s="309">
        <f t="shared" si="259"/>
        <v>2.1430806698218875E-3</v>
      </c>
      <c r="G133" s="537"/>
      <c r="H133" s="19" t="s">
        <v>111</v>
      </c>
      <c r="I133" s="11">
        <v>0.36940788812898834</v>
      </c>
      <c r="J133" s="404">
        <v>1.3908949862305E-4</v>
      </c>
      <c r="K133" s="16">
        <v>190682699</v>
      </c>
      <c r="L133" s="16">
        <v>12375624.199999999</v>
      </c>
      <c r="M133" s="209">
        <v>190682699</v>
      </c>
      <c r="N133">
        <f t="shared" ref="N133" si="268">L133/K133</f>
        <v>6.4901662630651141E-2</v>
      </c>
      <c r="O133" s="210">
        <f t="shared" si="261"/>
        <v>12375624.199999999</v>
      </c>
      <c r="P133" s="194">
        <f t="shared" ref="P133" si="269">O133-L133</f>
        <v>0</v>
      </c>
      <c r="Q133" s="4">
        <f t="shared" ref="Q133" si="270">IFERROR((M133-K133)*J133,0)</f>
        <v>0</v>
      </c>
      <c r="R133" s="210">
        <f t="shared" si="264"/>
        <v>26521.960999999959</v>
      </c>
      <c r="S133" s="210">
        <f t="shared" si="265"/>
        <v>26521.960999999959</v>
      </c>
      <c r="U133" s="210">
        <f t="shared" si="266"/>
        <v>0.33997719559495992</v>
      </c>
      <c r="V133" s="210">
        <f t="shared" si="267"/>
        <v>0.33997719559495992</v>
      </c>
    </row>
    <row r="134" spans="2:22" x14ac:dyDescent="0.25">
      <c r="O134" s="410">
        <f>SUM(O129:O133)</f>
        <v>39746303.849999994</v>
      </c>
      <c r="P134" s="274">
        <f>SUM(P129:P133)</f>
        <v>13248767.949999988</v>
      </c>
      <c r="Q134" s="274">
        <f>SUM(Q129:Q133)</f>
        <v>260362.18935820216</v>
      </c>
      <c r="R134" s="210">
        <f>SUM(R129:R133)</f>
        <v>140990.44400000008</v>
      </c>
      <c r="S134" s="210">
        <f>SUM(S129:S133)</f>
        <v>401352.63335820223</v>
      </c>
      <c r="T134" t="s">
        <v>296</v>
      </c>
      <c r="U134" s="210">
        <f>R134*$H$15/L135</f>
        <v>0.84410302582537078</v>
      </c>
      <c r="V134" s="210">
        <f t="shared" ref="V134" si="271">S134*$AD$14/O134</f>
        <v>1.6019193104115101</v>
      </c>
    </row>
    <row r="135" spans="2:22" x14ac:dyDescent="0.25">
      <c r="K135" s="194">
        <f>SUM(K129:K133)</f>
        <v>821296090</v>
      </c>
      <c r="L135" s="194">
        <f>SUM(L129:L133)</f>
        <v>26497535.899999999</v>
      </c>
      <c r="M135" s="194">
        <f>SUM(M129:M133)</f>
        <v>2096580112.9106174</v>
      </c>
    </row>
    <row r="137" spans="2:22" ht="15.75" thickBot="1" x14ac:dyDescent="0.3"/>
    <row r="138" spans="2:22" x14ac:dyDescent="0.25">
      <c r="E138" s="534" t="s">
        <v>253</v>
      </c>
      <c r="G138" s="533" t="s">
        <v>12</v>
      </c>
      <c r="H138" s="211" t="s">
        <v>203</v>
      </c>
      <c r="I138" s="211" t="s">
        <v>234</v>
      </c>
      <c r="J138" s="211" t="s">
        <v>95</v>
      </c>
      <c r="K138" s="275" t="s">
        <v>244</v>
      </c>
      <c r="L138" s="275" t="s">
        <v>3</v>
      </c>
      <c r="M138" s="214" t="s">
        <v>197</v>
      </c>
      <c r="N138" s="275" t="s">
        <v>262</v>
      </c>
      <c r="O138" s="275" t="s">
        <v>256</v>
      </c>
      <c r="P138" s="275" t="s">
        <v>198</v>
      </c>
      <c r="Q138" s="222" t="s">
        <v>259</v>
      </c>
      <c r="S138" s="428" t="s">
        <v>309</v>
      </c>
      <c r="T138" s="428" t="s">
        <v>310</v>
      </c>
    </row>
    <row r="139" spans="2:22" x14ac:dyDescent="0.25">
      <c r="E139" s="535"/>
      <c r="G139" s="533"/>
      <c r="H139" s="19" t="s">
        <v>232</v>
      </c>
      <c r="I139" s="3">
        <v>8.135261559807951</v>
      </c>
      <c r="J139" s="4">
        <v>8575566.7899999991</v>
      </c>
      <c r="K139" s="4">
        <v>462796.60480715393</v>
      </c>
      <c r="L139">
        <v>1.9231422598667604E-3</v>
      </c>
      <c r="M139" s="210">
        <f>Simulator2!E46</f>
        <v>8575566.7899999991</v>
      </c>
      <c r="N139" s="218">
        <f>(M139/J139-1)*L139</f>
        <v>0</v>
      </c>
      <c r="O139" s="210">
        <f>K139+Q139</f>
        <v>462796.60480715393</v>
      </c>
      <c r="P139" s="210">
        <f>M139-J139</f>
        <v>0</v>
      </c>
      <c r="Q139" s="210">
        <f>N139*$K$29</f>
        <v>0</v>
      </c>
      <c r="S139" s="210">
        <f>K139*$H$13/J139</f>
        <v>8.0786627085537503</v>
      </c>
      <c r="T139" s="210">
        <f>O139*$AD$12/M139</f>
        <v>8.0786627085537503</v>
      </c>
    </row>
    <row r="140" spans="2:22" x14ac:dyDescent="0.25">
      <c r="E140" s="535"/>
      <c r="G140" s="533"/>
      <c r="H140" s="19" t="s">
        <v>119</v>
      </c>
      <c r="I140" s="3">
        <v>5.4868914736001981</v>
      </c>
      <c r="J140" s="4">
        <v>5641800</v>
      </c>
      <c r="K140" s="4">
        <v>209232.98157542368</v>
      </c>
      <c r="L140">
        <v>3.1096608657364662E-3</v>
      </c>
      <c r="M140" s="210">
        <f>Simulator2!E47</f>
        <v>5641800</v>
      </c>
      <c r="N140" s="218">
        <f t="shared" ref="N140:N142" si="272">(M140/J140-1)*L140</f>
        <v>0</v>
      </c>
      <c r="O140" s="210">
        <f t="shared" ref="O140:O142" si="273">K140+Q140</f>
        <v>209232.98157542368</v>
      </c>
      <c r="P140" s="210">
        <f>M140-J140</f>
        <v>0</v>
      </c>
      <c r="Q140" s="210">
        <f t="shared" ref="Q140:Q142" si="274">N140*$K$29</f>
        <v>0</v>
      </c>
      <c r="S140" s="210">
        <f t="shared" ref="S140:S142" si="275">K140*$H$13/J140</f>
        <v>5.551682273386743</v>
      </c>
      <c r="T140" s="210">
        <f t="shared" ref="T140:T142" si="276">O140*$AD$12/M140</f>
        <v>5.551682273386743</v>
      </c>
    </row>
    <row r="141" spans="2:22" x14ac:dyDescent="0.25">
      <c r="E141" s="535"/>
      <c r="G141" s="533"/>
      <c r="H141" s="19" t="s">
        <v>233</v>
      </c>
      <c r="I141" s="3">
        <v>31.294204430135679</v>
      </c>
      <c r="J141" s="4">
        <v>797400</v>
      </c>
      <c r="K141" s="4">
        <v>178758.72722152862</v>
      </c>
      <c r="L141">
        <v>2.1295569514001972E-3</v>
      </c>
      <c r="M141" s="210">
        <f>Simulator2!E48</f>
        <v>797400</v>
      </c>
      <c r="N141" s="218">
        <f t="shared" si="272"/>
        <v>0</v>
      </c>
      <c r="O141" s="210">
        <f t="shared" si="273"/>
        <v>178758.72722152862</v>
      </c>
      <c r="P141" s="210">
        <f>M141-J141</f>
        <v>0</v>
      </c>
      <c r="Q141" s="210">
        <f t="shared" si="274"/>
        <v>0</v>
      </c>
      <c r="S141" s="210">
        <f t="shared" si="275"/>
        <v>33.558548515627095</v>
      </c>
      <c r="T141" s="210">
        <f t="shared" si="276"/>
        <v>33.558548515627095</v>
      </c>
    </row>
    <row r="142" spans="2:22" x14ac:dyDescent="0.25">
      <c r="E142" s="535"/>
      <c r="G142" s="533"/>
      <c r="H142" s="19" t="s">
        <v>120</v>
      </c>
      <c r="I142" s="3">
        <v>6.6205338349455394</v>
      </c>
      <c r="J142" s="4">
        <v>17309220</v>
      </c>
      <c r="K142" s="4">
        <v>747696.2719231433</v>
      </c>
      <c r="L142">
        <v>3.824523467085339E-3</v>
      </c>
      <c r="M142" s="210">
        <f>Simulator2!E49</f>
        <v>17309220</v>
      </c>
      <c r="N142" s="218">
        <f t="shared" si="272"/>
        <v>0</v>
      </c>
      <c r="O142" s="210">
        <f t="shared" si="273"/>
        <v>747696.2719231433</v>
      </c>
      <c r="P142" s="210">
        <f>M142-J142</f>
        <v>0</v>
      </c>
      <c r="Q142" s="210">
        <f t="shared" si="274"/>
        <v>0</v>
      </c>
      <c r="S142" s="210">
        <f t="shared" si="275"/>
        <v>6.4663597609028667</v>
      </c>
      <c r="T142" s="210">
        <f t="shared" si="276"/>
        <v>6.4663597609028667</v>
      </c>
    </row>
    <row r="143" spans="2:22" x14ac:dyDescent="0.25">
      <c r="E143" s="535"/>
      <c r="J143" s="194">
        <f>SUM(J139:J142)</f>
        <v>32323986.789999999</v>
      </c>
      <c r="K143" s="194">
        <f>SUM(K139:K142)</f>
        <v>1598484.5855272496</v>
      </c>
      <c r="M143" s="210">
        <f>SUM(M139:M142)</f>
        <v>32323986.789999999</v>
      </c>
      <c r="O143" s="210">
        <f>SUM(O139:O142)</f>
        <v>1598484.5855272496</v>
      </c>
      <c r="P143" s="210">
        <f>SUM(P139:P142)</f>
        <v>0</v>
      </c>
      <c r="Q143" s="210">
        <f>SUM(Q139:Q142)</f>
        <v>0</v>
      </c>
      <c r="R143" t="s">
        <v>296</v>
      </c>
      <c r="S143" s="210">
        <f t="shared" ref="S143" si="277">K143*$H$13/J143</f>
        <v>7.4027942321175075</v>
      </c>
      <c r="T143" s="210">
        <f t="shared" ref="T143" si="278">O143*$AD$12/M143</f>
        <v>7.4027942321175075</v>
      </c>
    </row>
    <row r="144" spans="2:22" x14ac:dyDescent="0.25">
      <c r="E144" s="535"/>
      <c r="J144" s="4"/>
      <c r="K144" s="4"/>
    </row>
    <row r="145" spans="2:22" x14ac:dyDescent="0.25">
      <c r="E145" s="535"/>
      <c r="F145" s="204">
        <f>7/134</f>
        <v>5.2238805970149252E-2</v>
      </c>
    </row>
    <row r="146" spans="2:22" x14ac:dyDescent="0.25">
      <c r="E146" s="535"/>
      <c r="G146" s="533" t="s">
        <v>38</v>
      </c>
      <c r="H146" s="211" t="s">
        <v>203</v>
      </c>
      <c r="I146" s="211" t="s">
        <v>234</v>
      </c>
      <c r="J146" s="211" t="s">
        <v>95</v>
      </c>
      <c r="K146" s="275" t="s">
        <v>244</v>
      </c>
      <c r="L146" s="275" t="s">
        <v>3</v>
      </c>
      <c r="M146" s="214" t="s">
        <v>197</v>
      </c>
      <c r="N146" s="275" t="s">
        <v>262</v>
      </c>
      <c r="O146" s="275" t="s">
        <v>256</v>
      </c>
      <c r="P146" s="275" t="s">
        <v>198</v>
      </c>
      <c r="Q146" s="222" t="s">
        <v>259</v>
      </c>
      <c r="S146" s="428" t="s">
        <v>309</v>
      </c>
      <c r="T146" s="428" t="s">
        <v>310</v>
      </c>
    </row>
    <row r="147" spans="2:22" ht="15.75" thickBot="1" x14ac:dyDescent="0.3">
      <c r="E147" s="536"/>
      <c r="G147" s="533"/>
      <c r="H147" s="19" t="s">
        <v>232</v>
      </c>
      <c r="I147">
        <v>1.23</v>
      </c>
      <c r="J147" s="4">
        <v>4296500</v>
      </c>
      <c r="K147" s="4">
        <v>30275.9523420939</v>
      </c>
      <c r="L147">
        <v>1.3527333961133058E-3</v>
      </c>
      <c r="M147" s="210">
        <f>Simulator2!G46</f>
        <v>4296500</v>
      </c>
      <c r="N147" s="218">
        <f>(M147/J147-1)*L147</f>
        <v>0</v>
      </c>
      <c r="O147" s="210">
        <f t="shared" ref="O147" si="279">K147+Q147</f>
        <v>30275.9523420939</v>
      </c>
      <c r="P147" s="210">
        <f>M147-J147</f>
        <v>0</v>
      </c>
      <c r="Q147" s="210">
        <f>N147*$K$31</f>
        <v>0</v>
      </c>
      <c r="S147" s="210">
        <f>K147*$H$15/J147</f>
        <v>1.1178776284448977</v>
      </c>
      <c r="T147" s="210">
        <f>O147*$AD$14/M147</f>
        <v>1.1178776284448977</v>
      </c>
    </row>
    <row r="149" spans="2:22" ht="15.75" thickBot="1" x14ac:dyDescent="0.3"/>
    <row r="150" spans="2:22" x14ac:dyDescent="0.25">
      <c r="B150" t="s">
        <v>250</v>
      </c>
      <c r="E150" s="534" t="s">
        <v>252</v>
      </c>
      <c r="G150" s="533" t="s">
        <v>12</v>
      </c>
      <c r="H150" s="211" t="s">
        <v>246</v>
      </c>
      <c r="I150" s="211" t="s">
        <v>234</v>
      </c>
      <c r="J150" s="211" t="s">
        <v>95</v>
      </c>
      <c r="K150" s="275" t="s">
        <v>244</v>
      </c>
      <c r="L150" s="275" t="s">
        <v>159</v>
      </c>
      <c r="M150" s="214" t="s">
        <v>247</v>
      </c>
      <c r="N150" s="275" t="s">
        <v>248</v>
      </c>
      <c r="O150" s="275" t="s">
        <v>261</v>
      </c>
      <c r="P150" s="234" t="s">
        <v>197</v>
      </c>
      <c r="Q150" s="234" t="s">
        <v>198</v>
      </c>
      <c r="R150" s="275" t="s">
        <v>256</v>
      </c>
      <c r="S150" s="222" t="s">
        <v>249</v>
      </c>
      <c r="U150" s="428" t="s">
        <v>309</v>
      </c>
      <c r="V150" s="428" t="s">
        <v>310</v>
      </c>
    </row>
    <row r="151" spans="2:22" x14ac:dyDescent="0.25">
      <c r="B151" s="3">
        <f>Simulator2!E59</f>
        <v>2.1047994145076597E-2</v>
      </c>
      <c r="E151" s="535"/>
      <c r="G151" s="533"/>
      <c r="H151" s="16">
        <v>3604583787.7499995</v>
      </c>
      <c r="I151" s="3">
        <v>2.4039340356967784</v>
      </c>
      <c r="J151" s="4">
        <v>75869258.460000008</v>
      </c>
      <c r="K151" s="4">
        <v>1184735.0057350455</v>
      </c>
      <c r="L151" s="4">
        <f>K151/(H151/1000000)</f>
        <v>328.67456424825224</v>
      </c>
      <c r="M151" s="210">
        <f>P151/N151</f>
        <v>3604583787.7499995</v>
      </c>
      <c r="N151">
        <f>J151/H151</f>
        <v>2.1047994145076597E-2</v>
      </c>
      <c r="O151">
        <f>Simulator2!E59</f>
        <v>2.1047994145076597E-2</v>
      </c>
      <c r="P151" s="4">
        <f>Simulator2!E60</f>
        <v>75869258.460000008</v>
      </c>
      <c r="Q151" s="194">
        <f>P151-J151</f>
        <v>0</v>
      </c>
      <c r="R151" s="4">
        <f>L151*(M151/1000000)</f>
        <v>1184735.0057350455</v>
      </c>
      <c r="S151" s="4">
        <f>R151-K151</f>
        <v>0</v>
      </c>
      <c r="U151" s="210">
        <f>K151*$H$13/J151</f>
        <v>2.3375856224433362</v>
      </c>
      <c r="V151" s="210">
        <f>R151*$AD$12/P151</f>
        <v>2.3375856224433362</v>
      </c>
    </row>
    <row r="152" spans="2:22" x14ac:dyDescent="0.25">
      <c r="E152" s="535"/>
      <c r="K152" s="4"/>
    </row>
    <row r="153" spans="2:22" x14ac:dyDescent="0.25">
      <c r="E153" s="535"/>
      <c r="K153" s="4"/>
    </row>
    <row r="154" spans="2:22" x14ac:dyDescent="0.25">
      <c r="E154" s="535"/>
      <c r="K154" s="4"/>
    </row>
    <row r="155" spans="2:22" x14ac:dyDescent="0.25">
      <c r="E155" s="535"/>
    </row>
    <row r="156" spans="2:22" x14ac:dyDescent="0.25">
      <c r="B156" t="s">
        <v>250</v>
      </c>
      <c r="E156" s="535"/>
      <c r="G156" s="533" t="s">
        <v>30</v>
      </c>
      <c r="H156" s="211" t="s">
        <v>246</v>
      </c>
      <c r="I156" s="211" t="s">
        <v>234</v>
      </c>
      <c r="J156" s="211" t="s">
        <v>95</v>
      </c>
      <c r="K156" s="275" t="s">
        <v>244</v>
      </c>
      <c r="L156" s="275" t="s">
        <v>159</v>
      </c>
      <c r="M156" s="214" t="s">
        <v>247</v>
      </c>
      <c r="N156" s="275" t="s">
        <v>248</v>
      </c>
      <c r="O156" s="275" t="s">
        <v>261</v>
      </c>
      <c r="P156" s="234" t="s">
        <v>197</v>
      </c>
      <c r="Q156" s="234" t="s">
        <v>198</v>
      </c>
      <c r="R156" s="275" t="s">
        <v>256</v>
      </c>
      <c r="S156" s="222" t="s">
        <v>249</v>
      </c>
      <c r="U156" s="428" t="s">
        <v>309</v>
      </c>
      <c r="V156" s="428" t="s">
        <v>310</v>
      </c>
    </row>
    <row r="157" spans="2:22" ht="15.75" thickBot="1" x14ac:dyDescent="0.3">
      <c r="B157" s="3">
        <f>Simulator2!G59</f>
        <v>1.6812770133844624E-2</v>
      </c>
      <c r="E157" s="536"/>
      <c r="G157" s="533"/>
      <c r="H157" s="16">
        <v>336220620.10000002</v>
      </c>
      <c r="I157" s="3">
        <v>2.1121481491387399</v>
      </c>
      <c r="J157" s="4">
        <v>5652800</v>
      </c>
      <c r="K157" s="4">
        <v>74805.796706061883</v>
      </c>
      <c r="L157" s="4">
        <f>K157/(H157/1000000)</f>
        <v>222.49021099245149</v>
      </c>
      <c r="M157" s="210">
        <f>P157/N157</f>
        <v>336220620.10000002</v>
      </c>
      <c r="N157">
        <f>J157/H157</f>
        <v>1.6812770133844624E-2</v>
      </c>
      <c r="O157">
        <f>Simulator2!G59</f>
        <v>1.6812770133844624E-2</v>
      </c>
      <c r="P157" s="4">
        <f>Simulator2!G60</f>
        <v>5652800</v>
      </c>
      <c r="Q157" s="194">
        <f>P157-J157</f>
        <v>0</v>
      </c>
      <c r="R157" s="4">
        <f>L157*(M157/1000000)</f>
        <v>74805.796706061883</v>
      </c>
      <c r="S157" s="4">
        <f>R157-K157</f>
        <v>0</v>
      </c>
      <c r="U157" s="210">
        <f>K157*$H$14/J157</f>
        <v>2.0887841955522797</v>
      </c>
      <c r="V157" s="210">
        <f>R157*$AD$13/P157</f>
        <v>2.0887841955522797</v>
      </c>
    </row>
    <row r="158" spans="2:22" x14ac:dyDescent="0.25">
      <c r="K158" s="4"/>
    </row>
    <row r="159" spans="2:22" x14ac:dyDescent="0.25">
      <c r="K159" s="4"/>
    </row>
    <row r="160" spans="2:22" x14ac:dyDescent="0.25">
      <c r="K160" s="4"/>
    </row>
    <row r="161" spans="8:27" x14ac:dyDescent="0.25">
      <c r="O161" t="s">
        <v>374</v>
      </c>
    </row>
    <row r="162" spans="8:27" x14ac:dyDescent="0.25">
      <c r="O162" s="210">
        <f>SUM(O164:O165)</f>
        <v>845586.57807005174</v>
      </c>
    </row>
    <row r="163" spans="8:27" x14ac:dyDescent="0.25">
      <c r="I163" s="175" t="s">
        <v>213</v>
      </c>
      <c r="J163" s="175" t="s">
        <v>214</v>
      </c>
      <c r="K163" s="235" t="s">
        <v>215</v>
      </c>
      <c r="L163" s="175" t="s">
        <v>216</v>
      </c>
      <c r="M163" s="235" t="s">
        <v>215</v>
      </c>
      <c r="N163" s="236" t="s">
        <v>235</v>
      </c>
      <c r="O163" s="235" t="s">
        <v>215</v>
      </c>
      <c r="Q163" s="238" t="s">
        <v>217</v>
      </c>
    </row>
    <row r="164" spans="8:27" x14ac:dyDescent="0.25">
      <c r="H164" t="s">
        <v>12</v>
      </c>
      <c r="I164" s="210">
        <f>K29*Simulator2!D10</f>
        <v>5789245.0579999993</v>
      </c>
      <c r="J164" s="194"/>
      <c r="K164" s="4">
        <f>IF((I164-J164)&gt;0,I164-J164,0)</f>
        <v>5789245.0579999993</v>
      </c>
      <c r="L164" s="4"/>
      <c r="M164" s="4">
        <f>IF((K164-L164)&gt;0,K164-L164,0)</f>
        <v>5789245.0579999993</v>
      </c>
      <c r="N164" s="210">
        <f>'Table Format Calculations_Blue'!N154</f>
        <v>5165210.8387038605</v>
      </c>
      <c r="O164" s="210">
        <f>I164-N164</f>
        <v>624034.21929613873</v>
      </c>
      <c r="Q164" s="194">
        <f>SUM(J171,L171,N171,P171,R171,T171,V171)</f>
        <v>5789245.057313107</v>
      </c>
    </row>
    <row r="165" spans="8:27" x14ac:dyDescent="0.25">
      <c r="H165" t="s">
        <v>30</v>
      </c>
      <c r="I165" s="210">
        <f>K30*Simulator2!D11</f>
        <v>1594457.28</v>
      </c>
      <c r="J165" s="194"/>
      <c r="K165" s="4">
        <f t="shared" ref="K165:K166" si="280">IF((I165-J165)&gt;0,I165-J165,0)</f>
        <v>1594457.28</v>
      </c>
      <c r="L165" s="4"/>
      <c r="M165" s="4">
        <f t="shared" ref="M165:M166" si="281">IF((K165-L165)&gt;0,K165-L165,0)</f>
        <v>1594457.28</v>
      </c>
      <c r="N165" s="210">
        <f>'Table Format Calculations_Blue'!N155</f>
        <v>1372904.921226087</v>
      </c>
      <c r="O165" s="210">
        <f t="shared" ref="O165:O166" si="282">I165-N165</f>
        <v>221552.358773913</v>
      </c>
      <c r="Q165" s="194">
        <f t="shared" ref="Q165:Q166" si="283">SUM(J172,L172,N172,P172,R172,T172,V172)</f>
        <v>1594457.2803318263</v>
      </c>
    </row>
    <row r="166" spans="8:27" x14ac:dyDescent="0.25">
      <c r="H166" t="s">
        <v>38</v>
      </c>
      <c r="I166" s="210">
        <f>K31*Simulator2!D12</f>
        <v>3502902.36</v>
      </c>
      <c r="J166" s="194"/>
      <c r="K166" s="4">
        <f t="shared" si="280"/>
        <v>3502902.36</v>
      </c>
      <c r="L166" s="4"/>
      <c r="M166" s="4">
        <f t="shared" si="281"/>
        <v>3502902.36</v>
      </c>
      <c r="N166" s="210">
        <f>'Table Format Calculations_Blue'!N156</f>
        <v>3118715.3127400456</v>
      </c>
      <c r="O166" s="210">
        <f t="shared" si="282"/>
        <v>384187.04725995427</v>
      </c>
      <c r="Q166" s="194">
        <f t="shared" si="283"/>
        <v>3502906.9775437163</v>
      </c>
    </row>
    <row r="170" spans="8:27" x14ac:dyDescent="0.25">
      <c r="I170" s="175" t="s">
        <v>213</v>
      </c>
      <c r="J170" s="175" t="s">
        <v>214</v>
      </c>
      <c r="K170" s="235" t="s">
        <v>215</v>
      </c>
      <c r="L170" s="175" t="s">
        <v>216</v>
      </c>
      <c r="M170" s="235" t="s">
        <v>215</v>
      </c>
      <c r="N170" s="236" t="s">
        <v>235</v>
      </c>
      <c r="O170" s="235" t="s">
        <v>215</v>
      </c>
      <c r="P170" s="175" t="s">
        <v>241</v>
      </c>
      <c r="Q170" s="235" t="s">
        <v>215</v>
      </c>
      <c r="R170" s="175" t="s">
        <v>242</v>
      </c>
      <c r="S170" s="235" t="s">
        <v>215</v>
      </c>
      <c r="T170" s="175" t="s">
        <v>265</v>
      </c>
      <c r="U170" s="235" t="s">
        <v>215</v>
      </c>
      <c r="V170" s="175" t="s">
        <v>266</v>
      </c>
      <c r="W170" s="235" t="s">
        <v>215</v>
      </c>
      <c r="X170" s="175" t="s">
        <v>238</v>
      </c>
      <c r="Y170" s="235" t="s">
        <v>267</v>
      </c>
      <c r="AA170" t="s">
        <v>379</v>
      </c>
    </row>
    <row r="171" spans="8:27" x14ac:dyDescent="0.25">
      <c r="H171" t="s">
        <v>12</v>
      </c>
      <c r="I171" s="210">
        <f>I164</f>
        <v>5789245.0579999993</v>
      </c>
      <c r="J171" s="4">
        <f>X29</f>
        <v>496138.24540793989</v>
      </c>
      <c r="K171" s="4">
        <f>IF((I171-J171)&gt;0,I171-J171,0)</f>
        <v>5293106.8125920594</v>
      </c>
      <c r="L171" s="278">
        <f>Q110</f>
        <v>127895.97320130664</v>
      </c>
      <c r="M171" s="326">
        <f>IF((K171-L171)&gt;0,K171-L171,0)</f>
        <v>5165210.8393907528</v>
      </c>
      <c r="N171" s="326">
        <f>N164</f>
        <v>5165210.8387038605</v>
      </c>
      <c r="O171" s="326">
        <f>IF((M171-N171)&gt;0,M171-N171,0)</f>
        <v>6.868923082947731E-4</v>
      </c>
      <c r="P171" s="326">
        <f>FM19</f>
        <v>0</v>
      </c>
      <c r="Q171" s="4">
        <f>IF((O171-P171)&gt;0,O171-P171,0)</f>
        <v>6.868923082947731E-4</v>
      </c>
      <c r="R171" s="4">
        <f>AB29</f>
        <v>0</v>
      </c>
      <c r="S171" s="4">
        <f>I171-SUM(J171,L171,N171,P171,R171)</f>
        <v>6.868923082947731E-4</v>
      </c>
      <c r="T171" s="210">
        <f>Q143</f>
        <v>0</v>
      </c>
      <c r="U171" s="4">
        <f>K171-SUM(L171,N171,P171,R171,T171)</f>
        <v>6.868923082947731E-4</v>
      </c>
      <c r="V171" s="210">
        <f>S151</f>
        <v>0</v>
      </c>
      <c r="W171" s="4">
        <f>M171-SUM(N171,P171,R171,T171,V171)</f>
        <v>6.868923082947731E-4</v>
      </c>
      <c r="X171" s="210">
        <f>SUM(J171+L171+N171+P171+R171+T171+V171)</f>
        <v>5789245.057313107</v>
      </c>
      <c r="Y171" s="194">
        <f>X171-I171</f>
        <v>-6.868923082947731E-4</v>
      </c>
      <c r="AA171" s="194">
        <f>SUM(L171,N171,R171)</f>
        <v>5293106.8119051671</v>
      </c>
    </row>
    <row r="172" spans="8:27" x14ac:dyDescent="0.25">
      <c r="H172" t="s">
        <v>30</v>
      </c>
      <c r="I172" s="210">
        <f t="shared" ref="I172:I173" si="284">I165</f>
        <v>1594457.28</v>
      </c>
      <c r="J172" s="4">
        <f>X30</f>
        <v>96073.772119774949</v>
      </c>
      <c r="K172" s="4">
        <f t="shared" ref="K172:Q173" si="285">IF((I172-J172)&gt;0,I172-J172,0)</f>
        <v>1498383.5078802251</v>
      </c>
      <c r="L172" s="4">
        <f>Q122</f>
        <v>64710.65538100079</v>
      </c>
      <c r="M172" s="4">
        <f t="shared" si="285"/>
        <v>1433672.8524992242</v>
      </c>
      <c r="N172" s="4">
        <f t="shared" ref="N172:N173" si="286">N165</f>
        <v>1372904.921226087</v>
      </c>
      <c r="O172" s="4">
        <f t="shared" si="285"/>
        <v>60767.931273137219</v>
      </c>
      <c r="P172" s="4">
        <f t="shared" ref="P172:P173" si="287">FM20</f>
        <v>0</v>
      </c>
      <c r="Q172" s="4">
        <f t="shared" si="285"/>
        <v>60767.931273137219</v>
      </c>
      <c r="R172" s="4">
        <f t="shared" ref="R172:R173" si="288">AB30</f>
        <v>60767.931604963393</v>
      </c>
      <c r="S172" s="4">
        <f t="shared" ref="S172:W172" si="289">I172-SUM(J172,L172,N172,P172,R172)</f>
        <v>-3.3182627521455288E-4</v>
      </c>
      <c r="T172">
        <v>0</v>
      </c>
      <c r="U172" s="4">
        <f t="shared" si="289"/>
        <v>-3.3182627521455288E-4</v>
      </c>
      <c r="V172" s="194">
        <f>S157</f>
        <v>0</v>
      </c>
      <c r="W172" s="4">
        <f t="shared" si="289"/>
        <v>-3.3182627521455288E-4</v>
      </c>
      <c r="X172" s="210">
        <f t="shared" ref="X172:X173" si="290">SUM(J172+L172+N172+P172+R172+T172+V172)</f>
        <v>1594457.2803318263</v>
      </c>
      <c r="Y172" s="194">
        <f t="shared" ref="Y172:Y173" si="291">X172-I172</f>
        <v>3.3182627521455288E-4</v>
      </c>
      <c r="AA172" s="194">
        <f>SUM(L172,N172,R172)</f>
        <v>1498383.5082120514</v>
      </c>
    </row>
    <row r="173" spans="8:27" x14ac:dyDescent="0.25">
      <c r="H173" t="s">
        <v>38</v>
      </c>
      <c r="I173" s="210">
        <f t="shared" si="284"/>
        <v>3502902.36</v>
      </c>
      <c r="J173" s="4">
        <f>X31</f>
        <v>30021.910000000036</v>
      </c>
      <c r="K173" s="4">
        <f t="shared" si="285"/>
        <v>3472880.4499999997</v>
      </c>
      <c r="L173" s="4">
        <f>Q134</f>
        <v>260362.18935820216</v>
      </c>
      <c r="M173" s="4">
        <f t="shared" si="285"/>
        <v>3212518.2606417974</v>
      </c>
      <c r="N173" s="4">
        <f t="shared" si="286"/>
        <v>3118715.3127400456</v>
      </c>
      <c r="O173" s="4">
        <f t="shared" si="285"/>
        <v>93802.947901751846</v>
      </c>
      <c r="P173" s="4">
        <f t="shared" si="287"/>
        <v>0</v>
      </c>
      <c r="Q173" s="4">
        <f>IF((O173-P173)&gt;0,O173-P173,0)</f>
        <v>93802.947901751846</v>
      </c>
      <c r="R173" s="4">
        <f t="shared" si="288"/>
        <v>93807.565445468761</v>
      </c>
      <c r="S173" s="4">
        <f>IF((Q173-R173)&gt;0,Q173-R173,0)</f>
        <v>0</v>
      </c>
      <c r="T173" s="210">
        <f>Q147</f>
        <v>0</v>
      </c>
      <c r="U173" s="4">
        <f>IF((S173-T173)&gt;0,S173-T173,0)</f>
        <v>0</v>
      </c>
      <c r="V173" s="210">
        <v>0</v>
      </c>
      <c r="W173" s="4">
        <f>IF((U173-V173)&gt;0,U173-V173,0)</f>
        <v>0</v>
      </c>
      <c r="X173" s="210">
        <f t="shared" si="290"/>
        <v>3502906.9775437163</v>
      </c>
      <c r="Y173" s="194">
        <f t="shared" si="291"/>
        <v>4.6175437164492905</v>
      </c>
    </row>
    <row r="174" spans="8:27" x14ac:dyDescent="0.25">
      <c r="J174" s="4"/>
      <c r="K174" s="4"/>
      <c r="L174" s="4"/>
      <c r="M174" s="4"/>
      <c r="N174" s="4"/>
      <c r="O174" s="4"/>
      <c r="P174" s="4"/>
      <c r="Q174" s="4"/>
      <c r="R174" s="4"/>
      <c r="S174" s="4"/>
    </row>
    <row r="175" spans="8:27" x14ac:dyDescent="0.25">
      <c r="H175" t="s">
        <v>347</v>
      </c>
      <c r="I175" s="210">
        <f>SUM(I171:I172)</f>
        <v>7383702.3379999995</v>
      </c>
      <c r="J175" s="210">
        <f t="shared" ref="J175:Y175" si="292">SUM(J171:J172)</f>
        <v>592212.01752771484</v>
      </c>
      <c r="K175" s="210">
        <f t="shared" si="292"/>
        <v>6791490.3204722842</v>
      </c>
      <c r="L175" s="210">
        <f t="shared" si="292"/>
        <v>192606.62858230743</v>
      </c>
      <c r="M175" s="210">
        <f t="shared" si="292"/>
        <v>6598883.6918899771</v>
      </c>
      <c r="N175" s="210">
        <f t="shared" si="292"/>
        <v>6538115.7599299476</v>
      </c>
      <c r="O175" s="210">
        <f t="shared" si="292"/>
        <v>60767.931960029528</v>
      </c>
      <c r="P175" s="210">
        <f t="shared" si="292"/>
        <v>0</v>
      </c>
      <c r="Q175" s="210">
        <f t="shared" si="292"/>
        <v>60767.931960029528</v>
      </c>
      <c r="R175" s="210">
        <f t="shared" si="292"/>
        <v>60767.931604963393</v>
      </c>
      <c r="S175" s="210">
        <f t="shared" si="292"/>
        <v>3.5506603308022022E-4</v>
      </c>
      <c r="T175" s="210">
        <f t="shared" si="292"/>
        <v>0</v>
      </c>
      <c r="U175" s="210">
        <f t="shared" si="292"/>
        <v>3.5506603308022022E-4</v>
      </c>
      <c r="V175" s="210">
        <f t="shared" si="292"/>
        <v>0</v>
      </c>
      <c r="W175" s="210">
        <f t="shared" si="292"/>
        <v>3.5506603308022022E-4</v>
      </c>
      <c r="X175" s="210">
        <f t="shared" si="292"/>
        <v>7383702.3376449328</v>
      </c>
      <c r="Y175" s="210">
        <f t="shared" si="292"/>
        <v>-3.5506603308022022E-4</v>
      </c>
    </row>
    <row r="177" spans="8:25" x14ac:dyDescent="0.25"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8:25" x14ac:dyDescent="0.25"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8:25" x14ac:dyDescent="0.25">
      <c r="H179" t="s">
        <v>158</v>
      </c>
      <c r="I179" s="4" t="s">
        <v>318</v>
      </c>
      <c r="J179" s="4" t="s">
        <v>319</v>
      </c>
      <c r="K179" s="4" t="s">
        <v>320</v>
      </c>
      <c r="L179" s="4" t="s">
        <v>321</v>
      </c>
      <c r="M179" s="4" t="s">
        <v>322</v>
      </c>
      <c r="N179" s="4" t="s">
        <v>306</v>
      </c>
      <c r="O179" s="4" t="s">
        <v>323</v>
      </c>
      <c r="P179" s="4" t="s">
        <v>324</v>
      </c>
      <c r="Q179" s="4"/>
      <c r="R179" t="s">
        <v>158</v>
      </c>
      <c r="S179" s="4" t="s">
        <v>333</v>
      </c>
      <c r="T179" s="4" t="s">
        <v>334</v>
      </c>
      <c r="U179" s="4" t="s">
        <v>335</v>
      </c>
      <c r="V179" s="4" t="s">
        <v>336</v>
      </c>
      <c r="W179" s="4" t="s">
        <v>337</v>
      </c>
      <c r="X179" s="4" t="s">
        <v>338</v>
      </c>
      <c r="Y179" s="4"/>
    </row>
    <row r="180" spans="8:25" x14ac:dyDescent="0.25">
      <c r="H180" t="s">
        <v>97</v>
      </c>
      <c r="I180" s="220">
        <f>S54</f>
        <v>534798</v>
      </c>
      <c r="J180" s="220">
        <f>R54</f>
        <v>481318.2</v>
      </c>
      <c r="K180" s="4">
        <f>J54</f>
        <v>36296000</v>
      </c>
      <c r="L180" s="4">
        <f>Q54</f>
        <v>32666400.000000004</v>
      </c>
      <c r="M180" s="194">
        <f>$H$13</f>
        <v>149.69667216973943</v>
      </c>
      <c r="N180" s="194">
        <f>$AD$12</f>
        <v>149.69667216973943</v>
      </c>
      <c r="O180">
        <f>I180*M180</f>
        <v>80057480.883032307</v>
      </c>
      <c r="P180">
        <f>J180*N180</f>
        <v>72051732.794729084</v>
      </c>
      <c r="R180" t="s">
        <v>97</v>
      </c>
      <c r="S180">
        <f t="shared" ref="S180:T185" si="293">O180+O189</f>
        <v>86766071.758773848</v>
      </c>
      <c r="T180">
        <f t="shared" si="293"/>
        <v>78089464.582896471</v>
      </c>
      <c r="U180" s="194">
        <f>SUM(K180,K189,K198)</f>
        <v>55090125</v>
      </c>
      <c r="V180" s="194">
        <f>SUM(L180,L189,L198)</f>
        <v>49581112.5</v>
      </c>
      <c r="W180" s="210">
        <f>S180/U180</f>
        <v>1.5749841148259121</v>
      </c>
      <c r="X180" s="210">
        <f>T180/V180</f>
        <v>1.5749841148259123</v>
      </c>
    </row>
    <row r="181" spans="8:25" x14ac:dyDescent="0.25">
      <c r="H181" t="s">
        <v>171</v>
      </c>
      <c r="I181" s="220">
        <f t="shared" ref="I181:I185" si="294">S55</f>
        <v>310072</v>
      </c>
      <c r="J181" s="220">
        <f t="shared" ref="J181:J185" si="295">R55</f>
        <v>279064.8</v>
      </c>
      <c r="K181" s="4">
        <f t="shared" ref="K181:K185" si="296">J55</f>
        <v>13580000</v>
      </c>
      <c r="L181" s="4">
        <f t="shared" ref="L181:L185" si="297">Q55</f>
        <v>12222000</v>
      </c>
      <c r="M181" s="194">
        <f t="shared" ref="M181:M185" si="298">$H$13</f>
        <v>149.69667216973943</v>
      </c>
      <c r="N181" s="194">
        <f t="shared" ref="N181:N185" si="299">$AD$12</f>
        <v>149.69667216973943</v>
      </c>
      <c r="O181">
        <f t="shared" ref="O181:O185" si="300">I181*M181</f>
        <v>46416746.533015445</v>
      </c>
      <c r="P181">
        <f t="shared" ref="P181:P185" si="301">J181*N181</f>
        <v>41775071.8797139</v>
      </c>
      <c r="R181" t="s">
        <v>171</v>
      </c>
      <c r="S181">
        <f t="shared" si="293"/>
        <v>52102838.427696005</v>
      </c>
      <c r="T181">
        <f t="shared" si="293"/>
        <v>46892554.584926404</v>
      </c>
      <c r="U181" s="194">
        <f t="shared" ref="U181:V181" si="302">SUM(K181,K190,K199)</f>
        <v>20717500</v>
      </c>
      <c r="V181" s="194">
        <f t="shared" si="302"/>
        <v>18645750</v>
      </c>
      <c r="W181" s="210">
        <f t="shared" ref="W181:W185" si="303">S181/U181</f>
        <v>2.5149191952550263</v>
      </c>
      <c r="X181" s="210">
        <f t="shared" ref="X181:X185" si="304">T181/V181</f>
        <v>2.5149191952550263</v>
      </c>
    </row>
    <row r="182" spans="8:25" x14ac:dyDescent="0.25">
      <c r="H182" t="s">
        <v>100</v>
      </c>
      <c r="I182" s="220">
        <f t="shared" si="294"/>
        <v>508400</v>
      </c>
      <c r="J182" s="220">
        <f t="shared" si="295"/>
        <v>457560</v>
      </c>
      <c r="K182" s="4">
        <f t="shared" si="296"/>
        <v>9984250</v>
      </c>
      <c r="L182" s="4">
        <f t="shared" si="297"/>
        <v>8985825</v>
      </c>
      <c r="M182" s="194">
        <f t="shared" si="298"/>
        <v>149.69667216973943</v>
      </c>
      <c r="N182" s="194">
        <f t="shared" si="299"/>
        <v>149.69667216973943</v>
      </c>
      <c r="O182">
        <f t="shared" si="300"/>
        <v>76105788.131095529</v>
      </c>
      <c r="P182">
        <f t="shared" si="301"/>
        <v>68495209.317985967</v>
      </c>
      <c r="R182" t="s">
        <v>100</v>
      </c>
      <c r="S182">
        <f t="shared" si="293"/>
        <v>82973799.193757653</v>
      </c>
      <c r="T182">
        <f t="shared" si="293"/>
        <v>74676419.274381876</v>
      </c>
      <c r="U182" s="194">
        <f t="shared" ref="U182:V182" si="305">SUM(K182,K191,K200)</f>
        <v>15018750</v>
      </c>
      <c r="V182" s="194">
        <f t="shared" si="305"/>
        <v>13516875</v>
      </c>
      <c r="W182" s="210">
        <f t="shared" si="303"/>
        <v>5.5246807619647207</v>
      </c>
      <c r="X182" s="210">
        <f t="shared" si="304"/>
        <v>5.5246807619647198</v>
      </c>
    </row>
    <row r="183" spans="8:25" x14ac:dyDescent="0.25">
      <c r="H183" t="s">
        <v>114</v>
      </c>
      <c r="I183" s="220">
        <f t="shared" si="294"/>
        <v>454196</v>
      </c>
      <c r="J183" s="220">
        <f t="shared" si="295"/>
        <v>408776.4</v>
      </c>
      <c r="K183" s="4">
        <f t="shared" si="296"/>
        <v>8234500</v>
      </c>
      <c r="L183" s="4">
        <f t="shared" si="297"/>
        <v>7411050</v>
      </c>
      <c r="M183" s="194">
        <f t="shared" si="298"/>
        <v>149.69667216973943</v>
      </c>
      <c r="N183" s="194">
        <f t="shared" si="299"/>
        <v>149.69667216973943</v>
      </c>
      <c r="O183">
        <f t="shared" si="300"/>
        <v>67991629.71280697</v>
      </c>
      <c r="P183">
        <f t="shared" si="301"/>
        <v>61192466.741526276</v>
      </c>
      <c r="R183" t="s">
        <v>114</v>
      </c>
      <c r="S183">
        <f t="shared" si="293"/>
        <v>74678754.107933462</v>
      </c>
      <c r="T183">
        <f t="shared" si="293"/>
        <v>67210878.697140113</v>
      </c>
      <c r="U183" s="194">
        <f t="shared" ref="U183:V183" si="306">SUM(K183,K192,K201)</f>
        <v>13455250</v>
      </c>
      <c r="V183" s="194">
        <f t="shared" si="306"/>
        <v>12109725</v>
      </c>
      <c r="W183" s="210">
        <f t="shared" si="303"/>
        <v>5.5501573072171428</v>
      </c>
      <c r="X183" s="210">
        <f t="shared" si="304"/>
        <v>5.5501573072171428</v>
      </c>
    </row>
    <row r="184" spans="8:25" x14ac:dyDescent="0.25">
      <c r="H184" t="s">
        <v>118</v>
      </c>
      <c r="I184" s="220">
        <f t="shared" si="294"/>
        <v>393585</v>
      </c>
      <c r="J184" s="220">
        <f t="shared" si="295"/>
        <v>354226.5</v>
      </c>
      <c r="K184" s="4">
        <f t="shared" si="296"/>
        <v>3975000</v>
      </c>
      <c r="L184" s="4">
        <f t="shared" si="297"/>
        <v>3577500</v>
      </c>
      <c r="M184" s="194">
        <f t="shared" si="298"/>
        <v>149.69667216973943</v>
      </c>
      <c r="N184" s="194">
        <f t="shared" si="299"/>
        <v>149.69667216973943</v>
      </c>
      <c r="O184">
        <f t="shared" si="300"/>
        <v>58918364.715926893</v>
      </c>
      <c r="P184">
        <f t="shared" si="301"/>
        <v>53026528.244334206</v>
      </c>
      <c r="R184" t="s">
        <v>118</v>
      </c>
      <c r="S184">
        <f t="shared" si="293"/>
        <v>64752196.506605148</v>
      </c>
      <c r="T184">
        <f t="shared" si="293"/>
        <v>77790102.440086484</v>
      </c>
      <c r="U184" s="194">
        <f t="shared" ref="U184:V184" si="307">SUM(K184,K193,K202)</f>
        <v>6666750</v>
      </c>
      <c r="V184" s="194">
        <f t="shared" si="307"/>
        <v>19075664.360119045</v>
      </c>
      <c r="W184" s="210">
        <f t="shared" si="303"/>
        <v>9.7127080671399337</v>
      </c>
      <c r="X184" s="210">
        <f t="shared" si="304"/>
        <v>4.0779760521851109</v>
      </c>
    </row>
    <row r="185" spans="8:25" x14ac:dyDescent="0.25">
      <c r="H185" t="s">
        <v>105</v>
      </c>
      <c r="I185" s="220">
        <f t="shared" si="294"/>
        <v>372240.22000001301</v>
      </c>
      <c r="J185" s="220">
        <f t="shared" si="295"/>
        <v>372240.22000001301</v>
      </c>
      <c r="K185" s="4">
        <f t="shared" si="296"/>
        <v>791000</v>
      </c>
      <c r="L185" s="4">
        <f t="shared" si="297"/>
        <v>791000</v>
      </c>
      <c r="M185" s="194">
        <f t="shared" si="298"/>
        <v>149.69667216973943</v>
      </c>
      <c r="N185" s="194">
        <f t="shared" si="299"/>
        <v>149.69667216973943</v>
      </c>
      <c r="O185">
        <f t="shared" si="300"/>
        <v>55723122.181733631</v>
      </c>
      <c r="P185">
        <f t="shared" si="301"/>
        <v>55723122.181733631</v>
      </c>
      <c r="R185" t="s">
        <v>105</v>
      </c>
      <c r="S185">
        <f t="shared" si="293"/>
        <v>62135286.214864403</v>
      </c>
      <c r="T185">
        <f t="shared" si="293"/>
        <v>62135286.214864403</v>
      </c>
      <c r="U185" s="194">
        <f t="shared" ref="U185:V185" si="308">SUM(K185,K194,K203)</f>
        <v>1129750</v>
      </c>
      <c r="V185" s="194">
        <f t="shared" si="308"/>
        <v>1129750</v>
      </c>
      <c r="W185" s="210">
        <f t="shared" si="303"/>
        <v>54.999146904062314</v>
      </c>
      <c r="X185" s="210">
        <f t="shared" si="304"/>
        <v>54.999146904062314</v>
      </c>
    </row>
    <row r="186" spans="8:25" x14ac:dyDescent="0.25">
      <c r="I186">
        <f>SUM(I180:I185)</f>
        <v>2573291.2200000128</v>
      </c>
      <c r="J186">
        <f>SUM(J180:J185)</f>
        <v>2353186.1200000132</v>
      </c>
      <c r="K186">
        <f>SUM(K180:K185)</f>
        <v>72860750</v>
      </c>
      <c r="L186">
        <f>SUM(L180:L185)</f>
        <v>65653775</v>
      </c>
      <c r="O186">
        <f>SUM(O180:O185)</f>
        <v>385213132.15761077</v>
      </c>
      <c r="P186">
        <f>SUM(P180:P185)</f>
        <v>352264131.16002303</v>
      </c>
      <c r="R186" t="s">
        <v>296</v>
      </c>
      <c r="S186">
        <f>SUM(S180:S185)</f>
        <v>423408946.20963049</v>
      </c>
      <c r="T186">
        <f t="shared" ref="T186:V186" si="309">SUM(T180:T185)</f>
        <v>406794705.79429579</v>
      </c>
      <c r="U186">
        <f t="shared" si="309"/>
        <v>112078125</v>
      </c>
      <c r="V186">
        <f t="shared" si="309"/>
        <v>114058876.86011904</v>
      </c>
      <c r="W186" s="210">
        <f t="shared" ref="W186" si="310">S186/U186</f>
        <v>3.7778018342975535</v>
      </c>
      <c r="X186" s="210">
        <f t="shared" ref="X186" si="311">T186/V186</f>
        <v>3.5665326276462093</v>
      </c>
    </row>
    <row r="188" spans="8:25" x14ac:dyDescent="0.25">
      <c r="H188" t="s">
        <v>158</v>
      </c>
      <c r="I188" s="4" t="s">
        <v>325</v>
      </c>
      <c r="J188" s="4" t="s">
        <v>326</v>
      </c>
      <c r="K188" s="4" t="s">
        <v>327</v>
      </c>
      <c r="L188" s="4" t="s">
        <v>328</v>
      </c>
      <c r="M188" s="4" t="s">
        <v>322</v>
      </c>
      <c r="N188" s="4" t="s">
        <v>306</v>
      </c>
      <c r="O188" s="4" t="s">
        <v>323</v>
      </c>
      <c r="P188" s="4" t="s">
        <v>324</v>
      </c>
    </row>
    <row r="189" spans="8:25" x14ac:dyDescent="0.25">
      <c r="H189" t="s">
        <v>97</v>
      </c>
      <c r="I189" s="220">
        <f>S68</f>
        <v>42502</v>
      </c>
      <c r="J189" s="220">
        <f>R68</f>
        <v>38251.799999999996</v>
      </c>
      <c r="K189">
        <f>J68</f>
        <v>10182250</v>
      </c>
      <c r="L189">
        <f>Q68</f>
        <v>9164025</v>
      </c>
      <c r="M189" s="194">
        <f>$H$14</f>
        <v>157.84176922830778</v>
      </c>
      <c r="N189" s="194">
        <f>$AD$13</f>
        <v>157.84176922830778</v>
      </c>
      <c r="O189">
        <f t="shared" ref="O189" si="312">I189*M189</f>
        <v>6708590.8757415377</v>
      </c>
      <c r="P189">
        <f t="shared" ref="P189" si="313">J189*N189</f>
        <v>6037731.7881673826</v>
      </c>
    </row>
    <row r="190" spans="8:25" x14ac:dyDescent="0.25">
      <c r="H190" t="s">
        <v>171</v>
      </c>
      <c r="I190" s="220">
        <f t="shared" ref="I190:I194" si="314">S69</f>
        <v>36024</v>
      </c>
      <c r="J190" s="220">
        <f t="shared" ref="J190:J194" si="315">R69</f>
        <v>32421.600000000002</v>
      </c>
      <c r="K190">
        <f t="shared" ref="K190:K194" si="316">J69</f>
        <v>4291500</v>
      </c>
      <c r="L190">
        <f t="shared" ref="L190:L194" si="317">Q69</f>
        <v>3862350.0000000005</v>
      </c>
      <c r="M190" s="194">
        <f t="shared" ref="M190:M194" si="318">$H$14</f>
        <v>157.84176922830778</v>
      </c>
      <c r="N190" s="194">
        <f t="shared" ref="N190:N194" si="319">$AD$13</f>
        <v>157.84176922830778</v>
      </c>
      <c r="O190">
        <f t="shared" ref="O190:O194" si="320">I190*M190</f>
        <v>5686091.8946805596</v>
      </c>
      <c r="P190">
        <f t="shared" ref="P190:P194" si="321">J190*N190</f>
        <v>5117482.7052125037</v>
      </c>
    </row>
    <row r="191" spans="8:25" x14ac:dyDescent="0.25">
      <c r="H191" t="s">
        <v>100</v>
      </c>
      <c r="I191" s="220">
        <f t="shared" si="314"/>
        <v>43512</v>
      </c>
      <c r="J191" s="220">
        <f t="shared" si="315"/>
        <v>39160.799999999996</v>
      </c>
      <c r="K191">
        <f t="shared" si="316"/>
        <v>3114500</v>
      </c>
      <c r="L191">
        <f t="shared" si="317"/>
        <v>2803050</v>
      </c>
      <c r="M191" s="194">
        <f t="shared" si="318"/>
        <v>157.84176922830778</v>
      </c>
      <c r="N191" s="194">
        <f t="shared" si="319"/>
        <v>157.84176922830778</v>
      </c>
      <c r="O191">
        <f t="shared" si="320"/>
        <v>6868011.0626621284</v>
      </c>
      <c r="P191">
        <f t="shared" si="321"/>
        <v>6181209.9563959148</v>
      </c>
    </row>
    <row r="192" spans="8:25" x14ac:dyDescent="0.25">
      <c r="H192" t="s">
        <v>114</v>
      </c>
      <c r="I192" s="220">
        <f t="shared" si="314"/>
        <v>42366</v>
      </c>
      <c r="J192" s="220">
        <f t="shared" si="315"/>
        <v>38129.4</v>
      </c>
      <c r="K192">
        <f t="shared" si="316"/>
        <v>3009000</v>
      </c>
      <c r="L192">
        <f t="shared" si="317"/>
        <v>2708100.0000000005</v>
      </c>
      <c r="M192" s="194">
        <f t="shared" si="318"/>
        <v>157.84176922830778</v>
      </c>
      <c r="N192" s="194">
        <f t="shared" si="319"/>
        <v>157.84176922830778</v>
      </c>
      <c r="O192">
        <f t="shared" si="320"/>
        <v>6687124.3951264871</v>
      </c>
      <c r="P192">
        <f t="shared" si="321"/>
        <v>6018411.9556138394</v>
      </c>
    </row>
    <row r="193" spans="8:16" x14ac:dyDescent="0.25">
      <c r="H193" t="s">
        <v>118</v>
      </c>
      <c r="I193" s="220">
        <f t="shared" si="314"/>
        <v>36960</v>
      </c>
      <c r="J193" s="220">
        <f t="shared" si="315"/>
        <v>156888.59999999998</v>
      </c>
      <c r="K193">
        <f t="shared" si="316"/>
        <v>1653250</v>
      </c>
      <c r="L193">
        <f t="shared" si="317"/>
        <v>7017751.0267857127</v>
      </c>
      <c r="M193" s="194">
        <f t="shared" si="318"/>
        <v>157.84176922830778</v>
      </c>
      <c r="N193" s="194">
        <f t="shared" si="319"/>
        <v>157.84176922830778</v>
      </c>
      <c r="O193">
        <f t="shared" si="320"/>
        <v>5833831.7906782553</v>
      </c>
      <c r="P193">
        <f t="shared" si="321"/>
        <v>24763574.195752285</v>
      </c>
    </row>
    <row r="194" spans="8:16" x14ac:dyDescent="0.25">
      <c r="H194" t="s">
        <v>105</v>
      </c>
      <c r="I194" s="220">
        <f t="shared" si="314"/>
        <v>40624</v>
      </c>
      <c r="J194" s="220">
        <f t="shared" si="315"/>
        <v>40624</v>
      </c>
      <c r="K194">
        <f t="shared" si="316"/>
        <v>306250</v>
      </c>
      <c r="L194">
        <f t="shared" si="317"/>
        <v>306250</v>
      </c>
      <c r="M194" s="194">
        <f t="shared" si="318"/>
        <v>157.84176922830778</v>
      </c>
      <c r="N194" s="194">
        <f t="shared" si="319"/>
        <v>157.84176922830778</v>
      </c>
      <c r="O194">
        <f t="shared" si="320"/>
        <v>6412164.0331307752</v>
      </c>
      <c r="P194">
        <f t="shared" si="321"/>
        <v>6412164.0331307752</v>
      </c>
    </row>
    <row r="195" spans="8:16" x14ac:dyDescent="0.25">
      <c r="I195">
        <f>SUM(I189:I194)</f>
        <v>241988</v>
      </c>
      <c r="J195">
        <f>SUM(J189:J194)</f>
        <v>345476.19999999995</v>
      </c>
      <c r="K195">
        <f>SUM(K189:K194)</f>
        <v>22556750</v>
      </c>
      <c r="L195">
        <f>SUM(L189:L194)</f>
        <v>25861526.026785713</v>
      </c>
      <c r="O195">
        <f>SUM(O189:O194)</f>
        <v>38195814.052019745</v>
      </c>
      <c r="P195">
        <f>SUM(P189:P194)</f>
        <v>54530574.634272702</v>
      </c>
    </row>
    <row r="197" spans="8:16" x14ac:dyDescent="0.25">
      <c r="H197" t="s">
        <v>158</v>
      </c>
      <c r="I197" s="4" t="s">
        <v>329</v>
      </c>
      <c r="J197" s="4" t="s">
        <v>330</v>
      </c>
      <c r="K197" s="4" t="s">
        <v>331</v>
      </c>
      <c r="L197" s="4" t="s">
        <v>332</v>
      </c>
      <c r="M197" s="4" t="s">
        <v>322</v>
      </c>
      <c r="N197" s="4" t="s">
        <v>306</v>
      </c>
      <c r="O197" s="4" t="s">
        <v>323</v>
      </c>
      <c r="P197" s="4" t="s">
        <v>324</v>
      </c>
    </row>
    <row r="198" spans="8:16" x14ac:dyDescent="0.25">
      <c r="H198" t="s">
        <v>97</v>
      </c>
      <c r="I198" s="220">
        <f>S83</f>
        <v>6795</v>
      </c>
      <c r="J198" s="220">
        <f>R83</f>
        <v>6115.5</v>
      </c>
      <c r="K198">
        <f>J83</f>
        <v>8611875</v>
      </c>
      <c r="L198">
        <f>Q83</f>
        <v>7750687.5</v>
      </c>
      <c r="M198" s="194">
        <f>$H$15</f>
        <v>158.63947651733315</v>
      </c>
      <c r="N198" s="194">
        <f>$AD$14</f>
        <v>158.63947651733315</v>
      </c>
      <c r="O198">
        <f t="shared" ref="O198" si="322">I198*M198</f>
        <v>1077955.2429352787</v>
      </c>
      <c r="P198">
        <f t="shared" ref="P198" si="323">J198*N198</f>
        <v>970159.71864175086</v>
      </c>
    </row>
    <row r="199" spans="8:16" x14ac:dyDescent="0.25">
      <c r="H199" t="s">
        <v>171</v>
      </c>
      <c r="I199" s="220">
        <f t="shared" ref="I199:I203" si="324">S84</f>
        <v>5018</v>
      </c>
      <c r="J199" s="220">
        <f t="shared" ref="J199:J203" si="325">R84</f>
        <v>4516.2000000000007</v>
      </c>
      <c r="K199">
        <f t="shared" ref="K199:K203" si="326">J84</f>
        <v>2846000</v>
      </c>
      <c r="L199">
        <f t="shared" ref="L199:L203" si="327">Q84</f>
        <v>2561400.0000000005</v>
      </c>
      <c r="M199" s="194">
        <f t="shared" ref="M199:M203" si="328">$H$15</f>
        <v>158.63947651733315</v>
      </c>
      <c r="N199" s="194">
        <f t="shared" ref="N199:N203" si="329">$AD$14</f>
        <v>158.63947651733315</v>
      </c>
      <c r="O199">
        <f t="shared" ref="O199:O203" si="330">I199*M199</f>
        <v>796052.89316397777</v>
      </c>
      <c r="P199">
        <f t="shared" ref="P199:P203" si="331">J199*N199</f>
        <v>716447.60384758015</v>
      </c>
    </row>
    <row r="200" spans="8:16" x14ac:dyDescent="0.25">
      <c r="H200" t="s">
        <v>100</v>
      </c>
      <c r="I200" s="220">
        <f t="shared" si="324"/>
        <v>7866</v>
      </c>
      <c r="J200" s="220">
        <f t="shared" si="325"/>
        <v>7079.4000000000005</v>
      </c>
      <c r="K200">
        <f t="shared" si="326"/>
        <v>1920000</v>
      </c>
      <c r="L200">
        <f t="shared" si="327"/>
        <v>1728000.0000000002</v>
      </c>
      <c r="M200" s="194">
        <f t="shared" si="328"/>
        <v>158.63947651733315</v>
      </c>
      <c r="N200" s="194">
        <f t="shared" si="329"/>
        <v>158.63947651733315</v>
      </c>
      <c r="O200">
        <f t="shared" si="330"/>
        <v>1247858.1222853425</v>
      </c>
      <c r="P200">
        <f t="shared" si="331"/>
        <v>1123072.3100568084</v>
      </c>
    </row>
    <row r="201" spans="8:16" x14ac:dyDescent="0.25">
      <c r="H201" t="s">
        <v>114</v>
      </c>
      <c r="I201" s="220">
        <f t="shared" si="324"/>
        <v>6660</v>
      </c>
      <c r="J201" s="220">
        <f t="shared" si="325"/>
        <v>5994</v>
      </c>
      <c r="K201">
        <f t="shared" si="326"/>
        <v>2211750</v>
      </c>
      <c r="L201">
        <f t="shared" si="327"/>
        <v>1990574.9999999998</v>
      </c>
      <c r="M201" s="194">
        <f t="shared" si="328"/>
        <v>158.63947651733315</v>
      </c>
      <c r="N201" s="194">
        <f t="shared" si="329"/>
        <v>158.63947651733315</v>
      </c>
      <c r="O201">
        <f t="shared" si="330"/>
        <v>1056538.9136054388</v>
      </c>
      <c r="P201">
        <f t="shared" si="331"/>
        <v>950885.02224489488</v>
      </c>
    </row>
    <row r="202" spans="8:16" x14ac:dyDescent="0.25">
      <c r="H202" t="s">
        <v>118</v>
      </c>
      <c r="I202" s="220">
        <f t="shared" si="324"/>
        <v>4557</v>
      </c>
      <c r="J202" s="220">
        <f t="shared" si="325"/>
        <v>37212.560000000005</v>
      </c>
      <c r="K202">
        <f t="shared" si="326"/>
        <v>1038500</v>
      </c>
      <c r="L202">
        <f t="shared" si="327"/>
        <v>8480413.333333334</v>
      </c>
      <c r="M202" s="194">
        <f t="shared" si="328"/>
        <v>158.63947651733315</v>
      </c>
      <c r="N202" s="194">
        <f t="shared" si="329"/>
        <v>158.63947651733315</v>
      </c>
      <c r="O202">
        <f t="shared" si="330"/>
        <v>722920.09448948712</v>
      </c>
      <c r="P202">
        <f t="shared" si="331"/>
        <v>5903381.0382698514</v>
      </c>
    </row>
    <row r="203" spans="8:16" x14ac:dyDescent="0.25">
      <c r="H203" t="s">
        <v>105</v>
      </c>
      <c r="I203" s="220">
        <f t="shared" si="324"/>
        <v>326</v>
      </c>
      <c r="J203" s="220">
        <f t="shared" si="325"/>
        <v>326</v>
      </c>
      <c r="K203">
        <f t="shared" si="326"/>
        <v>32500</v>
      </c>
      <c r="L203">
        <f t="shared" si="327"/>
        <v>32499.999999999996</v>
      </c>
      <c r="M203" s="194">
        <f t="shared" si="328"/>
        <v>158.63947651733315</v>
      </c>
      <c r="N203" s="194">
        <f t="shared" si="329"/>
        <v>158.63947651733315</v>
      </c>
      <c r="O203">
        <f t="shared" si="330"/>
        <v>51716.469344650606</v>
      </c>
      <c r="P203">
        <f t="shared" si="331"/>
        <v>51716.469344650606</v>
      </c>
    </row>
    <row r="204" spans="8:16" x14ac:dyDescent="0.25">
      <c r="I204">
        <f>SUM(I198:I203)</f>
        <v>31222</v>
      </c>
      <c r="J204">
        <f>SUM(J198:J203)</f>
        <v>61243.66</v>
      </c>
      <c r="K204">
        <f>SUM(K198:K203)</f>
        <v>16660625</v>
      </c>
      <c r="L204">
        <f>SUM(L198:L203)</f>
        <v>22543575.833333336</v>
      </c>
      <c r="M204" s="194"/>
      <c r="N204" s="194"/>
      <c r="O204">
        <f>SUM(O198:O203)</f>
        <v>4953041.7358241752</v>
      </c>
      <c r="P204">
        <f>SUM(P198:P203)</f>
        <v>9715662.1624055374</v>
      </c>
    </row>
    <row r="210" spans="8:24" x14ac:dyDescent="0.25">
      <c r="H210" t="s">
        <v>203</v>
      </c>
      <c r="I210" s="4" t="s">
        <v>318</v>
      </c>
      <c r="J210" s="4" t="s">
        <v>319</v>
      </c>
      <c r="K210" s="4" t="s">
        <v>320</v>
      </c>
      <c r="L210" s="4" t="s">
        <v>321</v>
      </c>
      <c r="M210" s="4" t="s">
        <v>322</v>
      </c>
      <c r="N210" s="4" t="s">
        <v>306</v>
      </c>
      <c r="O210" s="4" t="s">
        <v>323</v>
      </c>
      <c r="P210" s="4" t="s">
        <v>324</v>
      </c>
      <c r="R210" t="s">
        <v>203</v>
      </c>
      <c r="S210" s="4" t="s">
        <v>333</v>
      </c>
      <c r="T210" s="4" t="s">
        <v>334</v>
      </c>
      <c r="U210" s="4" t="s">
        <v>335</v>
      </c>
      <c r="V210" s="4" t="s">
        <v>336</v>
      </c>
      <c r="W210" s="4" t="s">
        <v>337</v>
      </c>
      <c r="X210" s="4" t="s">
        <v>338</v>
      </c>
    </row>
    <row r="211" spans="8:24" x14ac:dyDescent="0.25">
      <c r="H211" s="380" t="s">
        <v>104</v>
      </c>
      <c r="I211" s="210">
        <f>R106</f>
        <v>330812.41870578646</v>
      </c>
      <c r="J211" s="210">
        <f>S106</f>
        <v>426168.12033307017</v>
      </c>
      <c r="K211" s="210">
        <f>L106</f>
        <v>17408673.990000002</v>
      </c>
      <c r="L211" s="210">
        <f>O106</f>
        <v>22426672.797939125</v>
      </c>
      <c r="M211" s="194">
        <f>$H$13</f>
        <v>149.69667216973943</v>
      </c>
      <c r="N211" s="194">
        <f>$AD$12</f>
        <v>149.69667216973943</v>
      </c>
      <c r="O211">
        <f t="shared" ref="O211" si="332">I211*M211</f>
        <v>49521518.19267869</v>
      </c>
      <c r="P211">
        <f t="shared" ref="P211" si="333">J211*N211</f>
        <v>63795949.398693666</v>
      </c>
      <c r="R211" s="380" t="s">
        <v>104</v>
      </c>
      <c r="S211">
        <f>SUM(O211,O222,O233)</f>
        <v>74228053.364540413</v>
      </c>
      <c r="T211">
        <f>SUM(P211,P222,P233)</f>
        <v>101790609.4024024</v>
      </c>
      <c r="U211" s="210">
        <f>SUM(K211,K222,K233)</f>
        <v>30489260.990000002</v>
      </c>
      <c r="V211" s="210">
        <f>SUM(L211,L222,L233)</f>
        <v>42063852.85931652</v>
      </c>
      <c r="W211" s="210">
        <f>S211/U211</f>
        <v>2.4345638744371683</v>
      </c>
      <c r="X211" s="210">
        <f>T211/V211</f>
        <v>2.4199069386925474</v>
      </c>
    </row>
    <row r="212" spans="8:24" x14ac:dyDescent="0.25">
      <c r="H212" s="380" t="s">
        <v>106</v>
      </c>
      <c r="I212" s="210">
        <f>R109</f>
        <v>345324.74877134745</v>
      </c>
      <c r="J212" s="210">
        <f>S109</f>
        <v>377865.02034483908</v>
      </c>
      <c r="K212" s="210">
        <f>L109</f>
        <v>11844012.949999999</v>
      </c>
      <c r="L212" s="210">
        <f>O109</f>
        <v>12960085.282736696</v>
      </c>
      <c r="M212" s="194">
        <f t="shared" ref="M212:M214" si="334">$H$13</f>
        <v>149.69667216973943</v>
      </c>
      <c r="N212" s="194">
        <f t="shared" ref="N212:N214" si="335">$AD$12</f>
        <v>149.69667216973943</v>
      </c>
      <c r="O212">
        <f t="shared" ref="O212:O214" si="336">I212*M212</f>
        <v>51693965.708922029</v>
      </c>
      <c r="P212">
        <f t="shared" ref="P212:P214" si="337">J212*N212</f>
        <v>56565136.074973293</v>
      </c>
      <c r="R212" s="380" t="s">
        <v>106</v>
      </c>
      <c r="S212">
        <f t="shared" ref="S212:T212" si="338">SUM(O212,O223,O234)</f>
        <v>55521989.150330804</v>
      </c>
      <c r="T212">
        <f t="shared" si="338"/>
        <v>95117291.419085398</v>
      </c>
      <c r="U212" s="210">
        <f t="shared" ref="U212:V212" si="339">SUM(K212,K223,K234)</f>
        <v>13222267.549999999</v>
      </c>
      <c r="V212" s="210">
        <f t="shared" si="339"/>
        <v>22491043.651359417</v>
      </c>
      <c r="W212" s="210">
        <f t="shared" ref="W212:W216" si="340">S212/U212</f>
        <v>4.1991276413349246</v>
      </c>
      <c r="X212" s="210">
        <f t="shared" ref="X212:X216" si="341">T212/V212</f>
        <v>4.2291186168826922</v>
      </c>
    </row>
    <row r="213" spans="8:24" x14ac:dyDescent="0.25">
      <c r="H213" s="380" t="s">
        <v>109</v>
      </c>
      <c r="I213" s="210">
        <f>R107</f>
        <v>161124.7555030415</v>
      </c>
      <c r="J213" s="210">
        <f>S107</f>
        <v>161124.75550357281</v>
      </c>
      <c r="K213" s="210">
        <f>L107</f>
        <v>6755882.290000001</v>
      </c>
      <c r="L213" s="210">
        <f>O107</f>
        <v>6755882.2900222782</v>
      </c>
      <c r="M213" s="194">
        <f t="shared" si="334"/>
        <v>149.69667216973943</v>
      </c>
      <c r="N213" s="194">
        <f t="shared" si="335"/>
        <v>149.69667216973943</v>
      </c>
      <c r="O213">
        <f t="shared" si="336"/>
        <v>24119839.702968221</v>
      </c>
      <c r="P213">
        <f t="shared" si="337"/>
        <v>24119839.70304776</v>
      </c>
      <c r="R213" s="380" t="s">
        <v>109</v>
      </c>
      <c r="S213">
        <f t="shared" ref="S213:T213" si="342">SUM(O213,O224,O235)</f>
        <v>24502835.406229813</v>
      </c>
      <c r="T213">
        <f t="shared" si="342"/>
        <v>24502835.406309351</v>
      </c>
      <c r="U213" s="210">
        <f t="shared" ref="U213:V213" si="343">SUM(K213,K224,K235)</f>
        <v>8974495.5899999999</v>
      </c>
      <c r="V213" s="210">
        <f t="shared" si="343"/>
        <v>8974495.5900222771</v>
      </c>
      <c r="W213" s="210">
        <f t="shared" si="340"/>
        <v>2.7302743826107125</v>
      </c>
      <c r="X213" s="210">
        <f t="shared" si="341"/>
        <v>2.730274382612798</v>
      </c>
    </row>
    <row r="214" spans="8:24" x14ac:dyDescent="0.25">
      <c r="H214" s="380" t="s">
        <v>111</v>
      </c>
      <c r="I214" s="210">
        <f>R108</f>
        <v>216576.12318924328</v>
      </c>
      <c r="J214" s="210">
        <f>S108</f>
        <v>216576.12318924328</v>
      </c>
      <c r="K214" s="210">
        <f>L108</f>
        <v>1912075.4900000002</v>
      </c>
      <c r="L214" s="210">
        <f>O108</f>
        <v>1912075.49</v>
      </c>
      <c r="M214" s="194">
        <f t="shared" si="334"/>
        <v>149.69667216973943</v>
      </c>
      <c r="N214" s="194">
        <f t="shared" si="335"/>
        <v>149.69667216973943</v>
      </c>
      <c r="O214">
        <f t="shared" si="336"/>
        <v>32420724.912853252</v>
      </c>
      <c r="P214">
        <f t="shared" si="337"/>
        <v>32420724.912853252</v>
      </c>
      <c r="R214" s="380" t="s">
        <v>111</v>
      </c>
      <c r="S214">
        <f t="shared" ref="S214:T214" si="344">SUM(O214,O225,O236)</f>
        <v>36628154.92210637</v>
      </c>
      <c r="T214">
        <f t="shared" si="344"/>
        <v>36628154.92210637</v>
      </c>
      <c r="U214" s="210">
        <f t="shared" ref="U214:V214" si="345">SUM(K214,K225,K236)</f>
        <v>14287699.689999999</v>
      </c>
      <c r="V214" s="210">
        <f t="shared" si="345"/>
        <v>14287699.689999999</v>
      </c>
      <c r="W214" s="210">
        <f t="shared" si="340"/>
        <v>2.5636145577543541</v>
      </c>
      <c r="X214" s="210">
        <f t="shared" si="341"/>
        <v>2.5636145577543541</v>
      </c>
    </row>
    <row r="215" spans="8:24" x14ac:dyDescent="0.25">
      <c r="H215" s="380" t="s">
        <v>121</v>
      </c>
      <c r="R215" s="380" t="s">
        <v>121</v>
      </c>
      <c r="S215">
        <f t="shared" ref="S215:T215" si="346">SUM(O215,O226,O237)</f>
        <v>1647233.0044177258</v>
      </c>
      <c r="T215">
        <f t="shared" si="346"/>
        <v>1647233.0044176984</v>
      </c>
      <c r="U215" s="210">
        <f t="shared" ref="U215:V215" si="347">SUM(K215,K226,K237)</f>
        <v>1581466</v>
      </c>
      <c r="V215" s="210">
        <f t="shared" si="347"/>
        <v>1581465.9999999739</v>
      </c>
      <c r="W215" s="210">
        <f t="shared" si="340"/>
        <v>1.0415861007557077</v>
      </c>
      <c r="X215" s="210">
        <f t="shared" si="341"/>
        <v>1.0415861007557075</v>
      </c>
    </row>
    <row r="216" spans="8:24" x14ac:dyDescent="0.25">
      <c r="H216" s="380" t="s">
        <v>211</v>
      </c>
      <c r="R216" s="380" t="s">
        <v>211</v>
      </c>
      <c r="S216">
        <f t="shared" ref="S216:T216" si="348">SUM(O216,O227,O238)</f>
        <v>801595.80870081147</v>
      </c>
      <c r="T216">
        <f t="shared" si="348"/>
        <v>801595.80870081147</v>
      </c>
      <c r="U216" s="210">
        <f t="shared" ref="U216:V216" si="349">SUM(K216,K227,K238)</f>
        <v>731420.4</v>
      </c>
      <c r="V216" s="210">
        <f t="shared" si="349"/>
        <v>731420.4</v>
      </c>
      <c r="W216" s="210">
        <f t="shared" si="340"/>
        <v>1.0959440134576659</v>
      </c>
      <c r="X216" s="210">
        <f t="shared" si="341"/>
        <v>1.0959440134576659</v>
      </c>
    </row>
    <row r="217" spans="8:24" x14ac:dyDescent="0.25">
      <c r="I217" s="210">
        <f>SUM(I211:I216)</f>
        <v>1053838.0461694186</v>
      </c>
      <c r="J217" s="210">
        <f t="shared" ref="J217:L217" si="350">SUM(J211:J216)</f>
        <v>1181734.0193707254</v>
      </c>
      <c r="K217" s="210">
        <f t="shared" si="350"/>
        <v>37920644.720000006</v>
      </c>
      <c r="L217" s="210">
        <f t="shared" si="350"/>
        <v>44054715.860698104</v>
      </c>
      <c r="O217">
        <f>SUM(O211:O216)</f>
        <v>157756048.5174222</v>
      </c>
      <c r="P217">
        <f>SUM(P211:P216)</f>
        <v>176901650.08956796</v>
      </c>
      <c r="S217">
        <f>SUM(S211:S216)</f>
        <v>193329861.65632594</v>
      </c>
      <c r="T217">
        <f t="shared" ref="T217:V217" si="351">SUM(T211:T216)</f>
        <v>260487719.96302202</v>
      </c>
      <c r="U217">
        <f t="shared" si="351"/>
        <v>69286610.219999999</v>
      </c>
      <c r="V217">
        <f t="shared" si="351"/>
        <v>90129978.190698192</v>
      </c>
      <c r="W217" s="210">
        <f t="shared" ref="W217" si="352">S217/U217</f>
        <v>2.7902918189021189</v>
      </c>
      <c r="X217" s="210">
        <f t="shared" ref="X217" si="353">T217/V217</f>
        <v>2.8901340618531903</v>
      </c>
    </row>
    <row r="221" spans="8:24" x14ac:dyDescent="0.25">
      <c r="H221" t="s">
        <v>203</v>
      </c>
      <c r="I221" s="4" t="s">
        <v>325</v>
      </c>
      <c r="J221" s="4" t="s">
        <v>326</v>
      </c>
      <c r="K221" s="4" t="s">
        <v>327</v>
      </c>
      <c r="L221" s="4" t="s">
        <v>328</v>
      </c>
      <c r="M221" s="4" t="s">
        <v>322</v>
      </c>
      <c r="N221" s="4" t="s">
        <v>306</v>
      </c>
      <c r="O221" s="4" t="s">
        <v>323</v>
      </c>
      <c r="P221" s="4" t="s">
        <v>324</v>
      </c>
    </row>
    <row r="222" spans="8:24" x14ac:dyDescent="0.25">
      <c r="H222" s="380" t="s">
        <v>104</v>
      </c>
      <c r="I222" s="210">
        <f>R119</f>
        <v>68897.170111430009</v>
      </c>
      <c r="J222" s="210">
        <f>S119</f>
        <v>111398.81807607548</v>
      </c>
      <c r="K222" s="210">
        <f>L119</f>
        <v>2367586</v>
      </c>
      <c r="L222" s="210">
        <f>O119</f>
        <v>3828114.8800000981</v>
      </c>
      <c r="M222" s="194">
        <f t="shared" ref="M222:M227" si="354">$H$14</f>
        <v>157.84176922830778</v>
      </c>
      <c r="N222" s="194">
        <f t="shared" ref="N222:N227" si="355">$AD$13</f>
        <v>157.84176922830778</v>
      </c>
      <c r="O222">
        <f t="shared" ref="O222" si="356">I222*M222</f>
        <v>10874851.225211799</v>
      </c>
      <c r="P222">
        <f t="shared" ref="P222" si="357">J222*N222</f>
        <v>17583386.535070147</v>
      </c>
    </row>
    <row r="223" spans="8:24" x14ac:dyDescent="0.25">
      <c r="H223" s="380" t="s">
        <v>106</v>
      </c>
      <c r="I223" s="210">
        <f>R121</f>
        <v>8642.1034914030006</v>
      </c>
      <c r="J223" s="210">
        <f>S121</f>
        <v>8642.1034914030006</v>
      </c>
      <c r="K223" s="210">
        <f>L121</f>
        <v>799758.9</v>
      </c>
      <c r="L223" s="210">
        <f>O121</f>
        <v>799758.9</v>
      </c>
      <c r="M223" s="194">
        <f t="shared" si="354"/>
        <v>157.84176922830778</v>
      </c>
      <c r="N223" s="194">
        <f t="shared" si="355"/>
        <v>157.84176922830778</v>
      </c>
      <c r="O223">
        <f t="shared" ref="O223:O227" si="358">I223*M223</f>
        <v>1364084.9049371853</v>
      </c>
      <c r="P223">
        <f t="shared" ref="P223:P227" si="359">J223*N223</f>
        <v>1364084.9049371853</v>
      </c>
    </row>
    <row r="224" spans="8:24" x14ac:dyDescent="0.25">
      <c r="H224" s="380" t="s">
        <v>109</v>
      </c>
      <c r="I224" s="210">
        <f>R120</f>
        <v>1055.6836176014999</v>
      </c>
      <c r="J224" s="210">
        <f>S120</f>
        <v>1055.6836176014999</v>
      </c>
      <c r="K224" s="210">
        <f>L120</f>
        <v>969664.3</v>
      </c>
      <c r="L224" s="210">
        <f>O120</f>
        <v>969664.3</v>
      </c>
      <c r="M224" s="194">
        <f t="shared" si="354"/>
        <v>157.84176922830778</v>
      </c>
      <c r="N224" s="194">
        <f t="shared" si="355"/>
        <v>157.84176922830778</v>
      </c>
      <c r="O224">
        <f t="shared" si="358"/>
        <v>166630.96994756107</v>
      </c>
      <c r="P224">
        <f t="shared" si="359"/>
        <v>166630.96994756107</v>
      </c>
    </row>
    <row r="225" spans="8:16" x14ac:dyDescent="0.25">
      <c r="H225" s="380" t="s">
        <v>111</v>
      </c>
      <c r="M225" s="194">
        <f t="shared" si="354"/>
        <v>157.84176922830778</v>
      </c>
      <c r="N225" s="194">
        <f t="shared" si="355"/>
        <v>157.84176922830778</v>
      </c>
      <c r="O225">
        <f t="shared" si="358"/>
        <v>0</v>
      </c>
      <c r="P225">
        <f t="shared" si="359"/>
        <v>0</v>
      </c>
    </row>
    <row r="226" spans="8:16" x14ac:dyDescent="0.25">
      <c r="H226" s="380" t="s">
        <v>121</v>
      </c>
      <c r="M226" s="194">
        <f t="shared" si="354"/>
        <v>157.84176922830778</v>
      </c>
      <c r="N226" s="194">
        <f t="shared" si="355"/>
        <v>157.84176922830778</v>
      </c>
      <c r="O226">
        <f t="shared" si="358"/>
        <v>0</v>
      </c>
      <c r="P226">
        <f t="shared" si="359"/>
        <v>0</v>
      </c>
    </row>
    <row r="227" spans="8:16" x14ac:dyDescent="0.25">
      <c r="H227" s="380" t="s">
        <v>211</v>
      </c>
      <c r="I227" s="210">
        <f>R118</f>
        <v>5078.4770889215997</v>
      </c>
      <c r="J227" s="210">
        <f>S118</f>
        <v>5078.4770889215997</v>
      </c>
      <c r="K227" s="210">
        <f>L118</f>
        <v>731420.4</v>
      </c>
      <c r="L227" s="210">
        <f>O118</f>
        <v>731420.4</v>
      </c>
      <c r="M227" s="194">
        <f t="shared" si="354"/>
        <v>157.84176922830778</v>
      </c>
      <c r="N227" s="194">
        <f t="shared" si="355"/>
        <v>157.84176922830778</v>
      </c>
      <c r="O227">
        <f t="shared" si="358"/>
        <v>801595.80870081147</v>
      </c>
      <c r="P227">
        <f t="shared" si="359"/>
        <v>801595.80870081147</v>
      </c>
    </row>
    <row r="228" spans="8:16" x14ac:dyDescent="0.25">
      <c r="I228" s="210">
        <f>SUM(I222:I227)</f>
        <v>83673.434309356118</v>
      </c>
      <c r="J228" s="210">
        <f t="shared" ref="J228:L228" si="360">SUM(J222:J227)</f>
        <v>126175.08227400159</v>
      </c>
      <c r="K228" s="210">
        <f t="shared" si="360"/>
        <v>4868429.6000000006</v>
      </c>
      <c r="L228" s="210">
        <f t="shared" si="360"/>
        <v>6328958.4800000982</v>
      </c>
      <c r="M228" s="194"/>
      <c r="N228" s="194"/>
      <c r="O228">
        <f>SUM(O222:O227)</f>
        <v>13207162.908797357</v>
      </c>
      <c r="P228">
        <f>SUM(P222:P227)</f>
        <v>19915698.218655705</v>
      </c>
    </row>
    <row r="232" spans="8:16" x14ac:dyDescent="0.25">
      <c r="H232" t="s">
        <v>203</v>
      </c>
      <c r="I232" s="4" t="s">
        <v>329</v>
      </c>
      <c r="J232" s="4" t="s">
        <v>330</v>
      </c>
      <c r="K232" s="4" t="s">
        <v>331</v>
      </c>
      <c r="L232" s="4" t="s">
        <v>332</v>
      </c>
      <c r="M232" s="4" t="s">
        <v>322</v>
      </c>
      <c r="N232" s="4" t="s">
        <v>306</v>
      </c>
      <c r="O232" s="4" t="s">
        <v>323</v>
      </c>
      <c r="P232" s="4" t="s">
        <v>324</v>
      </c>
    </row>
    <row r="233" spans="8:16" x14ac:dyDescent="0.25">
      <c r="H233" s="380" t="s">
        <v>104</v>
      </c>
      <c r="I233" s="210">
        <f>R130</f>
        <v>87189.420000000158</v>
      </c>
      <c r="J233" s="210">
        <f>S130</f>
        <v>128664.52863268506</v>
      </c>
      <c r="K233" s="210">
        <f>L130</f>
        <v>10713001</v>
      </c>
      <c r="L233" s="210">
        <f>O130</f>
        <v>15809065.181377295</v>
      </c>
      <c r="M233" s="194">
        <f t="shared" ref="M233:M237" si="361">$H$15</f>
        <v>158.63947651733315</v>
      </c>
      <c r="N233" s="194">
        <f t="shared" ref="N233:N237" si="362">$AD$14</f>
        <v>158.63947651733315</v>
      </c>
      <c r="O233">
        <f t="shared" ref="O233" si="363">I233*M233</f>
        <v>13831683.946649922</v>
      </c>
      <c r="P233">
        <f t="shared" ref="P233" si="364">J233*N233</f>
        <v>20411273.46863858</v>
      </c>
    </row>
    <row r="234" spans="8:16" x14ac:dyDescent="0.25">
      <c r="H234" s="380" t="s">
        <v>106</v>
      </c>
      <c r="I234" s="210">
        <f>R132</f>
        <v>15531.685999999994</v>
      </c>
      <c r="J234" s="210">
        <f>S132</f>
        <v>234418.76672551743</v>
      </c>
      <c r="K234" s="210">
        <f>L132</f>
        <v>578495.69999999995</v>
      </c>
      <c r="L234" s="210">
        <f>O132</f>
        <v>8731199.4686227199</v>
      </c>
      <c r="M234" s="194">
        <f t="shared" si="361"/>
        <v>158.63947651733315</v>
      </c>
      <c r="N234" s="194">
        <f t="shared" si="362"/>
        <v>158.63947651733315</v>
      </c>
      <c r="O234">
        <f t="shared" ref="O234:O237" si="365">I234*M234</f>
        <v>2463938.5364715913</v>
      </c>
      <c r="P234">
        <f t="shared" ref="P234:P237" si="366">J234*N234</f>
        <v>37188070.43917492</v>
      </c>
    </row>
    <row r="235" spans="8:16" x14ac:dyDescent="0.25">
      <c r="H235" s="380" t="s">
        <v>109</v>
      </c>
      <c r="I235" s="210">
        <f>R131</f>
        <v>1363.8770000000004</v>
      </c>
      <c r="J235" s="210">
        <f>S131</f>
        <v>1363.8770000000004</v>
      </c>
      <c r="K235" s="210">
        <f>L131</f>
        <v>1248949</v>
      </c>
      <c r="L235" s="210">
        <f>O131</f>
        <v>1248949</v>
      </c>
      <c r="M235" s="194">
        <f t="shared" si="361"/>
        <v>158.63947651733315</v>
      </c>
      <c r="N235" s="194">
        <f t="shared" si="362"/>
        <v>158.63947651733315</v>
      </c>
      <c r="O235">
        <f t="shared" si="365"/>
        <v>216364.73331403086</v>
      </c>
      <c r="P235">
        <f t="shared" si="366"/>
        <v>216364.73331403086</v>
      </c>
    </row>
    <row r="236" spans="8:16" x14ac:dyDescent="0.25">
      <c r="H236" s="380" t="s">
        <v>111</v>
      </c>
      <c r="I236" s="210">
        <f>R133</f>
        <v>26521.960999999959</v>
      </c>
      <c r="J236" s="210">
        <f>S133</f>
        <v>26521.960999999959</v>
      </c>
      <c r="K236" s="210">
        <f>L133</f>
        <v>12375624.199999999</v>
      </c>
      <c r="L236" s="210">
        <f>O133</f>
        <v>12375624.199999999</v>
      </c>
      <c r="M236" s="194">
        <f t="shared" si="361"/>
        <v>158.63947651733315</v>
      </c>
      <c r="N236" s="194">
        <f t="shared" si="362"/>
        <v>158.63947651733315</v>
      </c>
      <c r="O236">
        <f t="shared" si="365"/>
        <v>4207430.0092531191</v>
      </c>
      <c r="P236">
        <f t="shared" si="366"/>
        <v>4207430.0092531191</v>
      </c>
    </row>
    <row r="237" spans="8:16" x14ac:dyDescent="0.25">
      <c r="H237" s="380" t="s">
        <v>121</v>
      </c>
      <c r="I237" s="210">
        <f>R129</f>
        <v>10383.499999999982</v>
      </c>
      <c r="J237" s="210">
        <f>S129</f>
        <v>10383.499999999809</v>
      </c>
      <c r="K237" s="210">
        <f>L129</f>
        <v>1581466</v>
      </c>
      <c r="L237" s="210">
        <f>O129</f>
        <v>1581465.9999999739</v>
      </c>
      <c r="M237" s="194">
        <f t="shared" si="361"/>
        <v>158.63947651733315</v>
      </c>
      <c r="N237" s="194">
        <f t="shared" si="362"/>
        <v>158.63947651733315</v>
      </c>
      <c r="O237">
        <f t="shared" si="365"/>
        <v>1647233.0044177258</v>
      </c>
      <c r="P237">
        <f t="shared" si="366"/>
        <v>1647233.0044176984</v>
      </c>
    </row>
    <row r="238" spans="8:16" x14ac:dyDescent="0.25">
      <c r="H238" s="380" t="s">
        <v>211</v>
      </c>
      <c r="K238" s="210"/>
    </row>
    <row r="239" spans="8:16" x14ac:dyDescent="0.25">
      <c r="I239" s="210">
        <f>SUM(I233:I238)</f>
        <v>140990.44400000008</v>
      </c>
      <c r="J239" s="210">
        <f t="shared" ref="J239" si="367">SUM(J233:J238)</f>
        <v>401352.63335820223</v>
      </c>
      <c r="K239" s="210">
        <f t="shared" ref="K239" si="368">SUM(K233:K238)</f>
        <v>26497535.899999999</v>
      </c>
      <c r="L239" s="210">
        <f t="shared" ref="L239" si="369">SUM(L233:L238)</f>
        <v>39746303.849999979</v>
      </c>
      <c r="M239" s="194"/>
      <c r="N239" s="194"/>
      <c r="O239">
        <f>SUM(O233:O238)</f>
        <v>22366650.230106391</v>
      </c>
      <c r="P239">
        <f>SUM(P233:P238)</f>
        <v>63670371.654798351</v>
      </c>
    </row>
    <row r="243" spans="8:24" x14ac:dyDescent="0.25">
      <c r="H243" s="211" t="s">
        <v>253</v>
      </c>
      <c r="I243" s="4" t="s">
        <v>318</v>
      </c>
      <c r="J243" s="4" t="s">
        <v>319</v>
      </c>
      <c r="K243" s="4" t="s">
        <v>320</v>
      </c>
      <c r="L243" s="4" t="s">
        <v>321</v>
      </c>
      <c r="M243" s="4" t="s">
        <v>322</v>
      </c>
      <c r="N243" s="4" t="s">
        <v>306</v>
      </c>
      <c r="O243" s="4" t="s">
        <v>323</v>
      </c>
      <c r="P243" s="4" t="s">
        <v>324</v>
      </c>
      <c r="R243" t="s">
        <v>203</v>
      </c>
      <c r="S243" s="4" t="s">
        <v>333</v>
      </c>
      <c r="T243" s="4" t="s">
        <v>334</v>
      </c>
      <c r="U243" s="4" t="s">
        <v>335</v>
      </c>
      <c r="V243" s="4" t="s">
        <v>336</v>
      </c>
      <c r="W243" s="4" t="s">
        <v>337</v>
      </c>
      <c r="X243" s="4" t="s">
        <v>338</v>
      </c>
    </row>
    <row r="244" spans="8:24" x14ac:dyDescent="0.25">
      <c r="H244" s="19" t="s">
        <v>232</v>
      </c>
      <c r="I244" s="194">
        <f>K139</f>
        <v>462796.60480715393</v>
      </c>
      <c r="J244" s="194">
        <f>O139</f>
        <v>462796.60480715393</v>
      </c>
      <c r="K244" s="194">
        <f>J139</f>
        <v>8575566.7899999991</v>
      </c>
      <c r="L244" s="194">
        <f>M139</f>
        <v>8575566.7899999991</v>
      </c>
      <c r="M244" s="194">
        <f>$H$13</f>
        <v>149.69667216973943</v>
      </c>
      <c r="N244" s="194">
        <f>$AD$12</f>
        <v>149.69667216973943</v>
      </c>
      <c r="O244">
        <f>I244*M244</f>
        <v>69279111.631084979</v>
      </c>
      <c r="P244">
        <f>J244*N244</f>
        <v>69279111.631084979</v>
      </c>
      <c r="R244" t="str">
        <f>H244</f>
        <v>KOL &amp; Advert</v>
      </c>
      <c r="S244" s="194">
        <f>SUM(O244,O252)</f>
        <v>74082072.861698478</v>
      </c>
      <c r="T244" s="194">
        <f>SUM(P244,P252)</f>
        <v>74082072.861698478</v>
      </c>
      <c r="U244" s="194">
        <f>SUM(K244,K252)</f>
        <v>12872066.789999999</v>
      </c>
      <c r="V244" s="194">
        <f>SUM(L244,L252)</f>
        <v>12872066.789999999</v>
      </c>
      <c r="W244" s="3">
        <f>S244/U244</f>
        <v>5.7552585820368076</v>
      </c>
      <c r="X244" s="3">
        <f>T244/V244</f>
        <v>5.7552585820368076</v>
      </c>
    </row>
    <row r="245" spans="8:24" x14ac:dyDescent="0.25">
      <c r="H245" s="19" t="s">
        <v>119</v>
      </c>
      <c r="I245" s="194">
        <f t="shared" ref="I245:I247" si="370">K140</f>
        <v>209232.98157542368</v>
      </c>
      <c r="J245" s="194">
        <f t="shared" ref="J245:J247" si="371">O140</f>
        <v>209232.98157542368</v>
      </c>
      <c r="K245" s="194">
        <f t="shared" ref="K245:K247" si="372">J140</f>
        <v>5641800</v>
      </c>
      <c r="L245" s="194">
        <f t="shared" ref="L245:L247" si="373">M140</f>
        <v>5641800</v>
      </c>
      <c r="M245" s="194">
        <f t="shared" ref="M245:M247" si="374">$H$13</f>
        <v>149.69667216973943</v>
      </c>
      <c r="N245" s="194">
        <f t="shared" ref="N245:N247" si="375">$AD$12</f>
        <v>149.69667216973943</v>
      </c>
      <c r="O245">
        <f t="shared" ref="O245:O247" si="376">I245*M245</f>
        <v>31321481.049993329</v>
      </c>
      <c r="P245">
        <f t="shared" ref="P245:P247" si="377">J245*N245</f>
        <v>31321481.049993329</v>
      </c>
      <c r="R245" t="str">
        <f t="shared" ref="R245:R247" si="378">H245</f>
        <v>Line</v>
      </c>
      <c r="S245">
        <f>O245</f>
        <v>31321481.049993329</v>
      </c>
      <c r="T245">
        <f>P245</f>
        <v>31321481.049993329</v>
      </c>
      <c r="U245" s="194">
        <f>K245</f>
        <v>5641800</v>
      </c>
      <c r="V245" s="194">
        <f>L245</f>
        <v>5641800</v>
      </c>
      <c r="W245" s="3">
        <f t="shared" ref="W245:W247" si="379">S245/U245</f>
        <v>5.551682273386743</v>
      </c>
      <c r="X245" s="3">
        <f t="shared" ref="X245:X247" si="380">T245/V245</f>
        <v>5.551682273386743</v>
      </c>
    </row>
    <row r="246" spans="8:24" x14ac:dyDescent="0.25">
      <c r="H246" s="19" t="s">
        <v>233</v>
      </c>
      <c r="I246" s="194">
        <f t="shared" si="370"/>
        <v>178758.72722152862</v>
      </c>
      <c r="J246" s="194">
        <f t="shared" si="371"/>
        <v>178758.72722152862</v>
      </c>
      <c r="K246" s="194">
        <f t="shared" si="372"/>
        <v>797400</v>
      </c>
      <c r="L246" s="194">
        <f t="shared" si="373"/>
        <v>797400</v>
      </c>
      <c r="M246" s="194">
        <f t="shared" si="374"/>
        <v>149.69667216973943</v>
      </c>
      <c r="N246" s="194">
        <f t="shared" si="375"/>
        <v>149.69667216973943</v>
      </c>
      <c r="O246">
        <f t="shared" si="376"/>
        <v>26759586.586361047</v>
      </c>
      <c r="P246">
        <f t="shared" si="377"/>
        <v>26759586.586361047</v>
      </c>
      <c r="R246" t="str">
        <f t="shared" si="378"/>
        <v>Other Displays</v>
      </c>
      <c r="S246">
        <f t="shared" ref="S246:S247" si="381">O246</f>
        <v>26759586.586361047</v>
      </c>
      <c r="T246">
        <f t="shared" ref="T246:T247" si="382">P246</f>
        <v>26759586.586361047</v>
      </c>
      <c r="U246" s="194">
        <f t="shared" ref="U246:U247" si="383">K246</f>
        <v>797400</v>
      </c>
      <c r="V246" s="194">
        <f t="shared" ref="V246:V247" si="384">L246</f>
        <v>797400</v>
      </c>
      <c r="W246" s="3">
        <f t="shared" si="379"/>
        <v>33.558548515627095</v>
      </c>
      <c r="X246" s="3">
        <f t="shared" si="380"/>
        <v>33.558548515627095</v>
      </c>
    </row>
    <row r="247" spans="8:24" x14ac:dyDescent="0.25">
      <c r="H247" s="19" t="s">
        <v>120</v>
      </c>
      <c r="I247" s="194">
        <f t="shared" si="370"/>
        <v>747696.2719231433</v>
      </c>
      <c r="J247" s="194">
        <f t="shared" si="371"/>
        <v>747696.2719231433</v>
      </c>
      <c r="K247" s="194">
        <f t="shared" si="372"/>
        <v>17309220</v>
      </c>
      <c r="L247" s="194">
        <f t="shared" si="373"/>
        <v>17309220</v>
      </c>
      <c r="M247" s="194">
        <f t="shared" si="374"/>
        <v>149.69667216973943</v>
      </c>
      <c r="N247" s="194">
        <f t="shared" si="375"/>
        <v>149.69667216973943</v>
      </c>
      <c r="O247">
        <f t="shared" si="376"/>
        <v>111927643.70061512</v>
      </c>
      <c r="P247">
        <f t="shared" si="377"/>
        <v>111927643.70061512</v>
      </c>
      <c r="R247" t="str">
        <f t="shared" si="378"/>
        <v>Partnership</v>
      </c>
      <c r="S247">
        <f t="shared" si="381"/>
        <v>111927643.70061512</v>
      </c>
      <c r="T247">
        <f t="shared" si="382"/>
        <v>111927643.70061512</v>
      </c>
      <c r="U247" s="194">
        <f t="shared" si="383"/>
        <v>17309220</v>
      </c>
      <c r="V247" s="194">
        <f t="shared" si="384"/>
        <v>17309220</v>
      </c>
      <c r="W247" s="3">
        <f t="shared" si="379"/>
        <v>6.4663597609028667</v>
      </c>
      <c r="X247" s="3">
        <f t="shared" si="380"/>
        <v>6.4663597609028667</v>
      </c>
    </row>
    <row r="248" spans="8:24" x14ac:dyDescent="0.25">
      <c r="S248" s="194">
        <f>SUM(S244:S247)</f>
        <v>244090784.198668</v>
      </c>
      <c r="T248" s="194">
        <f t="shared" ref="T248:V248" si="385">SUM(T244:T247)</f>
        <v>244090784.198668</v>
      </c>
      <c r="U248" s="194">
        <f t="shared" si="385"/>
        <v>36620486.789999999</v>
      </c>
      <c r="V248" s="194">
        <f t="shared" si="385"/>
        <v>36620486.789999999</v>
      </c>
      <c r="W248" s="3">
        <f t="shared" ref="W248" si="386">S248/U248</f>
        <v>6.6654161534882208</v>
      </c>
      <c r="X248" s="3">
        <f t="shared" ref="X248" si="387">T248/V248</f>
        <v>6.6654161534882208</v>
      </c>
    </row>
    <row r="251" spans="8:24" x14ac:dyDescent="0.25">
      <c r="H251" s="211" t="s">
        <v>253</v>
      </c>
      <c r="I251" s="4" t="s">
        <v>329</v>
      </c>
      <c r="J251" s="4" t="s">
        <v>330</v>
      </c>
      <c r="K251" s="4" t="s">
        <v>331</v>
      </c>
      <c r="L251" s="4" t="s">
        <v>332</v>
      </c>
      <c r="M251" s="4" t="s">
        <v>322</v>
      </c>
      <c r="N251" s="4" t="s">
        <v>306</v>
      </c>
      <c r="O251" s="4" t="s">
        <v>323</v>
      </c>
      <c r="P251" s="4" t="s">
        <v>324</v>
      </c>
    </row>
    <row r="252" spans="8:24" x14ac:dyDescent="0.25">
      <c r="H252" s="19" t="s">
        <v>232</v>
      </c>
      <c r="I252" s="194">
        <f t="shared" ref="I252" si="388">K147</f>
        <v>30275.9523420939</v>
      </c>
      <c r="J252" s="194">
        <f t="shared" ref="J252" si="389">O147</f>
        <v>30275.9523420939</v>
      </c>
      <c r="K252" s="194">
        <f t="shared" ref="K252" si="390">J147</f>
        <v>4296500</v>
      </c>
      <c r="L252" s="194">
        <f t="shared" ref="L252" si="391">M147</f>
        <v>4296500</v>
      </c>
      <c r="M252" s="194">
        <f t="shared" ref="M252" si="392">$H$15</f>
        <v>158.63947651733315</v>
      </c>
      <c r="N252" s="194">
        <f t="shared" ref="N252" si="393">$AD$14</f>
        <v>158.63947651733315</v>
      </c>
      <c r="O252">
        <f t="shared" ref="O252" si="394">I252*M252</f>
        <v>4802961.2306135027</v>
      </c>
      <c r="P252">
        <f t="shared" ref="P252" si="395">J252*N252</f>
        <v>4802961.2306135027</v>
      </c>
    </row>
    <row r="255" spans="8:24" x14ac:dyDescent="0.25">
      <c r="H255" s="211" t="s">
        <v>252</v>
      </c>
      <c r="I255" s="4" t="s">
        <v>318</v>
      </c>
      <c r="J255" s="4" t="s">
        <v>319</v>
      </c>
      <c r="K255" s="4" t="s">
        <v>320</v>
      </c>
      <c r="L255" s="4" t="s">
        <v>321</v>
      </c>
      <c r="M255" s="4" t="s">
        <v>322</v>
      </c>
      <c r="N255" s="4" t="s">
        <v>306</v>
      </c>
      <c r="O255" s="4" t="s">
        <v>323</v>
      </c>
      <c r="P255" s="4" t="s">
        <v>324</v>
      </c>
      <c r="R255" t="s">
        <v>252</v>
      </c>
      <c r="S255" s="4" t="s">
        <v>333</v>
      </c>
      <c r="T255" s="4" t="s">
        <v>334</v>
      </c>
      <c r="U255" s="4" t="s">
        <v>335</v>
      </c>
      <c r="V255" s="4" t="s">
        <v>336</v>
      </c>
      <c r="W255" s="4" t="s">
        <v>337</v>
      </c>
      <c r="X255" s="4" t="s">
        <v>338</v>
      </c>
    </row>
    <row r="256" spans="8:24" x14ac:dyDescent="0.25">
      <c r="H256" s="19" t="s">
        <v>252</v>
      </c>
      <c r="I256" s="194">
        <f>K151</f>
        <v>1184735.0057350455</v>
      </c>
      <c r="J256" s="194">
        <f>R151</f>
        <v>1184735.0057350455</v>
      </c>
      <c r="K256" s="194">
        <f>J151</f>
        <v>75869258.460000008</v>
      </c>
      <c r="L256" s="194">
        <f>P151</f>
        <v>75869258.460000008</v>
      </c>
      <c r="M256" s="194">
        <f t="shared" ref="M256" si="396">$H$13</f>
        <v>149.69667216973943</v>
      </c>
      <c r="N256" s="194">
        <f t="shared" ref="N256" si="397">$AD$12</f>
        <v>149.69667216973943</v>
      </c>
      <c r="O256">
        <f t="shared" ref="O256" si="398">I256*M256</f>
        <v>177350887.76153347</v>
      </c>
      <c r="P256">
        <f t="shared" ref="P256" si="399">J256*N256</f>
        <v>177350887.76153347</v>
      </c>
      <c r="R256" t="s">
        <v>252</v>
      </c>
      <c r="S256">
        <f>O256+O259</f>
        <v>189158367.0621514</v>
      </c>
      <c r="T256">
        <f>P256+P259</f>
        <v>189158367.0621514</v>
      </c>
      <c r="U256" s="194">
        <f>SUM(K256,K259)</f>
        <v>81522058.460000008</v>
      </c>
      <c r="V256" s="194">
        <f>SUM(L256,L259)</f>
        <v>81522058.460000008</v>
      </c>
      <c r="W256" s="3">
        <f t="shared" ref="W256" si="400">S256/U256</f>
        <v>2.3203335469621971</v>
      </c>
      <c r="X256" s="3">
        <f t="shared" ref="X256" si="401">T256/V256</f>
        <v>2.3203335469621971</v>
      </c>
    </row>
    <row r="258" spans="7:30" x14ac:dyDescent="0.25">
      <c r="H258" s="211" t="s">
        <v>252</v>
      </c>
      <c r="I258" s="4" t="s">
        <v>325</v>
      </c>
      <c r="J258" s="4" t="s">
        <v>326</v>
      </c>
      <c r="K258" s="4" t="s">
        <v>327</v>
      </c>
      <c r="L258" s="4" t="s">
        <v>328</v>
      </c>
      <c r="M258" s="4" t="s">
        <v>322</v>
      </c>
      <c r="N258" s="4" t="s">
        <v>306</v>
      </c>
      <c r="O258" s="4" t="s">
        <v>323</v>
      </c>
      <c r="P258" s="4" t="s">
        <v>324</v>
      </c>
    </row>
    <row r="259" spans="7:30" x14ac:dyDescent="0.25">
      <c r="H259" s="19" t="s">
        <v>252</v>
      </c>
      <c r="I259" s="194">
        <f>K157</f>
        <v>74805.796706061883</v>
      </c>
      <c r="J259" s="194">
        <f>R157</f>
        <v>74805.796706061883</v>
      </c>
      <c r="K259" s="194">
        <f>J157</f>
        <v>5652800</v>
      </c>
      <c r="L259" s="194">
        <f>P157</f>
        <v>5652800</v>
      </c>
      <c r="M259" s="194">
        <f t="shared" ref="M259" si="402">$H$14</f>
        <v>157.84176922830778</v>
      </c>
      <c r="N259" s="194">
        <f t="shared" ref="N259" si="403">$AD$13</f>
        <v>157.84176922830778</v>
      </c>
      <c r="O259">
        <f t="shared" ref="O259" si="404">I259*M259</f>
        <v>11807479.300617926</v>
      </c>
      <c r="P259">
        <f t="shared" ref="P259" si="405">J259*N259</f>
        <v>11807479.300617926</v>
      </c>
    </row>
    <row r="260" spans="7:30" x14ac:dyDescent="0.25">
      <c r="X260" t="s">
        <v>350</v>
      </c>
      <c r="AA260" t="s">
        <v>351</v>
      </c>
    </row>
    <row r="261" spans="7:30" x14ac:dyDescent="0.25">
      <c r="W261" t="s">
        <v>352</v>
      </c>
      <c r="X261" s="4">
        <v>75841.221082786535</v>
      </c>
      <c r="Y261" t="s">
        <v>353</v>
      </c>
    </row>
    <row r="262" spans="7:30" x14ac:dyDescent="0.25">
      <c r="W262" t="s">
        <v>354</v>
      </c>
      <c r="X262" s="4">
        <v>9335780.6421275157</v>
      </c>
      <c r="Y262" t="s">
        <v>355</v>
      </c>
      <c r="AA262" s="194">
        <f>X262/K74</f>
        <v>1415.2477184548206</v>
      </c>
    </row>
    <row r="263" spans="7:30" x14ac:dyDescent="0.25">
      <c r="S263" t="s">
        <v>356</v>
      </c>
      <c r="X263" s="4">
        <f>SUM(X261:X262)</f>
        <v>9411621.8632103018</v>
      </c>
      <c r="Y263" s="204">
        <f>1/(Simulator2!E10/'Table Format Calculations'!X263)</f>
        <v>6.9905442948696633E-2</v>
      </c>
    </row>
    <row r="264" spans="7:30" x14ac:dyDescent="0.25">
      <c r="G264" s="533" t="s">
        <v>347</v>
      </c>
      <c r="H264" s="211" t="s">
        <v>158</v>
      </c>
      <c r="I264" s="211" t="s">
        <v>159</v>
      </c>
      <c r="J264" s="211" t="s">
        <v>95</v>
      </c>
      <c r="K264" s="211" t="s">
        <v>96</v>
      </c>
      <c r="L264" s="212" t="s">
        <v>160</v>
      </c>
      <c r="M264" s="212" t="s">
        <v>161</v>
      </c>
      <c r="N264" s="213" t="s">
        <v>162</v>
      </c>
      <c r="O264" s="214" t="s">
        <v>163</v>
      </c>
      <c r="P264" s="215" t="s">
        <v>164</v>
      </c>
      <c r="Q264" s="215" t="s">
        <v>165</v>
      </c>
      <c r="R264" s="439" t="s">
        <v>166</v>
      </c>
      <c r="S264" s="217" t="s">
        <v>167</v>
      </c>
      <c r="T264" s="217" t="s">
        <v>168</v>
      </c>
      <c r="U264" s="217" t="s">
        <v>342</v>
      </c>
      <c r="V264" s="217" t="s">
        <v>357</v>
      </c>
      <c r="Z264" t="s">
        <v>358</v>
      </c>
      <c r="AA264" t="s">
        <v>359</v>
      </c>
      <c r="AC264" t="s">
        <v>360</v>
      </c>
      <c r="AD264" t="s">
        <v>361</v>
      </c>
    </row>
    <row r="265" spans="7:30" x14ac:dyDescent="0.25">
      <c r="G265" s="533"/>
      <c r="H265" t="s">
        <v>97</v>
      </c>
      <c r="I265" s="4">
        <f>V265/K265</f>
        <v>1324.1191522756183</v>
      </c>
      <c r="J265">
        <f>SUM(J54,J68)</f>
        <v>46478250</v>
      </c>
      <c r="K265" s="409">
        <v>2144</v>
      </c>
      <c r="L265" s="4">
        <f>J265/K265</f>
        <v>21678.288246268658</v>
      </c>
      <c r="M265" s="218">
        <f>K265/SUM($K$54:$K$58)</f>
        <v>0.47214269984584895</v>
      </c>
      <c r="N265" s="219">
        <f>0.9*K265</f>
        <v>1929.6000000000001</v>
      </c>
      <c r="O265">
        <v>0</v>
      </c>
      <c r="P265" s="3">
        <f>N265+O265</f>
        <v>1929.6000000000001</v>
      </c>
      <c r="Q265" s="210">
        <f>P265*U265</f>
        <v>43609440.597758412</v>
      </c>
      <c r="R265" s="440">
        <f>P265*I265</f>
        <v>2555020.3162310333</v>
      </c>
      <c r="S265" s="220">
        <v>577300</v>
      </c>
      <c r="T265" s="220">
        <f>R265-V265</f>
        <v>-283891.14624789217</v>
      </c>
      <c r="U265">
        <f>Simulator2!D29</f>
        <v>22600.249066002492</v>
      </c>
      <c r="V265" s="194">
        <f>S265+X265</f>
        <v>2838911.4624789255</v>
      </c>
      <c r="W265" s="203">
        <f>S265/SUM($S$265:$S$269)</f>
        <v>0.24029986492758329</v>
      </c>
      <c r="X265" s="4">
        <f>W265*$X$263</f>
        <v>2261611.4624789255</v>
      </c>
      <c r="Z265" s="4">
        <f>R265-AA265</f>
        <v>2555019.8335240101</v>
      </c>
      <c r="AA265" s="4">
        <f>R265/(1+AB265)</f>
        <v>0.48270702336429377</v>
      </c>
      <c r="AB265" s="3">
        <f>X54</f>
        <v>5293106.8119051671</v>
      </c>
      <c r="AC265" s="210">
        <f>$Q265*J275</f>
        <v>34055676.707626455</v>
      </c>
      <c r="AD265" s="210">
        <f>$Q265*K275</f>
        <v>9553763.890131956</v>
      </c>
    </row>
    <row r="266" spans="7:30" x14ac:dyDescent="0.25">
      <c r="G266" s="533"/>
      <c r="H266" t="s">
        <v>171</v>
      </c>
      <c r="I266" s="4">
        <f t="shared" ref="I266:I269" si="406">V266/K266</f>
        <v>1537.443801664801</v>
      </c>
      <c r="J266">
        <f t="shared" ref="J266:J270" si="407">SUM(J55,J69)</f>
        <v>17871500</v>
      </c>
      <c r="K266" s="409">
        <v>1107</v>
      </c>
      <c r="L266" s="4">
        <f t="shared" ref="L266:L270" si="408">J266/K266</f>
        <v>16144.083107497741</v>
      </c>
      <c r="M266" s="218">
        <f t="shared" ref="M266:M269" si="409">K266/SUM($K$54:$K$58)</f>
        <v>0.24377890332525876</v>
      </c>
      <c r="N266" s="219">
        <f t="shared" ref="N266:N269" si="410">0.9*K266</f>
        <v>996.30000000000007</v>
      </c>
      <c r="O266">
        <v>0</v>
      </c>
      <c r="P266" s="3">
        <f t="shared" ref="P266:P269" si="411">N266+O266</f>
        <v>996.30000000000007</v>
      </c>
      <c r="Q266" s="210">
        <f t="shared" ref="Q266:Q269" si="412">P266*U266</f>
        <v>17104619.469026551</v>
      </c>
      <c r="R266" s="440">
        <f t="shared" ref="R266:R269" si="413">P266*I266</f>
        <v>1531755.2595986412</v>
      </c>
      <c r="S266" s="220">
        <v>346096</v>
      </c>
      <c r="T266" s="220">
        <f t="shared" ref="T266:T270" si="414">R266-V266</f>
        <v>-170195.02884429344</v>
      </c>
      <c r="U266">
        <f>Simulator2!D30</f>
        <v>17168.141592920354</v>
      </c>
      <c r="V266" s="194">
        <f t="shared" ref="V266:V270" si="415">S266+X266</f>
        <v>1701950.2884429346</v>
      </c>
      <c r="W266" s="203">
        <f t="shared" ref="W266:W269" si="416">S266/SUM($S$265:$S$269)</f>
        <v>0.14406170457643663</v>
      </c>
      <c r="X266" s="4">
        <f t="shared" ref="X266:X269" si="417">W266*$X$263</f>
        <v>1355854.2884429346</v>
      </c>
      <c r="Z266" s="4">
        <f t="shared" ref="Z266:Z271" si="418">R266-AA266</f>
        <v>0</v>
      </c>
      <c r="AA266" s="4">
        <f t="shared" ref="AA266:AA271" si="419">R266/(1+AB266)</f>
        <v>1531755.2595986412</v>
      </c>
      <c r="AB266" s="3">
        <f t="shared" ref="AB266:AB271" si="420">X55</f>
        <v>0</v>
      </c>
      <c r="AC266" s="210">
        <f t="shared" ref="AC266:AD270" si="421">$Q266*J276</f>
        <v>12997271.207754277</v>
      </c>
      <c r="AD266" s="210">
        <f t="shared" si="421"/>
        <v>4107348.2612722735</v>
      </c>
    </row>
    <row r="267" spans="7:30" x14ac:dyDescent="0.25">
      <c r="G267" s="533"/>
      <c r="H267" t="s">
        <v>100</v>
      </c>
      <c r="I267" s="4">
        <f t="shared" si="406"/>
        <v>2624.8203771905373</v>
      </c>
      <c r="J267">
        <f t="shared" si="407"/>
        <v>13098750</v>
      </c>
      <c r="K267" s="409">
        <v>1034</v>
      </c>
      <c r="L267" s="4">
        <f t="shared" si="408"/>
        <v>12668.036750483559</v>
      </c>
      <c r="M267" s="218">
        <f t="shared" si="409"/>
        <v>0.22770314908610439</v>
      </c>
      <c r="N267" s="219">
        <f t="shared" si="410"/>
        <v>930.6</v>
      </c>
      <c r="O267">
        <v>0</v>
      </c>
      <c r="P267" s="3">
        <f t="shared" si="411"/>
        <v>930.6</v>
      </c>
      <c r="Q267" s="210">
        <f t="shared" si="412"/>
        <v>11988829.741935484</v>
      </c>
      <c r="R267" s="440">
        <f t="shared" si="413"/>
        <v>2442657.8430135143</v>
      </c>
      <c r="S267" s="220">
        <v>551912</v>
      </c>
      <c r="T267" s="220">
        <f t="shared" si="414"/>
        <v>-271406.42700150143</v>
      </c>
      <c r="U267">
        <f>Simulator2!D31</f>
        <v>12882.903225806451</v>
      </c>
      <c r="V267" s="194">
        <f t="shared" si="415"/>
        <v>2714064.2700150157</v>
      </c>
      <c r="W267" s="203">
        <f t="shared" si="416"/>
        <v>0.22973216534195798</v>
      </c>
      <c r="X267" s="4">
        <f t="shared" si="417"/>
        <v>2162152.2700150157</v>
      </c>
      <c r="Z267" s="4">
        <f t="shared" si="418"/>
        <v>0</v>
      </c>
      <c r="AA267" s="4">
        <f t="shared" si="419"/>
        <v>2442657.8430135143</v>
      </c>
      <c r="AB267" s="3">
        <f t="shared" si="420"/>
        <v>0</v>
      </c>
      <c r="AC267" s="210">
        <f t="shared" si="421"/>
        <v>9138236.3470498603</v>
      </c>
      <c r="AD267" s="210">
        <f t="shared" si="421"/>
        <v>2850593.3948856238</v>
      </c>
    </row>
    <row r="268" spans="7:30" x14ac:dyDescent="0.25">
      <c r="G268" s="533"/>
      <c r="H268" t="s">
        <v>114</v>
      </c>
      <c r="I268" s="4">
        <f t="shared" si="406"/>
        <v>1438.0900667636824</v>
      </c>
      <c r="J268">
        <f t="shared" si="407"/>
        <v>11243500</v>
      </c>
      <c r="K268" s="409">
        <v>1698</v>
      </c>
      <c r="L268" s="4">
        <f t="shared" si="408"/>
        <v>6621.6136631330974</v>
      </c>
      <c r="M268" s="218">
        <f t="shared" si="409"/>
        <v>0.37392644791896057</v>
      </c>
      <c r="N268" s="219">
        <f t="shared" si="410"/>
        <v>1528.2</v>
      </c>
      <c r="O268">
        <v>0</v>
      </c>
      <c r="P268" s="3">
        <f t="shared" si="411"/>
        <v>1528.2</v>
      </c>
      <c r="Q268" s="210">
        <f t="shared" si="412"/>
        <v>11608821.863468636</v>
      </c>
      <c r="R268" s="440">
        <f t="shared" si="413"/>
        <v>2197689.2400282593</v>
      </c>
      <c r="S268" s="220">
        <v>496562</v>
      </c>
      <c r="T268" s="220">
        <f t="shared" si="414"/>
        <v>-244187.69333647331</v>
      </c>
      <c r="U268">
        <f>Simulator2!D32</f>
        <v>7596.4022140221405</v>
      </c>
      <c r="V268" s="194">
        <f t="shared" si="415"/>
        <v>2441876.9333647327</v>
      </c>
      <c r="W268" s="203">
        <f t="shared" si="416"/>
        <v>0.20669284865437487</v>
      </c>
      <c r="X268" s="4">
        <f t="shared" si="417"/>
        <v>1945314.9333647327</v>
      </c>
      <c r="Z268" s="4">
        <f t="shared" si="418"/>
        <v>0</v>
      </c>
      <c r="AA268" s="4">
        <f t="shared" si="419"/>
        <v>2197689.2400282593</v>
      </c>
      <c r="AB268" s="3">
        <f t="shared" si="420"/>
        <v>0</v>
      </c>
      <c r="AC268" s="210">
        <f t="shared" si="421"/>
        <v>8502053.9542609043</v>
      </c>
      <c r="AD268" s="210">
        <f t="shared" si="421"/>
        <v>3106767.909207731</v>
      </c>
    </row>
    <row r="269" spans="7:30" x14ac:dyDescent="0.25">
      <c r="G269" s="533"/>
      <c r="H269" s="286" t="s">
        <v>118</v>
      </c>
      <c r="I269" s="4">
        <f t="shared" si="406"/>
        <v>4673.8055384297868</v>
      </c>
      <c r="J269">
        <f t="shared" si="407"/>
        <v>5628250</v>
      </c>
      <c r="K269" s="409">
        <v>453</v>
      </c>
      <c r="L269" s="4">
        <f t="shared" si="408"/>
        <v>12424.39293598234</v>
      </c>
      <c r="M269" s="218">
        <f t="shared" si="409"/>
        <v>9.9757762607355208E-2</v>
      </c>
      <c r="N269" s="219">
        <f t="shared" si="410"/>
        <v>407.7</v>
      </c>
      <c r="O269">
        <v>0</v>
      </c>
      <c r="P269" s="3">
        <f t="shared" si="411"/>
        <v>407.7</v>
      </c>
      <c r="Q269" s="210">
        <f t="shared" si="412"/>
        <v>5686342.1052631577</v>
      </c>
      <c r="R269" s="440">
        <f t="shared" si="413"/>
        <v>1905510.518017824</v>
      </c>
      <c r="S269" s="220">
        <v>430545</v>
      </c>
      <c r="T269" s="220">
        <f t="shared" si="414"/>
        <v>-211723.39089086954</v>
      </c>
      <c r="U269">
        <f>Simulator2!D33</f>
        <v>13947.368421052632</v>
      </c>
      <c r="V269" s="194">
        <f t="shared" si="415"/>
        <v>2117233.9089086936</v>
      </c>
      <c r="W269" s="203">
        <f t="shared" si="416"/>
        <v>0.17921341649964723</v>
      </c>
      <c r="X269" s="4">
        <f t="shared" si="417"/>
        <v>1686688.9089086936</v>
      </c>
      <c r="Z269" s="4">
        <f t="shared" si="418"/>
        <v>0</v>
      </c>
      <c r="AA269" s="4">
        <f t="shared" si="419"/>
        <v>1905510.518017824</v>
      </c>
      <c r="AB269" s="3">
        <f t="shared" si="420"/>
        <v>0</v>
      </c>
      <c r="AC269" s="210">
        <f t="shared" si="421"/>
        <v>4016028.0492908191</v>
      </c>
      <c r="AD269" s="210">
        <f t="shared" si="421"/>
        <v>1670314.0559723389</v>
      </c>
    </row>
    <row r="270" spans="7:30" x14ac:dyDescent="0.25">
      <c r="G270" s="533"/>
      <c r="H270" t="s">
        <v>105</v>
      </c>
      <c r="I270" s="4"/>
      <c r="J270">
        <f t="shared" si="407"/>
        <v>1097250</v>
      </c>
      <c r="K270" s="409">
        <v>160.57</v>
      </c>
      <c r="L270" s="4">
        <f t="shared" si="408"/>
        <v>6833.4682692906526</v>
      </c>
      <c r="M270" s="218"/>
      <c r="N270" s="219">
        <v>103</v>
      </c>
      <c r="O270">
        <v>103</v>
      </c>
      <c r="P270" s="3">
        <v>103</v>
      </c>
      <c r="Q270">
        <f t="shared" ref="Q270" si="422">P270*L270</f>
        <v>703847.23173693719</v>
      </c>
      <c r="R270" s="440">
        <v>372240.22000001301</v>
      </c>
      <c r="S270" s="220">
        <v>412864.22000001301</v>
      </c>
      <c r="T270" s="220">
        <f t="shared" si="414"/>
        <v>-40624</v>
      </c>
      <c r="U270">
        <f>Simulator2!D34</f>
        <v>0</v>
      </c>
      <c r="V270" s="194">
        <f t="shared" si="415"/>
        <v>412864.22000001301</v>
      </c>
      <c r="W270" s="203"/>
      <c r="X270" s="4"/>
      <c r="Z270" s="4">
        <f t="shared" si="418"/>
        <v>0</v>
      </c>
      <c r="AA270" s="4">
        <f t="shared" si="419"/>
        <v>372240.22000001301</v>
      </c>
      <c r="AB270" s="3">
        <f t="shared" si="420"/>
        <v>0</v>
      </c>
      <c r="AC270" s="210">
        <f t="shared" si="421"/>
        <v>507398.64233667561</v>
      </c>
      <c r="AD270" s="210">
        <f t="shared" si="421"/>
        <v>196448.58940026158</v>
      </c>
    </row>
    <row r="271" spans="7:30" x14ac:dyDescent="0.25">
      <c r="J271">
        <f>SUM(J265:J270)</f>
        <v>95417500</v>
      </c>
      <c r="K271">
        <f>SUM(K265:K270)</f>
        <v>6596.57</v>
      </c>
      <c r="L271" s="4"/>
      <c r="N271" s="3">
        <f>SUM(N265:N270)</f>
        <v>5895.4</v>
      </c>
      <c r="O271">
        <f>SUM(O265:O270)</f>
        <v>103</v>
      </c>
      <c r="P271" s="3">
        <f>SUM(P265:P270)</f>
        <v>5895.4</v>
      </c>
      <c r="Q271" s="3">
        <f t="shared" ref="Q271:R271" si="423">SUM(Q265:Q270)</f>
        <v>90701901.009189174</v>
      </c>
      <c r="R271" s="441">
        <f t="shared" si="423"/>
        <v>11004873.396889288</v>
      </c>
      <c r="S271" s="442">
        <f>SUM(S265:S270)</f>
        <v>2815279.2200000128</v>
      </c>
      <c r="T271" s="220"/>
      <c r="V271" s="194">
        <f>SUM(V265:V270)</f>
        <v>12226901.083210316</v>
      </c>
      <c r="Z271" s="4">
        <f t="shared" si="418"/>
        <v>0</v>
      </c>
      <c r="AA271" s="4">
        <f t="shared" si="419"/>
        <v>11004873.396889288</v>
      </c>
      <c r="AB271" s="3">
        <f t="shared" si="420"/>
        <v>0</v>
      </c>
      <c r="AC271" s="210">
        <f>SUM(AC265:AC270)</f>
        <v>69216664.908318996</v>
      </c>
      <c r="AD271" s="210">
        <f>SUM(AD265:AD270)</f>
        <v>21485236.100870185</v>
      </c>
    </row>
    <row r="272" spans="7:30" x14ac:dyDescent="0.25">
      <c r="N272" s="3"/>
      <c r="P272" s="3"/>
      <c r="Q272" s="3"/>
      <c r="R272" s="221"/>
      <c r="V272" s="210">
        <f>V271/K271</f>
        <v>1853.5240410107549</v>
      </c>
    </row>
    <row r="273" spans="3:30" x14ac:dyDescent="0.25">
      <c r="N273" s="222" t="s">
        <v>169</v>
      </c>
      <c r="O273" s="222" t="s">
        <v>170</v>
      </c>
      <c r="Q273" s="211" t="s">
        <v>158</v>
      </c>
    </row>
    <row r="274" spans="3:30" x14ac:dyDescent="0.25">
      <c r="G274" s="211" t="s">
        <v>158</v>
      </c>
      <c r="H274" s="211" t="s">
        <v>360</v>
      </c>
      <c r="I274" s="211" t="s">
        <v>361</v>
      </c>
      <c r="J274" s="275" t="s">
        <v>362</v>
      </c>
      <c r="K274" s="275" t="s">
        <v>363</v>
      </c>
      <c r="N274" s="11">
        <f>SUM(M29:M30)-SUM(H36:H37)</f>
        <v>978.54999999999472</v>
      </c>
      <c r="O274" s="19">
        <f>SUM(O265:O270)</f>
        <v>103</v>
      </c>
      <c r="Q274" t="s">
        <v>97</v>
      </c>
      <c r="S274" s="220"/>
    </row>
    <row r="275" spans="3:30" x14ac:dyDescent="0.25">
      <c r="G275" t="s">
        <v>97</v>
      </c>
      <c r="H275">
        <v>36296000</v>
      </c>
      <c r="I275">
        <v>10182250</v>
      </c>
      <c r="J275" s="203">
        <f>H275/SUM($H275:$I275)</f>
        <v>0.78092441088035802</v>
      </c>
      <c r="K275" s="203">
        <f>I275/SUM($H275:$I275)</f>
        <v>0.21907558911964198</v>
      </c>
      <c r="Q275" t="s">
        <v>171</v>
      </c>
    </row>
    <row r="276" spans="3:30" x14ac:dyDescent="0.25">
      <c r="G276" t="s">
        <v>171</v>
      </c>
      <c r="H276">
        <v>13580000</v>
      </c>
      <c r="I276">
        <v>4291500</v>
      </c>
      <c r="J276" s="203">
        <f t="shared" ref="J276:K280" si="424">H276/SUM($H276:$I276)</f>
        <v>0.75986906527152165</v>
      </c>
      <c r="K276" s="203">
        <f t="shared" si="424"/>
        <v>0.2401309347284783</v>
      </c>
      <c r="Q276" t="s">
        <v>100</v>
      </c>
    </row>
    <row r="277" spans="3:30" x14ac:dyDescent="0.25">
      <c r="G277" t="s">
        <v>100</v>
      </c>
      <c r="H277">
        <v>9984250</v>
      </c>
      <c r="I277">
        <v>3114500</v>
      </c>
      <c r="J277" s="203">
        <f t="shared" si="424"/>
        <v>0.76222922034545282</v>
      </c>
      <c r="K277" s="203">
        <f t="shared" si="424"/>
        <v>0.23777077965454718</v>
      </c>
      <c r="Q277" t="s">
        <v>114</v>
      </c>
    </row>
    <row r="278" spans="3:30" x14ac:dyDescent="0.25">
      <c r="G278" t="s">
        <v>114</v>
      </c>
      <c r="H278">
        <v>8234500</v>
      </c>
      <c r="I278">
        <v>3009000</v>
      </c>
      <c r="J278" s="203">
        <f t="shared" si="424"/>
        <v>0.73237870769778091</v>
      </c>
      <c r="K278" s="203">
        <f t="shared" si="424"/>
        <v>0.26762129230221904</v>
      </c>
      <c r="Q278" s="286" t="s">
        <v>118</v>
      </c>
      <c r="W278" t="s">
        <v>364</v>
      </c>
    </row>
    <row r="279" spans="3:30" x14ac:dyDescent="0.25">
      <c r="G279" s="286" t="s">
        <v>118</v>
      </c>
      <c r="H279">
        <v>3975000</v>
      </c>
      <c r="I279">
        <v>1653250</v>
      </c>
      <c r="J279" s="203">
        <f t="shared" si="424"/>
        <v>0.70625860613867542</v>
      </c>
      <c r="K279" s="203">
        <f t="shared" si="424"/>
        <v>0.29374139386132458</v>
      </c>
      <c r="Q279" t="s">
        <v>105</v>
      </c>
      <c r="V279" t="s">
        <v>365</v>
      </c>
      <c r="W279" s="4">
        <v>116990.15929640616</v>
      </c>
    </row>
    <row r="280" spans="3:30" x14ac:dyDescent="0.25">
      <c r="G280" t="s">
        <v>105</v>
      </c>
      <c r="H280">
        <v>791000</v>
      </c>
      <c r="I280">
        <v>306250</v>
      </c>
      <c r="J280" s="203">
        <f t="shared" si="424"/>
        <v>0.72089314194577347</v>
      </c>
      <c r="K280" s="203">
        <f t="shared" si="424"/>
        <v>0.27910685805422647</v>
      </c>
      <c r="P280" t="s">
        <v>228</v>
      </c>
      <c r="Q280" s="267">
        <f>Simulator2!E35</f>
        <v>0.3</v>
      </c>
      <c r="V280" t="s">
        <v>366</v>
      </c>
      <c r="W280" s="4">
        <v>0</v>
      </c>
    </row>
    <row r="281" spans="3:30" x14ac:dyDescent="0.25">
      <c r="P281" s="272" t="s">
        <v>229</v>
      </c>
      <c r="Q281" s="283">
        <f>(1+Q280)*L288</f>
        <v>55625796.616000004</v>
      </c>
      <c r="W281">
        <f>SUM(W279:W280)</f>
        <v>116990.15929640616</v>
      </c>
    </row>
    <row r="282" spans="3:30" x14ac:dyDescent="0.25">
      <c r="C282" t="s">
        <v>227</v>
      </c>
      <c r="G282" s="537" t="s">
        <v>347</v>
      </c>
      <c r="H282" s="211" t="s">
        <v>203</v>
      </c>
      <c r="I282" s="211" t="s">
        <v>178</v>
      </c>
      <c r="J282" s="211" t="s">
        <v>159</v>
      </c>
      <c r="K282" s="211" t="s">
        <v>206</v>
      </c>
      <c r="L282" s="234" t="s">
        <v>209</v>
      </c>
      <c r="M282" s="214" t="s">
        <v>207</v>
      </c>
      <c r="N282" s="234" t="s">
        <v>208</v>
      </c>
      <c r="O282" s="234" t="s">
        <v>197</v>
      </c>
      <c r="P282" s="234" t="s">
        <v>198</v>
      </c>
      <c r="Q282" s="222" t="s">
        <v>210</v>
      </c>
      <c r="R282" s="234" t="s">
        <v>302</v>
      </c>
      <c r="S282" s="234" t="s">
        <v>256</v>
      </c>
      <c r="T282" s="234" t="s">
        <v>367</v>
      </c>
      <c r="Z282" t="s">
        <v>358</v>
      </c>
      <c r="AA282" t="s">
        <v>359</v>
      </c>
      <c r="AB282" s="275" t="s">
        <v>368</v>
      </c>
      <c r="AC282" t="s">
        <v>360</v>
      </c>
      <c r="AD282" t="s">
        <v>361</v>
      </c>
    </row>
    <row r="283" spans="3:30" x14ac:dyDescent="0.25">
      <c r="C283" s="3">
        <f>Simulator2!E37</f>
        <v>2.5319217683916206E-2</v>
      </c>
      <c r="G283" s="537"/>
      <c r="H283" s="19" t="s">
        <v>110</v>
      </c>
      <c r="J283" s="443">
        <f>T283/K283</f>
        <v>5.2769281842774578E-4</v>
      </c>
      <c r="K283" s="194">
        <f>SUM(K119,K106)</f>
        <v>835369910</v>
      </c>
      <c r="L283" s="194">
        <f>SUM(L119,L106)</f>
        <v>19776259.990000002</v>
      </c>
      <c r="M283" s="4">
        <v>847585281.28795171</v>
      </c>
      <c r="N283">
        <f>L283/K283</f>
        <v>2.3673656129175161E-2</v>
      </c>
      <c r="O283">
        <f>M283*C283</f>
        <v>21460196.242612999</v>
      </c>
      <c r="P283" s="194">
        <f>O283-L283</f>
        <v>1683936.2526129968</v>
      </c>
      <c r="Q283" s="4">
        <f>IFERROR((M283-K283)*J283,0)</f>
        <v>6445.9637030805998</v>
      </c>
      <c r="R283" s="194">
        <f>SUM(R119,R106)</f>
        <v>399709.58881721646</v>
      </c>
      <c r="S283" s="210">
        <f>M283*J283</f>
        <v>447264.66594071296</v>
      </c>
      <c r="T283" s="194">
        <f>R283+W283</f>
        <v>440818.70223763236</v>
      </c>
      <c r="V283" s="203">
        <f>R283/SUM($R$283:$R$287)</f>
        <v>0.3513894986351962</v>
      </c>
      <c r="W283">
        <f>V283*$W$281</f>
        <v>41109.113420415895</v>
      </c>
      <c r="Z283" s="210">
        <f>Q283-AA283</f>
        <v>3273.9841861933728</v>
      </c>
      <c r="AA283" s="4">
        <f>Q283/(1+AB283)</f>
        <v>3171.979516887227</v>
      </c>
      <c r="AB283">
        <f>AB106</f>
        <v>1.032158047920261</v>
      </c>
      <c r="AC283">
        <f>$O283*K292</f>
        <v>18891011.76552001</v>
      </c>
      <c r="AD283">
        <f>$O283*L292</f>
        <v>2569184.4770929883</v>
      </c>
    </row>
    <row r="284" spans="3:30" x14ac:dyDescent="0.25">
      <c r="C284" s="3">
        <f>Simulator2!E39</f>
        <v>9.8614418321418498E-2</v>
      </c>
      <c r="G284" s="537"/>
      <c r="H284" s="19" t="s">
        <v>204</v>
      </c>
      <c r="J284" s="443">
        <f t="shared" ref="J284:J287" si="425">T284/K284</f>
        <v>2.4174353976089574E-3</v>
      </c>
      <c r="K284" s="194">
        <f>SUM(K107,K120)</f>
        <v>73987617</v>
      </c>
      <c r="L284" s="194">
        <f>SUM(L107,L120)</f>
        <v>7725546.5900000008</v>
      </c>
      <c r="M284" s="4">
        <v>77343702.357713133</v>
      </c>
      <c r="N284">
        <f t="shared" ref="N284:N287" si="426">L284/K284</f>
        <v>0.10441675111660915</v>
      </c>
      <c r="O284">
        <f t="shared" ref="O284:O287" si="427">M284*C284</f>
        <v>7627204.2188308053</v>
      </c>
      <c r="P284" s="194">
        <f t="shared" ref="P284:P288" si="428">O284-L284</f>
        <v>-98342.37116919551</v>
      </c>
      <c r="Q284" s="4">
        <f t="shared" ref="Q284:Q287" si="429">IFERROR((M284-K284)*J284,0)</f>
        <v>8113.1195411328481</v>
      </c>
      <c r="R284" s="194">
        <f>SUM(R107,R120)</f>
        <v>162180.43912064299</v>
      </c>
      <c r="S284" s="210">
        <f t="shared" ref="S284:S287" si="430">M284*J284</f>
        <v>186973.40386166709</v>
      </c>
      <c r="T284" s="194">
        <f t="shared" ref="T284:T287" si="431">R284+W284</f>
        <v>178860.28432053427</v>
      </c>
      <c r="V284" s="203">
        <f t="shared" ref="V284:V287" si="432">R284/SUM($R$283:$R$287)</f>
        <v>0.14257477124747944</v>
      </c>
      <c r="W284">
        <f t="shared" ref="W284:W287" si="433">V284*$W$281</f>
        <v>16679.84519989129</v>
      </c>
      <c r="Z284" s="210">
        <f t="shared" ref="Z284:Z286" si="434">Q284-AA284</f>
        <v>7498.8457572836387</v>
      </c>
      <c r="AA284" s="4">
        <f>Q284/(1+AB284)</f>
        <v>614.27378384920951</v>
      </c>
      <c r="AB284">
        <f t="shared" ref="AB284:AB287" si="435">AB107</f>
        <v>12.207660418606498</v>
      </c>
      <c r="AC284">
        <f t="shared" ref="AC284:AD284" si="436">$O284*K293</f>
        <v>6669883.2637824174</v>
      </c>
      <c r="AD284">
        <f t="shared" si="436"/>
        <v>957320.95504838834</v>
      </c>
    </row>
    <row r="285" spans="3:30" x14ac:dyDescent="0.25">
      <c r="C285" s="3">
        <f>Simulator2!E40</f>
        <v>4.3182938651888207E-2</v>
      </c>
      <c r="G285" s="537"/>
      <c r="H285" s="19" t="s">
        <v>205</v>
      </c>
      <c r="J285" s="443">
        <f t="shared" si="425"/>
        <v>5.3942761916574529E-3</v>
      </c>
      <c r="K285" s="194">
        <f>K108</f>
        <v>44278494</v>
      </c>
      <c r="L285" s="194">
        <f>L108</f>
        <v>1912075.4900000002</v>
      </c>
      <c r="M285" s="4">
        <v>311841592.86130846</v>
      </c>
      <c r="N285">
        <f t="shared" si="426"/>
        <v>4.3182938651888207E-2</v>
      </c>
      <c r="O285">
        <f t="shared" si="427"/>
        <v>13466236.373636983</v>
      </c>
      <c r="P285" s="194">
        <f t="shared" si="428"/>
        <v>11554160.883636983</v>
      </c>
      <c r="Q285" s="4">
        <f t="shared" si="429"/>
        <v>1443309.2539536455</v>
      </c>
      <c r="R285" s="194">
        <f>R108</f>
        <v>216576.12318924328</v>
      </c>
      <c r="S285" s="210">
        <f t="shared" si="430"/>
        <v>1682159.6799402928</v>
      </c>
      <c r="T285" s="194">
        <f t="shared" si="431"/>
        <v>238850.42598664737</v>
      </c>
      <c r="V285" s="203">
        <f t="shared" si="432"/>
        <v>0.19039467021298731</v>
      </c>
      <c r="W285">
        <f t="shared" si="433"/>
        <v>22274.302797404103</v>
      </c>
      <c r="Z285" s="210">
        <f t="shared" si="434"/>
        <v>1443309.2539536455</v>
      </c>
      <c r="AA285" s="4"/>
      <c r="AB285">
        <f t="shared" si="435"/>
        <v>1</v>
      </c>
      <c r="AC285">
        <f t="shared" ref="AC285:AD285" si="437">$O285*K294</f>
        <v>13466236.373636983</v>
      </c>
      <c r="AD285">
        <f t="shared" si="437"/>
        <v>0</v>
      </c>
    </row>
    <row r="286" spans="3:30" x14ac:dyDescent="0.25">
      <c r="C286" s="3">
        <f>Simulator2!E38</f>
        <v>2.5019347143833089E-2</v>
      </c>
      <c r="G286" s="537"/>
      <c r="H286" s="19" t="s">
        <v>106</v>
      </c>
      <c r="J286" s="443">
        <f t="shared" si="425"/>
        <v>7.8636828690419036E-4</v>
      </c>
      <c r="K286" s="194">
        <f>SUM(K109,K121)</f>
        <v>496423175</v>
      </c>
      <c r="L286" s="194">
        <f>SUM(L109,L121)</f>
        <v>12643771.85</v>
      </c>
      <c r="M286" s="4">
        <v>521666332.62523299</v>
      </c>
      <c r="N286">
        <f t="shared" si="426"/>
        <v>2.5469745343778522E-2</v>
      </c>
      <c r="O286">
        <f t="shared" si="427"/>
        <v>13051751.069201006</v>
      </c>
      <c r="P286" s="194">
        <f t="shared" si="428"/>
        <v>407979.219201006</v>
      </c>
      <c r="Q286" s="4">
        <f t="shared" si="429"/>
        <v>19850.418617806921</v>
      </c>
      <c r="R286" s="194">
        <f>SUM(R109,R121)</f>
        <v>353966.85226275044</v>
      </c>
      <c r="S286" s="210">
        <f t="shared" si="430"/>
        <v>410221.86032209604</v>
      </c>
      <c r="T286" s="194">
        <f t="shared" si="431"/>
        <v>390371.44170428911</v>
      </c>
      <c r="V286" s="203">
        <f t="shared" si="432"/>
        <v>0.31117650972082234</v>
      </c>
      <c r="W286">
        <f t="shared" si="433"/>
        <v>36404.589441538687</v>
      </c>
      <c r="Z286" s="210">
        <f t="shared" si="434"/>
        <v>13107.383753142314</v>
      </c>
      <c r="AA286" s="4">
        <f>Q286/(1+AB286)</f>
        <v>6743.0348646646071</v>
      </c>
      <c r="AB286">
        <f t="shared" si="435"/>
        <v>1.9438404244101837</v>
      </c>
      <c r="AC286">
        <f t="shared" ref="AC286:AD286" si="438">$O286*K295</f>
        <v>12226186.182234302</v>
      </c>
      <c r="AD286">
        <f t="shared" si="438"/>
        <v>825564.88696670218</v>
      </c>
    </row>
    <row r="287" spans="3:30" x14ac:dyDescent="0.25">
      <c r="C287" s="3">
        <f>Simulator2!E42</f>
        <v>0.21610399648286818</v>
      </c>
      <c r="G287" s="537"/>
      <c r="H287" s="19" t="s">
        <v>369</v>
      </c>
      <c r="J287" s="443">
        <f t="shared" si="425"/>
        <v>1.6547967976129905E-3</v>
      </c>
      <c r="K287" s="194">
        <f>K118</f>
        <v>3384576</v>
      </c>
      <c r="L287" s="194">
        <f>L118</f>
        <v>731420.4</v>
      </c>
      <c r="M287" s="4">
        <v>3384576.0081026116</v>
      </c>
      <c r="N287">
        <f t="shared" si="426"/>
        <v>0.21610399648286818</v>
      </c>
      <c r="O287">
        <f t="shared" si="427"/>
        <v>731420.40175100684</v>
      </c>
      <c r="P287" s="194">
        <f t="shared" si="428"/>
        <v>1.7510068137198687E-3</v>
      </c>
      <c r="Q287" s="4">
        <f t="shared" si="429"/>
        <v>1.3408175791866282E-5</v>
      </c>
      <c r="R287" s="194">
        <f>R118</f>
        <v>5078.4770889215997</v>
      </c>
      <c r="S287" s="210">
        <f t="shared" si="430"/>
        <v>5600.7855394859607</v>
      </c>
      <c r="T287" s="194">
        <f t="shared" si="431"/>
        <v>5600.7855260777851</v>
      </c>
      <c r="V287" s="203">
        <f t="shared" si="432"/>
        <v>4.4645501835147072E-3</v>
      </c>
      <c r="W287">
        <f t="shared" si="433"/>
        <v>522.30843715618494</v>
      </c>
      <c r="AA287" s="4">
        <f>Q287/(1+AB287)</f>
        <v>6.7040878959331412E-6</v>
      </c>
      <c r="AB287">
        <f t="shared" si="435"/>
        <v>1</v>
      </c>
      <c r="AC287">
        <f t="shared" ref="AC287:AD287" si="439">$O287*K296</f>
        <v>0</v>
      </c>
      <c r="AD287">
        <f t="shared" si="439"/>
        <v>731420.40175100684</v>
      </c>
    </row>
    <row r="288" spans="3:30" x14ac:dyDescent="0.25">
      <c r="L288" s="194">
        <f>SUM(L283:L287)</f>
        <v>42789074.32</v>
      </c>
      <c r="O288" s="4">
        <f>SUM(O283:O287)</f>
        <v>56336808.306032799</v>
      </c>
      <c r="P288" s="194">
        <f t="shared" si="428"/>
        <v>13547733.986032799</v>
      </c>
      <c r="Q288" s="194">
        <f>SUM(Q283:Q287)</f>
        <v>1477718.755829074</v>
      </c>
    </row>
    <row r="289" spans="7:30" x14ac:dyDescent="0.25">
      <c r="Z289" s="210">
        <f>SUM(Z283:Z288)</f>
        <v>1467189.4676502647</v>
      </c>
      <c r="AA289" s="210">
        <f>SUM(AA283:AA287)</f>
        <v>10529.288172105131</v>
      </c>
      <c r="AC289" s="210">
        <f>SUM(AC283:AC288)-SUM(L106:L109)</f>
        <v>13332672.865173712</v>
      </c>
      <c r="AD289" s="210">
        <f>SUM(AD283:AD288)-SUM(L118:L121)</f>
        <v>215061.12085908558</v>
      </c>
    </row>
    <row r="291" spans="7:30" x14ac:dyDescent="0.25">
      <c r="G291" s="537" t="s">
        <v>347</v>
      </c>
      <c r="H291" s="211" t="s">
        <v>203</v>
      </c>
      <c r="I291" t="s">
        <v>372</v>
      </c>
      <c r="J291" t="s">
        <v>373</v>
      </c>
      <c r="K291" s="275" t="s">
        <v>362</v>
      </c>
      <c r="L291" s="275" t="s">
        <v>363</v>
      </c>
    </row>
    <row r="292" spans="7:30" x14ac:dyDescent="0.25">
      <c r="G292" s="537"/>
      <c r="H292" s="19" t="s">
        <v>110</v>
      </c>
      <c r="I292" s="194">
        <f>L106</f>
        <v>17408673.990000002</v>
      </c>
      <c r="J292" s="194">
        <f>L119</f>
        <v>2367586</v>
      </c>
      <c r="K292" s="203">
        <f>I292/SUM($I292:$J292)</f>
        <v>0.8802814080520186</v>
      </c>
      <c r="L292" s="203">
        <f>J292/SUM($I292:$J292)</f>
        <v>0.11971859194798135</v>
      </c>
    </row>
    <row r="293" spans="7:30" x14ac:dyDescent="0.25">
      <c r="G293" s="537"/>
      <c r="H293" s="19" t="s">
        <v>204</v>
      </c>
      <c r="I293" s="194">
        <f t="shared" ref="I293:I295" si="440">L107</f>
        <v>6755882.290000001</v>
      </c>
      <c r="J293" s="194">
        <f>L120</f>
        <v>969664.3</v>
      </c>
      <c r="K293" s="203">
        <f t="shared" ref="K293:K296" si="441">I293/SUM($I293:$J293)</f>
        <v>0.8744859941359826</v>
      </c>
      <c r="L293" s="203">
        <f t="shared" ref="L293:L296" si="442">J293/SUM($I293:$J293)</f>
        <v>0.12551400586401745</v>
      </c>
    </row>
    <row r="294" spans="7:30" x14ac:dyDescent="0.25">
      <c r="G294" s="537"/>
      <c r="H294" s="19" t="s">
        <v>205</v>
      </c>
      <c r="I294" s="194">
        <f t="shared" si="440"/>
        <v>1912075.4900000002</v>
      </c>
      <c r="K294" s="203">
        <f t="shared" si="441"/>
        <v>1</v>
      </c>
      <c r="L294" s="203">
        <f t="shared" si="442"/>
        <v>0</v>
      </c>
    </row>
    <row r="295" spans="7:30" x14ac:dyDescent="0.25">
      <c r="G295" s="537"/>
      <c r="H295" s="19" t="s">
        <v>106</v>
      </c>
      <c r="I295" s="194">
        <f t="shared" si="440"/>
        <v>11844012.949999999</v>
      </c>
      <c r="J295" s="194">
        <f>L121</f>
        <v>799758.9</v>
      </c>
      <c r="K295" s="203">
        <f t="shared" si="441"/>
        <v>0.93674681024871542</v>
      </c>
      <c r="L295" s="203">
        <f t="shared" si="442"/>
        <v>6.325318975128455E-2</v>
      </c>
    </row>
    <row r="296" spans="7:30" x14ac:dyDescent="0.25">
      <c r="G296" s="537"/>
      <c r="H296" s="19" t="s">
        <v>369</v>
      </c>
      <c r="J296" s="194">
        <f>L118</f>
        <v>731420.4</v>
      </c>
      <c r="K296" s="203">
        <f t="shared" si="441"/>
        <v>0</v>
      </c>
      <c r="L296" s="203">
        <f t="shared" si="442"/>
        <v>1</v>
      </c>
    </row>
  </sheetData>
  <mergeCells count="37">
    <mergeCell ref="G264:G270"/>
    <mergeCell ref="G282:G287"/>
    <mergeCell ref="G291:G296"/>
    <mergeCell ref="HD17:HW17"/>
    <mergeCell ref="HY20:IR20"/>
    <mergeCell ref="G27:K27"/>
    <mergeCell ref="L27:Q27"/>
    <mergeCell ref="DE17:DX17"/>
    <mergeCell ref="DY17:ER17"/>
    <mergeCell ref="ES17:FL17"/>
    <mergeCell ref="FN17:GG17"/>
    <mergeCell ref="GH17:HA17"/>
    <mergeCell ref="FN27:GG27"/>
    <mergeCell ref="I17:AB17"/>
    <mergeCell ref="AC17:AV17"/>
    <mergeCell ref="AW17:BP17"/>
    <mergeCell ref="BQ17:CJ17"/>
    <mergeCell ref="CK17:DD17"/>
    <mergeCell ref="CK2:DD2"/>
    <mergeCell ref="G53:G59"/>
    <mergeCell ref="G67:G73"/>
    <mergeCell ref="G82:G88"/>
    <mergeCell ref="G1:G4"/>
    <mergeCell ref="I6:AB6"/>
    <mergeCell ref="I11:AB11"/>
    <mergeCell ref="AE6:AX6"/>
    <mergeCell ref="AE11:AX11"/>
    <mergeCell ref="E105:E133"/>
    <mergeCell ref="G150:G151"/>
    <mergeCell ref="G156:G157"/>
    <mergeCell ref="E138:E147"/>
    <mergeCell ref="E150:E157"/>
    <mergeCell ref="G138:G142"/>
    <mergeCell ref="G105:G109"/>
    <mergeCell ref="G117:G121"/>
    <mergeCell ref="G128:G133"/>
    <mergeCell ref="G146:G1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98332-3627-4583-BAE6-C2EAB2F28C46}">
  <sheetPr codeName="Sheet2"/>
  <dimension ref="B1:T36"/>
  <sheetViews>
    <sheetView topLeftCell="B1" workbookViewId="0">
      <pane xSplit="2" ySplit="2" topLeftCell="D3" activePane="bottomRight" state="frozen"/>
      <selection activeCell="B1" sqref="B1"/>
      <selection pane="topRight" activeCell="D1" sqref="D1"/>
      <selection pane="bottomLeft" activeCell="B3" sqref="B3"/>
      <selection pane="bottomRight" activeCell="B1" sqref="B1"/>
    </sheetView>
  </sheetViews>
  <sheetFormatPr defaultRowHeight="15" x14ac:dyDescent="0.25"/>
  <cols>
    <col min="2" max="2" width="10.28515625" bestFit="1" customWidth="1"/>
    <col min="3" max="3" width="15.28515625" bestFit="1" customWidth="1"/>
    <col min="4" max="4" width="16.85546875" bestFit="1" customWidth="1"/>
    <col min="6" max="6" width="12.85546875" bestFit="1" customWidth="1"/>
    <col min="8" max="10" width="14.28515625" bestFit="1" customWidth="1"/>
    <col min="12" max="13" width="13.28515625" bestFit="1" customWidth="1"/>
    <col min="15" max="16" width="14.28515625" bestFit="1" customWidth="1"/>
    <col min="17" max="17" width="13.28515625" bestFit="1" customWidth="1"/>
  </cols>
  <sheetData>
    <row r="1" spans="2:20" x14ac:dyDescent="0.25">
      <c r="D1" s="553" t="s">
        <v>29</v>
      </c>
      <c r="E1" s="553"/>
      <c r="F1" s="553"/>
      <c r="H1" t="s">
        <v>51</v>
      </c>
      <c r="L1" t="s">
        <v>51</v>
      </c>
      <c r="O1" s="553" t="s">
        <v>53</v>
      </c>
      <c r="P1" s="553"/>
      <c r="Q1" s="553"/>
    </row>
    <row r="2" spans="2:20" x14ac:dyDescent="0.25">
      <c r="B2" t="s">
        <v>52</v>
      </c>
      <c r="C2" t="s">
        <v>25</v>
      </c>
      <c r="D2" t="s">
        <v>26</v>
      </c>
      <c r="E2" t="s">
        <v>27</v>
      </c>
      <c r="F2" t="s">
        <v>28</v>
      </c>
      <c r="H2" t="s">
        <v>47</v>
      </c>
      <c r="I2" t="s">
        <v>5</v>
      </c>
      <c r="J2" t="s">
        <v>48</v>
      </c>
      <c r="L2" t="s">
        <v>49</v>
      </c>
      <c r="M2" t="s">
        <v>50</v>
      </c>
      <c r="O2" t="s">
        <v>48</v>
      </c>
      <c r="P2" t="s">
        <v>49</v>
      </c>
      <c r="Q2" t="s">
        <v>50</v>
      </c>
      <c r="T2" t="s">
        <v>25</v>
      </c>
    </row>
    <row r="3" spans="2:20" x14ac:dyDescent="0.25">
      <c r="B3" t="s">
        <v>12</v>
      </c>
      <c r="C3" t="s">
        <v>13</v>
      </c>
      <c r="D3">
        <v>24</v>
      </c>
      <c r="E3">
        <v>116</v>
      </c>
      <c r="F3" s="3">
        <v>39.775852379323055</v>
      </c>
      <c r="H3" s="4">
        <v>3898490.2039999999</v>
      </c>
      <c r="I3" s="4">
        <v>4325071.2419999996</v>
      </c>
      <c r="J3" s="4">
        <v>4252410.17</v>
      </c>
      <c r="L3" s="4">
        <v>993823.18699999992</v>
      </c>
      <c r="M3" s="4">
        <v>1066484.2590000001</v>
      </c>
      <c r="O3" s="4">
        <v>4774385</v>
      </c>
      <c r="P3" s="4">
        <v>1107660</v>
      </c>
      <c r="Q3" s="4">
        <v>1221720</v>
      </c>
      <c r="T3" t="s">
        <v>59</v>
      </c>
    </row>
    <row r="4" spans="2:20" x14ac:dyDescent="0.25">
      <c r="B4" t="s">
        <v>12</v>
      </c>
      <c r="C4" t="s">
        <v>14</v>
      </c>
      <c r="D4">
        <v>36</v>
      </c>
      <c r="E4">
        <v>117</v>
      </c>
      <c r="F4" s="3">
        <v>30.880153762112659</v>
      </c>
      <c r="H4" s="4">
        <v>10120084.022999998</v>
      </c>
      <c r="I4" s="4">
        <v>11095241.525</v>
      </c>
      <c r="J4" s="4">
        <v>11039222.810000001</v>
      </c>
      <c r="L4" s="4">
        <v>2494663.594</v>
      </c>
      <c r="M4" s="4">
        <v>2550682.3089999999</v>
      </c>
      <c r="O4" s="4">
        <v>16208118</v>
      </c>
      <c r="P4" s="4">
        <v>4220996</v>
      </c>
      <c r="Q4" s="4">
        <v>4001144</v>
      </c>
      <c r="T4" t="s">
        <v>60</v>
      </c>
    </row>
    <row r="5" spans="2:20" x14ac:dyDescent="0.25">
      <c r="B5" t="s">
        <v>12</v>
      </c>
      <c r="C5" t="s">
        <v>15</v>
      </c>
      <c r="D5">
        <v>20</v>
      </c>
      <c r="E5">
        <v>102</v>
      </c>
      <c r="F5" s="3">
        <v>26.415966518519792</v>
      </c>
      <c r="H5" s="4">
        <v>11508774.479000002</v>
      </c>
      <c r="I5" s="4">
        <v>14305284.638999999</v>
      </c>
      <c r="J5" s="4">
        <v>13455663.807</v>
      </c>
      <c r="L5" s="4">
        <v>2792373.7710000002</v>
      </c>
      <c r="M5" s="4">
        <v>3641994.6029999997</v>
      </c>
      <c r="O5" s="4">
        <v>11718064</v>
      </c>
      <c r="P5" s="4">
        <v>2489089</v>
      </c>
      <c r="Q5" s="4">
        <v>3707611</v>
      </c>
      <c r="T5" t="s">
        <v>62</v>
      </c>
    </row>
    <row r="6" spans="2:20" x14ac:dyDescent="0.25">
      <c r="B6" t="s">
        <v>12</v>
      </c>
      <c r="C6" t="s">
        <v>16</v>
      </c>
      <c r="D6">
        <v>29</v>
      </c>
      <c r="E6">
        <v>127</v>
      </c>
      <c r="F6" s="3">
        <v>28.2555412866942</v>
      </c>
      <c r="H6" s="4">
        <v>8367386.2200000007</v>
      </c>
      <c r="I6" s="4">
        <v>9497126.745000001</v>
      </c>
      <c r="J6" s="4">
        <v>9581821.1680000015</v>
      </c>
      <c r="L6" s="4">
        <v>2396775.8770000003</v>
      </c>
      <c r="M6" s="4">
        <v>2312081.4539999999</v>
      </c>
      <c r="O6" s="4">
        <v>14525525</v>
      </c>
      <c r="P6" s="4">
        <v>3782583</v>
      </c>
      <c r="Q6" s="4">
        <v>4363316</v>
      </c>
      <c r="T6" t="s">
        <v>61</v>
      </c>
    </row>
    <row r="7" spans="2:20" x14ac:dyDescent="0.25">
      <c r="B7" t="s">
        <v>12</v>
      </c>
      <c r="C7" t="s">
        <v>17</v>
      </c>
      <c r="D7">
        <v>39</v>
      </c>
      <c r="E7">
        <v>152</v>
      </c>
      <c r="F7" s="3">
        <v>26.932342207540607</v>
      </c>
      <c r="H7" s="4">
        <v>8286971.7679999992</v>
      </c>
      <c r="I7" s="4">
        <v>8297746.3550000004</v>
      </c>
      <c r="J7" s="4">
        <v>8266691.1839999994</v>
      </c>
      <c r="L7" s="4">
        <v>2031038.165</v>
      </c>
      <c r="M7" s="4">
        <v>2062093.3360000001</v>
      </c>
      <c r="O7" s="4">
        <v>10107608</v>
      </c>
      <c r="P7" s="4">
        <v>2598823</v>
      </c>
      <c r="Q7" s="4">
        <v>2652625</v>
      </c>
      <c r="T7" t="s">
        <v>17</v>
      </c>
    </row>
    <row r="8" spans="2:20" x14ac:dyDescent="0.25">
      <c r="B8" t="s">
        <v>12</v>
      </c>
      <c r="C8" t="s">
        <v>18</v>
      </c>
      <c r="D8">
        <v>20</v>
      </c>
      <c r="E8">
        <v>151</v>
      </c>
      <c r="F8" s="3">
        <v>17.05862825600072</v>
      </c>
      <c r="H8" s="4">
        <v>5934597.0309999995</v>
      </c>
      <c r="I8" s="4">
        <v>6849851.0850000009</v>
      </c>
      <c r="J8" s="4">
        <v>7137547.1200000001</v>
      </c>
      <c r="L8" s="4">
        <v>1702261.4990000003</v>
      </c>
      <c r="M8" s="4">
        <v>1414565.4640000002</v>
      </c>
      <c r="O8" s="4">
        <v>8347335</v>
      </c>
      <c r="P8" s="4">
        <v>2201188</v>
      </c>
      <c r="Q8" s="4">
        <v>2000376</v>
      </c>
      <c r="T8" t="s">
        <v>18</v>
      </c>
    </row>
    <row r="9" spans="2:20" x14ac:dyDescent="0.25">
      <c r="B9" t="s">
        <v>12</v>
      </c>
      <c r="C9" t="s">
        <v>19</v>
      </c>
      <c r="D9">
        <v>33</v>
      </c>
      <c r="E9">
        <v>192</v>
      </c>
      <c r="F9" s="3">
        <v>18.925041170451312</v>
      </c>
      <c r="H9" s="4">
        <v>3149478.9410000001</v>
      </c>
      <c r="I9" s="4">
        <v>3347207.9240000001</v>
      </c>
      <c r="J9" s="4">
        <v>3395103.8459999999</v>
      </c>
      <c r="L9" s="4">
        <v>797717.54200000002</v>
      </c>
      <c r="M9" s="4">
        <v>749821.62</v>
      </c>
      <c r="O9" s="4">
        <v>3516607</v>
      </c>
      <c r="P9" s="4">
        <v>822421</v>
      </c>
      <c r="Q9" s="4">
        <v>736127</v>
      </c>
      <c r="T9" t="s">
        <v>63</v>
      </c>
    </row>
    <row r="10" spans="2:20" x14ac:dyDescent="0.25">
      <c r="B10" t="s">
        <v>12</v>
      </c>
      <c r="C10" t="s">
        <v>20</v>
      </c>
      <c r="D10">
        <v>17</v>
      </c>
      <c r="E10">
        <v>200</v>
      </c>
      <c r="F10" s="3">
        <v>15.183203044049282</v>
      </c>
      <c r="H10" s="4">
        <v>5140378.0319999997</v>
      </c>
      <c r="I10" s="4">
        <v>5475616.095999999</v>
      </c>
      <c r="J10" s="4">
        <v>5420538.5599999996</v>
      </c>
      <c r="L10" s="4">
        <v>1226805.6629999999</v>
      </c>
      <c r="M10" s="4">
        <v>1281883.1989999998</v>
      </c>
      <c r="O10" s="4">
        <v>9520310</v>
      </c>
      <c r="P10" s="4">
        <v>2509812</v>
      </c>
      <c r="Q10" s="4">
        <v>2350216</v>
      </c>
      <c r="T10" t="s">
        <v>64</v>
      </c>
    </row>
    <row r="11" spans="2:20" x14ac:dyDescent="0.25">
      <c r="B11" t="s">
        <v>12</v>
      </c>
      <c r="C11" t="s">
        <v>21</v>
      </c>
      <c r="D11">
        <v>27</v>
      </c>
      <c r="E11">
        <v>198</v>
      </c>
      <c r="F11" s="3">
        <v>14.322983319748673</v>
      </c>
      <c r="H11" s="4">
        <v>2344304.0870000003</v>
      </c>
      <c r="I11" s="4">
        <v>3273786.5359999998</v>
      </c>
      <c r="J11" s="4">
        <v>3011422.298</v>
      </c>
      <c r="L11" s="4">
        <v>602088.58899999992</v>
      </c>
      <c r="M11" s="4">
        <v>864452.82700000005</v>
      </c>
      <c r="O11" s="4">
        <v>3177242</v>
      </c>
      <c r="P11" s="4">
        <v>624933</v>
      </c>
      <c r="Q11" s="4">
        <v>891506</v>
      </c>
      <c r="T11" t="s">
        <v>22</v>
      </c>
    </row>
    <row r="12" spans="2:20" x14ac:dyDescent="0.25">
      <c r="B12" t="s">
        <v>12</v>
      </c>
      <c r="C12" t="s">
        <v>22</v>
      </c>
      <c r="D12">
        <v>0</v>
      </c>
      <c r="E12">
        <v>234</v>
      </c>
      <c r="F12" s="3">
        <v>15.447497661365762</v>
      </c>
      <c r="H12" s="4">
        <v>775583.64099999995</v>
      </c>
      <c r="I12" s="4">
        <v>312239.31300000002</v>
      </c>
      <c r="J12" s="4">
        <v>536734.15599999996</v>
      </c>
      <c r="L12" s="4">
        <v>226434.24799999999</v>
      </c>
      <c r="M12" s="4">
        <v>1939.4049999999997</v>
      </c>
      <c r="O12" s="4">
        <v>445675</v>
      </c>
      <c r="P12" s="4">
        <v>202861</v>
      </c>
      <c r="Q12" s="4">
        <v>0</v>
      </c>
      <c r="T12" t="s">
        <v>70</v>
      </c>
    </row>
    <row r="13" spans="2:20" x14ac:dyDescent="0.25">
      <c r="B13" t="s">
        <v>12</v>
      </c>
      <c r="C13" t="s">
        <v>23</v>
      </c>
      <c r="D13">
        <v>46</v>
      </c>
      <c r="E13">
        <v>199</v>
      </c>
      <c r="F13" s="3">
        <v>11.83129331148055</v>
      </c>
      <c r="H13" s="4">
        <v>26457105.334999993</v>
      </c>
      <c r="I13" s="4">
        <v>24167270.441</v>
      </c>
      <c r="J13" s="4">
        <v>25848558.077999998</v>
      </c>
      <c r="L13" s="4">
        <v>6622027.5729999999</v>
      </c>
      <c r="M13" s="4">
        <v>4940739.9360000007</v>
      </c>
      <c r="O13" s="4">
        <v>49250215</v>
      </c>
      <c r="P13" s="4">
        <v>14500641</v>
      </c>
      <c r="Q13" s="4">
        <v>9611203</v>
      </c>
      <c r="T13" t="s">
        <v>65</v>
      </c>
    </row>
    <row r="14" spans="2:20" x14ac:dyDescent="0.25">
      <c r="B14" t="s">
        <v>12</v>
      </c>
      <c r="C14" t="s">
        <v>24</v>
      </c>
      <c r="D14">
        <v>40</v>
      </c>
      <c r="E14">
        <v>267</v>
      </c>
      <c r="F14" s="3">
        <v>14.123777398502911</v>
      </c>
      <c r="H14" s="4">
        <v>1623603.8160000001</v>
      </c>
      <c r="I14" s="4">
        <v>1502639.1359999997</v>
      </c>
      <c r="J14" s="4">
        <v>1490341.3349999997</v>
      </c>
      <c r="L14" s="4">
        <v>347914.67100000003</v>
      </c>
      <c r="M14" s="4">
        <v>360212.47200000001</v>
      </c>
      <c r="O14" s="4">
        <v>2691868</v>
      </c>
      <c r="P14" s="4">
        <v>627940</v>
      </c>
      <c r="Q14" s="4">
        <v>572778</v>
      </c>
      <c r="T14" t="s">
        <v>66</v>
      </c>
    </row>
    <row r="15" spans="2:20" x14ac:dyDescent="0.25">
      <c r="T15" t="s">
        <v>35</v>
      </c>
    </row>
    <row r="16" spans="2:20" x14ac:dyDescent="0.25">
      <c r="T16" t="s">
        <v>36</v>
      </c>
    </row>
    <row r="17" spans="2:20" x14ac:dyDescent="0.25">
      <c r="B17" t="s">
        <v>52</v>
      </c>
      <c r="C17" t="s">
        <v>25</v>
      </c>
      <c r="D17" t="s">
        <v>26</v>
      </c>
      <c r="E17" t="s">
        <v>27</v>
      </c>
      <c r="F17" t="s">
        <v>28</v>
      </c>
      <c r="H17" t="s">
        <v>47</v>
      </c>
      <c r="I17" t="s">
        <v>5</v>
      </c>
      <c r="J17" t="s">
        <v>48</v>
      </c>
      <c r="L17" t="s">
        <v>49</v>
      </c>
      <c r="M17" t="s">
        <v>50</v>
      </c>
      <c r="O17" t="s">
        <v>48</v>
      </c>
      <c r="P17" t="s">
        <v>49</v>
      </c>
      <c r="Q17" t="s">
        <v>50</v>
      </c>
      <c r="T17" t="s">
        <v>37</v>
      </c>
    </row>
    <row r="18" spans="2:20" x14ac:dyDescent="0.25">
      <c r="B18" t="s">
        <v>30</v>
      </c>
      <c r="C18" t="s">
        <v>31</v>
      </c>
      <c r="D18">
        <v>31</v>
      </c>
      <c r="E18">
        <v>113</v>
      </c>
      <c r="F18" s="3">
        <v>28.926823216031032</v>
      </c>
      <c r="H18" s="4">
        <v>2464342.3930000002</v>
      </c>
      <c r="I18" s="4">
        <v>3036107.2609999999</v>
      </c>
      <c r="J18" s="4">
        <v>2957035.423</v>
      </c>
      <c r="L18" s="4">
        <v>673092.23499999999</v>
      </c>
      <c r="M18" s="4">
        <v>752164.07299999997</v>
      </c>
      <c r="O18" s="4">
        <v>3168921</v>
      </c>
      <c r="P18" s="4">
        <v>729487</v>
      </c>
      <c r="Q18" s="4">
        <v>848779</v>
      </c>
      <c r="T18" t="s">
        <v>39</v>
      </c>
    </row>
    <row r="19" spans="2:20" x14ac:dyDescent="0.25">
      <c r="B19" t="s">
        <v>30</v>
      </c>
      <c r="C19" t="s">
        <v>32</v>
      </c>
      <c r="D19">
        <v>32</v>
      </c>
      <c r="E19">
        <v>191</v>
      </c>
      <c r="F19" s="3">
        <v>18.4945796448972</v>
      </c>
      <c r="H19" s="4">
        <v>1582236.2390000001</v>
      </c>
      <c r="I19" s="4">
        <v>1543478.7700000003</v>
      </c>
      <c r="J19" s="4">
        <v>1580590.0789999997</v>
      </c>
      <c r="L19" s="4">
        <v>403682.69699999999</v>
      </c>
      <c r="M19" s="4">
        <v>366571.38799999998</v>
      </c>
      <c r="O19" s="4">
        <v>1593815</v>
      </c>
      <c r="P19" s="4">
        <v>399379</v>
      </c>
      <c r="Q19" s="4">
        <v>370141</v>
      </c>
      <c r="T19" t="s">
        <v>42</v>
      </c>
    </row>
    <row r="20" spans="2:20" x14ac:dyDescent="0.25">
      <c r="B20" t="s">
        <v>30</v>
      </c>
      <c r="C20" t="s">
        <v>33</v>
      </c>
      <c r="D20">
        <v>19</v>
      </c>
      <c r="E20">
        <v>182</v>
      </c>
      <c r="F20" s="3">
        <v>14.13137292017319</v>
      </c>
      <c r="H20" s="4">
        <v>132214.51199999999</v>
      </c>
      <c r="I20" s="4">
        <v>655104.39199999999</v>
      </c>
      <c r="J20" s="4">
        <v>661078.48200000008</v>
      </c>
      <c r="L20" s="4">
        <v>132214.51199999999</v>
      </c>
      <c r="M20" s="4">
        <v>126240.42200000001</v>
      </c>
      <c r="O20" s="4">
        <v>692173</v>
      </c>
      <c r="P20" s="4">
        <v>162542</v>
      </c>
      <c r="Q20" s="4">
        <v>128209</v>
      </c>
      <c r="T20" t="s">
        <v>67</v>
      </c>
    </row>
    <row r="21" spans="2:20" x14ac:dyDescent="0.25">
      <c r="B21" t="s">
        <v>30</v>
      </c>
      <c r="C21" t="s">
        <v>34</v>
      </c>
      <c r="D21">
        <v>0</v>
      </c>
      <c r="E21">
        <v>242</v>
      </c>
      <c r="F21" s="3">
        <v>15.976377952755904</v>
      </c>
      <c r="H21" s="4">
        <v>162384.21100000001</v>
      </c>
      <c r="I21" s="4">
        <v>107767.31500000002</v>
      </c>
      <c r="J21" s="4">
        <v>193240.16799999998</v>
      </c>
      <c r="L21" s="4">
        <v>85720.097999999998</v>
      </c>
      <c r="M21" s="4">
        <v>247.245</v>
      </c>
      <c r="O21" s="4">
        <v>163962</v>
      </c>
      <c r="P21" s="4">
        <v>71400</v>
      </c>
      <c r="Q21" s="4">
        <v>0</v>
      </c>
      <c r="T21" t="s">
        <v>68</v>
      </c>
    </row>
    <row r="22" spans="2:20" x14ac:dyDescent="0.25">
      <c r="B22" t="s">
        <v>30</v>
      </c>
      <c r="C22" t="s">
        <v>46</v>
      </c>
      <c r="D22">
        <v>7</v>
      </c>
      <c r="E22">
        <v>190</v>
      </c>
      <c r="F22" s="3">
        <v>10.077486339993728</v>
      </c>
      <c r="H22" s="4">
        <v>67426.997999999992</v>
      </c>
      <c r="I22" s="4">
        <v>510963.37200000003</v>
      </c>
      <c r="J22" s="4">
        <v>400215.82199999993</v>
      </c>
      <c r="L22" s="4">
        <v>50372.201999999997</v>
      </c>
      <c r="M22" s="4">
        <v>161119.75200000001</v>
      </c>
      <c r="O22" s="4">
        <v>657271</v>
      </c>
      <c r="P22" s="4">
        <v>105358</v>
      </c>
      <c r="Q22" s="4">
        <v>217857</v>
      </c>
      <c r="T22" t="s">
        <v>69</v>
      </c>
    </row>
    <row r="23" spans="2:20" x14ac:dyDescent="0.25">
      <c r="B23" t="s">
        <v>30</v>
      </c>
      <c r="C23" t="s">
        <v>35</v>
      </c>
      <c r="D23">
        <v>16</v>
      </c>
      <c r="E23">
        <v>250</v>
      </c>
      <c r="F23" s="3">
        <v>15.967553528361877</v>
      </c>
      <c r="H23" s="4">
        <v>1.0649999999999999</v>
      </c>
      <c r="I23" s="4">
        <v>131112.40099999998</v>
      </c>
      <c r="J23" s="4">
        <v>78095.377999999997</v>
      </c>
      <c r="L23" s="4">
        <v>0</v>
      </c>
      <c r="M23" s="4">
        <v>53017.023000000001</v>
      </c>
      <c r="O23" s="4">
        <v>98989</v>
      </c>
      <c r="P23" s="4">
        <v>0</v>
      </c>
      <c r="Q23" s="4">
        <v>65523</v>
      </c>
    </row>
    <row r="24" spans="2:20" x14ac:dyDescent="0.25">
      <c r="B24" t="s">
        <v>30</v>
      </c>
      <c r="C24" t="s">
        <v>36</v>
      </c>
      <c r="D24">
        <v>30</v>
      </c>
      <c r="E24">
        <v>257</v>
      </c>
      <c r="F24" s="3">
        <v>14.626126006371658</v>
      </c>
      <c r="H24" s="4">
        <v>610038.41500000004</v>
      </c>
      <c r="I24" s="4">
        <v>793597.89099999983</v>
      </c>
      <c r="J24" s="4">
        <v>839182.14699999988</v>
      </c>
      <c r="L24" s="4">
        <v>201089.79599999997</v>
      </c>
      <c r="M24" s="4">
        <v>155505.54</v>
      </c>
      <c r="O24" s="4">
        <v>1025372</v>
      </c>
      <c r="P24" s="4">
        <v>309877</v>
      </c>
      <c r="Q24" s="4">
        <v>171104</v>
      </c>
    </row>
    <row r="25" spans="2:20" x14ac:dyDescent="0.25">
      <c r="B25" t="s">
        <v>30</v>
      </c>
      <c r="C25" t="s">
        <v>37</v>
      </c>
      <c r="D25">
        <v>2</v>
      </c>
      <c r="E25">
        <v>235</v>
      </c>
      <c r="F25" s="3">
        <v>10.367940728580532</v>
      </c>
      <c r="H25" s="4">
        <v>85225.682000000015</v>
      </c>
      <c r="I25" s="4">
        <v>116644.56600000002</v>
      </c>
      <c r="J25" s="4">
        <v>150055.63500000001</v>
      </c>
      <c r="L25" s="4">
        <v>52777.206000000006</v>
      </c>
      <c r="M25" s="4">
        <v>19366.137000000002</v>
      </c>
      <c r="O25" s="4">
        <v>167140</v>
      </c>
      <c r="P25" s="4">
        <v>51871</v>
      </c>
      <c r="Q25" s="4">
        <v>4085</v>
      </c>
    </row>
    <row r="28" spans="2:20" x14ac:dyDescent="0.25">
      <c r="B28" t="s">
        <v>52</v>
      </c>
      <c r="C28" t="s">
        <v>25</v>
      </c>
      <c r="D28" t="s">
        <v>26</v>
      </c>
      <c r="E28" t="s">
        <v>27</v>
      </c>
      <c r="F28" t="s">
        <v>28</v>
      </c>
      <c r="H28" t="s">
        <v>47</v>
      </c>
      <c r="I28" t="s">
        <v>5</v>
      </c>
      <c r="J28" t="s">
        <v>48</v>
      </c>
      <c r="L28" t="s">
        <v>49</v>
      </c>
      <c r="M28" t="s">
        <v>50</v>
      </c>
      <c r="O28" t="s">
        <v>48</v>
      </c>
      <c r="P28" t="s">
        <v>49</v>
      </c>
      <c r="Q28" t="s">
        <v>50</v>
      </c>
    </row>
    <row r="29" spans="2:20" x14ac:dyDescent="0.25">
      <c r="B29" t="s">
        <v>38</v>
      </c>
      <c r="C29" t="s">
        <v>39</v>
      </c>
      <c r="D29">
        <v>0</v>
      </c>
      <c r="E29">
        <v>0</v>
      </c>
      <c r="F29" s="3">
        <v>0</v>
      </c>
      <c r="H29" s="4">
        <v>770673.91700000002</v>
      </c>
      <c r="I29" s="4">
        <v>5005.5369999999994</v>
      </c>
      <c r="J29" s="4">
        <v>121096.572</v>
      </c>
      <c r="L29" s="4">
        <v>116091.035</v>
      </c>
      <c r="M29" s="4">
        <v>0</v>
      </c>
      <c r="O29" s="4">
        <v>52029</v>
      </c>
      <c r="P29" s="4">
        <v>52029</v>
      </c>
      <c r="Q29" s="4">
        <v>0</v>
      </c>
    </row>
    <row r="30" spans="2:20" x14ac:dyDescent="0.25">
      <c r="B30" t="s">
        <v>38</v>
      </c>
      <c r="C30" t="s">
        <v>40</v>
      </c>
      <c r="D30">
        <v>12</v>
      </c>
      <c r="E30">
        <v>115</v>
      </c>
      <c r="F30" s="3">
        <v>29.479149059948661</v>
      </c>
      <c r="H30" s="4">
        <v>139811.568</v>
      </c>
      <c r="I30" s="4">
        <v>510225.85599999997</v>
      </c>
      <c r="J30" s="4">
        <v>457968.50900000002</v>
      </c>
      <c r="L30" s="4">
        <v>82633.327000000005</v>
      </c>
      <c r="M30" s="4">
        <v>134890.674</v>
      </c>
      <c r="O30" s="4">
        <v>864022</v>
      </c>
      <c r="P30" s="4">
        <v>207641</v>
      </c>
      <c r="Q30" s="4">
        <v>447235</v>
      </c>
    </row>
    <row r="31" spans="2:20" x14ac:dyDescent="0.25">
      <c r="B31" t="s">
        <v>38</v>
      </c>
      <c r="C31" t="s">
        <v>41</v>
      </c>
      <c r="D31">
        <v>0</v>
      </c>
      <c r="E31">
        <v>133</v>
      </c>
      <c r="F31" s="3">
        <v>29.542317471848889</v>
      </c>
      <c r="H31" s="4">
        <v>633598.47500000009</v>
      </c>
      <c r="I31" s="4">
        <v>237440.375</v>
      </c>
      <c r="J31" s="4">
        <v>387926.43799999997</v>
      </c>
      <c r="L31" s="4">
        <v>153136.44399999999</v>
      </c>
      <c r="M31" s="4">
        <v>2650.3809999999999</v>
      </c>
      <c r="O31" s="4">
        <v>459199</v>
      </c>
      <c r="P31" s="4">
        <v>189753</v>
      </c>
      <c r="Q31" s="4">
        <v>0</v>
      </c>
    </row>
    <row r="32" spans="2:20" x14ac:dyDescent="0.25">
      <c r="B32" t="s">
        <v>38</v>
      </c>
      <c r="C32" t="s">
        <v>42</v>
      </c>
      <c r="D32">
        <v>1</v>
      </c>
      <c r="E32">
        <v>151</v>
      </c>
      <c r="F32" s="3">
        <v>14.302068492427839</v>
      </c>
      <c r="H32" s="4">
        <v>13489.338</v>
      </c>
      <c r="I32" s="4">
        <v>137910.24299999999</v>
      </c>
      <c r="J32" s="4">
        <v>132502.802</v>
      </c>
      <c r="L32" s="4">
        <v>13489.338</v>
      </c>
      <c r="M32" s="4">
        <v>18896.779000000002</v>
      </c>
      <c r="O32" s="4">
        <v>176060</v>
      </c>
      <c r="P32" s="4">
        <v>38538</v>
      </c>
      <c r="Q32" s="4">
        <v>19998</v>
      </c>
    </row>
    <row r="33" spans="2:17" x14ac:dyDescent="0.25">
      <c r="B33" t="s">
        <v>38</v>
      </c>
      <c r="C33" t="s">
        <v>43</v>
      </c>
      <c r="D33">
        <v>21</v>
      </c>
      <c r="E33">
        <v>184</v>
      </c>
      <c r="F33" s="3">
        <v>14.132208560096787</v>
      </c>
      <c r="H33" s="4">
        <v>730060.01300000004</v>
      </c>
      <c r="I33" s="4">
        <v>605768.48499999999</v>
      </c>
      <c r="J33" s="4">
        <v>648416.72399999993</v>
      </c>
      <c r="L33" s="4">
        <v>178512.38500000001</v>
      </c>
      <c r="M33" s="4">
        <v>135864.14600000001</v>
      </c>
      <c r="O33" s="4">
        <v>655390</v>
      </c>
      <c r="P33" s="4">
        <v>199622</v>
      </c>
      <c r="Q33" s="4">
        <v>149101</v>
      </c>
    </row>
    <row r="34" spans="2:17" x14ac:dyDescent="0.25">
      <c r="B34" t="s">
        <v>38</v>
      </c>
      <c r="C34" t="s">
        <v>44</v>
      </c>
      <c r="D34">
        <v>22</v>
      </c>
      <c r="E34">
        <v>172</v>
      </c>
      <c r="F34" s="3">
        <v>10.486109047737465</v>
      </c>
      <c r="H34" s="4">
        <v>2281797.6439999999</v>
      </c>
      <c r="I34" s="4">
        <v>2805392.5339999995</v>
      </c>
      <c r="J34" s="4">
        <v>2535643.5829999996</v>
      </c>
      <c r="L34" s="4">
        <v>607241.17100000009</v>
      </c>
      <c r="M34" s="4">
        <v>876990.12200000009</v>
      </c>
      <c r="O34" s="4">
        <v>3445036</v>
      </c>
      <c r="P34" s="4">
        <v>797784</v>
      </c>
      <c r="Q34" s="4">
        <v>1446738</v>
      </c>
    </row>
    <row r="35" spans="2:17" x14ac:dyDescent="0.25">
      <c r="B35" t="s">
        <v>38</v>
      </c>
      <c r="C35" t="s">
        <v>45</v>
      </c>
      <c r="D35">
        <v>5</v>
      </c>
      <c r="E35">
        <v>190</v>
      </c>
      <c r="F35" s="3">
        <v>10.029355963188261</v>
      </c>
      <c r="H35" s="4">
        <v>597785.36400000006</v>
      </c>
      <c r="I35" s="4">
        <v>721568.63899999973</v>
      </c>
      <c r="J35" s="4">
        <v>779404.61099999968</v>
      </c>
      <c r="L35" s="4">
        <v>186840.57799999998</v>
      </c>
      <c r="M35" s="4">
        <v>129004.60600000001</v>
      </c>
      <c r="O35" s="4">
        <v>1001763</v>
      </c>
      <c r="P35" s="4">
        <v>333403</v>
      </c>
      <c r="Q35" s="4">
        <v>45609</v>
      </c>
    </row>
    <row r="36" spans="2:17" x14ac:dyDescent="0.25">
      <c r="B36" t="s">
        <v>38</v>
      </c>
      <c r="C36" t="s">
        <v>36</v>
      </c>
      <c r="D36">
        <v>3</v>
      </c>
      <c r="E36">
        <v>240</v>
      </c>
      <c r="F36" s="3">
        <v>12.524858109043448</v>
      </c>
      <c r="H36" s="4">
        <v>168819.78899999999</v>
      </c>
      <c r="I36" s="4">
        <v>122616.67900000002</v>
      </c>
      <c r="J36" s="4">
        <v>143418.58200000002</v>
      </c>
      <c r="L36" s="4">
        <v>40133.499000000003</v>
      </c>
      <c r="M36" s="4">
        <v>19331.596000000001</v>
      </c>
      <c r="O36" s="4">
        <v>203932</v>
      </c>
      <c r="P36" s="4">
        <v>54124</v>
      </c>
      <c r="Q36" s="4">
        <v>1538</v>
      </c>
    </row>
  </sheetData>
  <mergeCells count="2">
    <mergeCell ref="D1:F1"/>
    <mergeCell ref="O1:Q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B535-B59C-4736-A329-06A303850E6F}">
  <sheetPr codeName="Sheet5"/>
  <dimension ref="A1:IR296"/>
  <sheetViews>
    <sheetView topLeftCell="G152" zoomScale="80" zoomScaleNormal="80" workbookViewId="0">
      <selection activeCell="J176" sqref="J176:L176"/>
    </sheetView>
  </sheetViews>
  <sheetFormatPr defaultRowHeight="15" x14ac:dyDescent="0.25"/>
  <cols>
    <col min="2" max="2" width="12.85546875" customWidth="1"/>
    <col min="3" max="3" width="15.42578125" customWidth="1"/>
    <col min="4" max="4" width="13.42578125" customWidth="1"/>
    <col min="5" max="5" width="19.7109375" customWidth="1"/>
    <col min="7" max="7" width="18.7109375" bestFit="1" customWidth="1"/>
    <col min="8" max="8" width="17.28515625" customWidth="1"/>
    <col min="9" max="9" width="15.140625" bestFit="1" customWidth="1"/>
    <col min="10" max="10" width="17.28515625" customWidth="1"/>
    <col min="11" max="11" width="16.42578125" bestFit="1" customWidth="1"/>
    <col min="12" max="12" width="22.28515625" customWidth="1"/>
    <col min="13" max="13" width="21.42578125" customWidth="1"/>
    <col min="14" max="14" width="20.42578125" customWidth="1"/>
    <col min="15" max="15" width="18.85546875" bestFit="1" customWidth="1"/>
    <col min="16" max="16" width="17.28515625" customWidth="1"/>
    <col min="17" max="17" width="17" customWidth="1"/>
    <col min="18" max="18" width="15.85546875" customWidth="1"/>
    <col min="19" max="19" width="13.85546875" bestFit="1" customWidth="1"/>
    <col min="20" max="20" width="15.140625" bestFit="1" customWidth="1"/>
    <col min="22" max="22" width="22.5703125" customWidth="1"/>
    <col min="23" max="23" width="13.5703125" bestFit="1" customWidth="1"/>
    <col min="24" max="24" width="31.5703125" customWidth="1"/>
    <col min="25" max="25" width="12.28515625" customWidth="1"/>
    <col min="26" max="26" width="16.7109375" bestFit="1" customWidth="1"/>
    <col min="27" max="27" width="11.140625" customWidth="1"/>
    <col min="28" max="28" width="33.28515625" customWidth="1"/>
    <col min="29" max="29" width="30.140625" customWidth="1"/>
    <col min="30" max="30" width="17" bestFit="1" customWidth="1"/>
    <col min="31" max="31" width="21.7109375" bestFit="1" customWidth="1"/>
    <col min="32" max="32" width="27.5703125" customWidth="1"/>
    <col min="36" max="36" width="20.42578125" customWidth="1"/>
    <col min="37" max="37" width="15.28515625" bestFit="1" customWidth="1"/>
    <col min="38" max="38" width="9.28515625" bestFit="1" customWidth="1"/>
    <col min="49" max="49" width="13.28515625" bestFit="1" customWidth="1"/>
    <col min="50" max="53" width="14.28515625" bestFit="1" customWidth="1"/>
    <col min="54" max="56" width="13.28515625" bestFit="1" customWidth="1"/>
    <col min="57" max="57" width="9.42578125" bestFit="1" customWidth="1"/>
    <col min="58" max="58" width="14.28515625" bestFit="1" customWidth="1"/>
    <col min="59" max="59" width="13.28515625" bestFit="1" customWidth="1"/>
    <col min="60" max="61" width="11.5703125" bestFit="1" customWidth="1"/>
    <col min="62" max="62" width="13.28515625" bestFit="1" customWidth="1"/>
    <col min="63" max="63" width="10.5703125" bestFit="1" customWidth="1"/>
    <col min="64" max="64" width="9.42578125" bestFit="1" customWidth="1"/>
    <col min="65" max="65" width="10.5703125" bestFit="1" customWidth="1"/>
    <col min="66" max="66" width="11.5703125" bestFit="1" customWidth="1"/>
    <col min="67" max="67" width="13.28515625" bestFit="1" customWidth="1"/>
    <col min="68" max="68" width="11.5703125" bestFit="1" customWidth="1"/>
    <col min="69" max="69" width="12.28515625" bestFit="1" customWidth="1"/>
    <col min="70" max="72" width="13.85546875" bestFit="1" customWidth="1"/>
    <col min="73" max="76" width="12.28515625" bestFit="1" customWidth="1"/>
    <col min="77" max="77" width="9.28515625" bestFit="1" customWidth="1"/>
    <col min="78" max="78" width="13.85546875" bestFit="1" customWidth="1"/>
    <col min="79" max="80" width="12.28515625" bestFit="1" customWidth="1"/>
    <col min="81" max="81" width="11.28515625" bestFit="1" customWidth="1"/>
    <col min="82" max="82" width="12.28515625" bestFit="1" customWidth="1"/>
    <col min="83" max="83" width="10.140625" bestFit="1" customWidth="1"/>
    <col min="84" max="84" width="9.28515625" bestFit="1" customWidth="1"/>
    <col min="85" max="85" width="10.140625" bestFit="1" customWidth="1"/>
    <col min="86" max="86" width="11.28515625" bestFit="1" customWidth="1"/>
    <col min="87" max="87" width="17.140625" customWidth="1"/>
    <col min="88" max="88" width="11.28515625" bestFit="1" customWidth="1"/>
    <col min="89" max="91" width="11.42578125" bestFit="1" customWidth="1"/>
    <col min="92" max="92" width="10.7109375" bestFit="1" customWidth="1"/>
    <col min="93" max="95" width="11.42578125" bestFit="1" customWidth="1"/>
    <col min="96" max="96" width="10.7109375" bestFit="1" customWidth="1"/>
    <col min="98" max="98" width="11.42578125" bestFit="1" customWidth="1"/>
    <col min="99" max="101" width="10.7109375" bestFit="1" customWidth="1"/>
    <col min="102" max="102" width="18.85546875" customWidth="1"/>
    <col min="103" max="103" width="10.7109375" bestFit="1" customWidth="1"/>
    <col min="105" max="108" width="10.7109375" bestFit="1" customWidth="1"/>
    <col min="111" max="111" width="25.140625" customWidth="1"/>
    <col min="149" max="149" width="14.85546875" bestFit="1" customWidth="1"/>
    <col min="150" max="152" width="15.85546875" bestFit="1" customWidth="1"/>
    <col min="153" max="153" width="15.140625" bestFit="1" customWidth="1"/>
    <col min="154" max="154" width="15.85546875" bestFit="1" customWidth="1"/>
    <col min="155" max="155" width="15.140625" bestFit="1" customWidth="1"/>
    <col min="156" max="156" width="13.85546875" bestFit="1" customWidth="1"/>
    <col min="157" max="157" width="9.28515625" bestFit="1" customWidth="1"/>
    <col min="158" max="158" width="15.85546875" bestFit="1" customWidth="1"/>
    <col min="159" max="159" width="14.85546875" bestFit="1" customWidth="1"/>
    <col min="160" max="160" width="13" bestFit="1" customWidth="1"/>
    <col min="161" max="161" width="9.28515625" bestFit="1" customWidth="1"/>
    <col min="162" max="162" width="15.85546875" bestFit="1" customWidth="1"/>
    <col min="163" max="163" width="12" bestFit="1" customWidth="1"/>
    <col min="164" max="164" width="9.28515625" bestFit="1" customWidth="1"/>
    <col min="165" max="165" width="18.140625" customWidth="1"/>
    <col min="166" max="166" width="13" bestFit="1" customWidth="1"/>
    <col min="167" max="167" width="15.85546875" bestFit="1" customWidth="1"/>
    <col min="168" max="168" width="13" bestFit="1" customWidth="1"/>
    <col min="169" max="169" width="19" customWidth="1"/>
    <col min="190" max="209" width="22.140625" customWidth="1"/>
    <col min="210" max="210" width="15.140625" customWidth="1"/>
  </cols>
  <sheetData>
    <row r="1" spans="7:108" ht="30" customHeight="1" thickBot="1" x14ac:dyDescent="0.3">
      <c r="G1" s="538" t="s">
        <v>200</v>
      </c>
      <c r="H1" s="36" t="s">
        <v>52</v>
      </c>
      <c r="I1" s="126" t="s">
        <v>59</v>
      </c>
      <c r="J1" s="127" t="s">
        <v>60</v>
      </c>
      <c r="K1" s="127" t="s">
        <v>62</v>
      </c>
      <c r="L1" s="127" t="s">
        <v>61</v>
      </c>
      <c r="M1" s="127" t="s">
        <v>17</v>
      </c>
      <c r="N1" s="127" t="s">
        <v>18</v>
      </c>
      <c r="O1" s="127" t="s">
        <v>63</v>
      </c>
      <c r="P1" s="127" t="s">
        <v>64</v>
      </c>
      <c r="Q1" s="127" t="s">
        <v>22</v>
      </c>
      <c r="R1" s="127" t="s">
        <v>70</v>
      </c>
      <c r="S1" s="127" t="s">
        <v>65</v>
      </c>
      <c r="T1" s="127" t="s">
        <v>66</v>
      </c>
      <c r="U1" s="127" t="s">
        <v>35</v>
      </c>
      <c r="V1" s="127" t="s">
        <v>36</v>
      </c>
      <c r="W1" s="127" t="s">
        <v>37</v>
      </c>
      <c r="X1" s="127" t="s">
        <v>39</v>
      </c>
      <c r="Y1" s="127" t="s">
        <v>42</v>
      </c>
      <c r="Z1" s="127" t="s">
        <v>67</v>
      </c>
      <c r="AA1" s="127" t="s">
        <v>68</v>
      </c>
      <c r="AB1" s="128" t="s">
        <v>69</v>
      </c>
      <c r="CI1" s="269" t="s">
        <v>221</v>
      </c>
      <c r="CJ1" s="267">
        <v>0</v>
      </c>
    </row>
    <row r="2" spans="7:108" ht="15" customHeight="1" x14ac:dyDescent="0.25">
      <c r="G2" s="538"/>
      <c r="H2" s="123" t="s">
        <v>12</v>
      </c>
      <c r="I2" s="131">
        <f>MIN(100,(1+'Thai input'!$E8)*I22)</f>
        <v>24.48</v>
      </c>
      <c r="J2" s="132">
        <f>MIN(100,(1+'Thai input'!$E8)*J22)</f>
        <v>36.72</v>
      </c>
      <c r="K2" s="132">
        <f>MIN(100,(1+'Thai input'!$E8)*K22)</f>
        <v>20.399999999999999</v>
      </c>
      <c r="L2" s="132">
        <f>MIN(100,(1+'Thai input'!$E8)*L22)</f>
        <v>29.580000000000002</v>
      </c>
      <c r="M2" s="132">
        <f>MIN(100,(1+'Thai input'!$E8)*M22)</f>
        <v>39.78</v>
      </c>
      <c r="N2" s="132">
        <f>MIN(100,(1+'Thai input'!$E8)*N22)</f>
        <v>20.399999999999999</v>
      </c>
      <c r="O2" s="132">
        <f>MIN(100,(1+'Thai input'!$E8)*O22)</f>
        <v>17.34</v>
      </c>
      <c r="P2" s="132">
        <f>MIN(100,(1+'Thai input'!$E8)*P22)</f>
        <v>27.54</v>
      </c>
      <c r="Q2" s="132">
        <f>MIN(100,(1+'Thai input'!$E8)*Q22)</f>
        <v>0</v>
      </c>
      <c r="R2" s="132">
        <f>MIN(100,(1+'Thai input'!$E8)*R22)</f>
        <v>46.92</v>
      </c>
      <c r="S2" s="132">
        <f>MIN(100,(1+'Thai input'!$E8)*S22)</f>
        <v>33.660000000000004</v>
      </c>
      <c r="T2" s="132">
        <f>MIN(100,(1+'Thai input'!$E8)*T22)</f>
        <v>0</v>
      </c>
      <c r="U2" s="132">
        <f>MIN(100,(1+'Thai input'!$E8)*U22)</f>
        <v>0</v>
      </c>
      <c r="V2" s="132">
        <f>MIN(100,(1+'Thai input'!$E8)*V22)</f>
        <v>40.799999999999997</v>
      </c>
      <c r="W2" s="132">
        <f>MIN(100,(1+'Thai input'!$E8)*W22)</f>
        <v>0</v>
      </c>
      <c r="X2" s="132">
        <f>MIN(100,(1+'Thai input'!$E8)*X22)</f>
        <v>0</v>
      </c>
      <c r="Y2" s="132">
        <f>MIN(100,(1+'Thai input'!$E8)*Y22)</f>
        <v>0</v>
      </c>
      <c r="Z2" s="132">
        <f>MIN(100,(1+'Thai input'!$E8)*Z22)</f>
        <v>0</v>
      </c>
      <c r="AA2" s="132">
        <f>MIN(100,(1+'Thai input'!$E8)*AA22)</f>
        <v>0</v>
      </c>
      <c r="AB2" s="141">
        <f>MIN(100,(1+'Thai input'!$E8)*AB22)</f>
        <v>0</v>
      </c>
      <c r="CK2" s="539" t="s">
        <v>219</v>
      </c>
      <c r="CL2" s="540"/>
      <c r="CM2" s="540"/>
      <c r="CN2" s="540"/>
      <c r="CO2" s="540"/>
      <c r="CP2" s="540"/>
      <c r="CQ2" s="540"/>
      <c r="CR2" s="540"/>
      <c r="CS2" s="540"/>
      <c r="CT2" s="540"/>
      <c r="CU2" s="540"/>
      <c r="CV2" s="540"/>
      <c r="CW2" s="540"/>
      <c r="CX2" s="540"/>
      <c r="CY2" s="540"/>
      <c r="CZ2" s="540"/>
      <c r="DA2" s="540"/>
      <c r="DB2" s="540"/>
      <c r="DC2" s="540"/>
      <c r="DD2" s="541"/>
    </row>
    <row r="3" spans="7:108" ht="15.75" thickBot="1" x14ac:dyDescent="0.3">
      <c r="G3" s="538"/>
      <c r="H3" s="124" t="s">
        <v>30</v>
      </c>
      <c r="I3" s="135">
        <f>MIN(100,(1+'Thai input'!$E9)*I23)</f>
        <v>0</v>
      </c>
      <c r="J3" s="125">
        <f>MIN(100,(1+'Thai input'!$E9)*J23)</f>
        <v>0</v>
      </c>
      <c r="K3" s="125">
        <f>MIN(100,(1+'Thai input'!$E9)*K23)</f>
        <v>34.410000000000004</v>
      </c>
      <c r="L3" s="125">
        <f>MIN(100,(1+'Thai input'!$E9)*L23)</f>
        <v>0</v>
      </c>
      <c r="M3" s="125">
        <f>MIN(100,(1+'Thai input'!$E9)*M23)</f>
        <v>0</v>
      </c>
      <c r="N3" s="125">
        <f>MIN(100,(1+'Thai input'!$E9)*N23)</f>
        <v>0</v>
      </c>
      <c r="O3" s="125">
        <f>MIN(100,(1+'Thai input'!$E9)*O23)</f>
        <v>0</v>
      </c>
      <c r="P3" s="125">
        <f>MIN(100,(1+'Thai input'!$E9)*P23)</f>
        <v>0</v>
      </c>
      <c r="Q3" s="125">
        <f>MIN(100,(1+'Thai input'!$E9)*Q23)</f>
        <v>0</v>
      </c>
      <c r="R3" s="125">
        <f>MIN(100,(1+'Thai input'!$E9)*R23)</f>
        <v>7.7700000000000005</v>
      </c>
      <c r="S3" s="125">
        <f>MIN(100,(1+'Thai input'!$E9)*S23)</f>
        <v>35.520000000000003</v>
      </c>
      <c r="T3" s="125">
        <f>MIN(100,(1+'Thai input'!$E9)*T23)</f>
        <v>21.090000000000003</v>
      </c>
      <c r="U3" s="125">
        <f>MIN(100,(1+'Thai input'!$E9)*U23)</f>
        <v>17.760000000000002</v>
      </c>
      <c r="V3" s="125">
        <f>MIN(100,(1+'Thai input'!$E9)*V23)</f>
        <v>33.300000000000004</v>
      </c>
      <c r="W3" s="125">
        <f>MIN(100,(1+'Thai input'!$E9)*W23)</f>
        <v>2.2200000000000002</v>
      </c>
      <c r="X3" s="125">
        <f>MIN(100,(1+'Thai input'!$E9)*X23)</f>
        <v>0</v>
      </c>
      <c r="Y3" s="125">
        <f>MIN(100,(1+'Thai input'!$E9)*Y23)</f>
        <v>0</v>
      </c>
      <c r="Z3" s="125">
        <f>MIN(100,(1+'Thai input'!$E9)*Z23)</f>
        <v>0</v>
      </c>
      <c r="AA3" s="125">
        <f>MIN(100,(1+'Thai input'!$E9)*AA23)</f>
        <v>0</v>
      </c>
      <c r="AB3" s="139">
        <f>MIN(100,(1+'Thai input'!$E9)*AB23)</f>
        <v>0</v>
      </c>
      <c r="CK3" s="126" t="s">
        <v>59</v>
      </c>
      <c r="CL3" s="127" t="s">
        <v>60</v>
      </c>
      <c r="CM3" s="127" t="s">
        <v>62</v>
      </c>
      <c r="CN3" s="127" t="s">
        <v>61</v>
      </c>
      <c r="CO3" s="127" t="s">
        <v>17</v>
      </c>
      <c r="CP3" s="127" t="s">
        <v>18</v>
      </c>
      <c r="CQ3" s="127" t="s">
        <v>63</v>
      </c>
      <c r="CR3" s="127" t="s">
        <v>64</v>
      </c>
      <c r="CS3" s="127" t="s">
        <v>22</v>
      </c>
      <c r="CT3" s="127" t="s">
        <v>70</v>
      </c>
      <c r="CU3" s="127" t="s">
        <v>65</v>
      </c>
      <c r="CV3" s="127" t="s">
        <v>66</v>
      </c>
      <c r="CW3" s="127" t="s">
        <v>35</v>
      </c>
      <c r="CX3" s="127" t="s">
        <v>36</v>
      </c>
      <c r="CY3" s="127" t="s">
        <v>37</v>
      </c>
      <c r="CZ3" s="127" t="s">
        <v>39</v>
      </c>
      <c r="DA3" s="127" t="s">
        <v>42</v>
      </c>
      <c r="DB3" s="127" t="s">
        <v>67</v>
      </c>
      <c r="DC3" s="127" t="s">
        <v>68</v>
      </c>
      <c r="DD3" s="128" t="s">
        <v>69</v>
      </c>
    </row>
    <row r="4" spans="7:108" ht="15.75" thickBot="1" x14ac:dyDescent="0.3">
      <c r="G4" s="538"/>
      <c r="H4" s="124" t="s">
        <v>38</v>
      </c>
      <c r="I4" s="136">
        <f>MIN(100,(1+'Thai input'!$E10)*I24)</f>
        <v>0</v>
      </c>
      <c r="J4" s="137">
        <f>MIN(100,(1+'Thai input'!$E10)*J24)</f>
        <v>0</v>
      </c>
      <c r="K4" s="137">
        <f>MIN(100,(1+'Thai input'!$E10)*K24)</f>
        <v>15.36</v>
      </c>
      <c r="L4" s="137">
        <f>MIN(100,(1+'Thai input'!$E10)*L24)</f>
        <v>0</v>
      </c>
      <c r="M4" s="137">
        <f>MIN(100,(1+'Thai input'!$E10)*M24)</f>
        <v>0</v>
      </c>
      <c r="N4" s="137">
        <f>MIN(100,(1+'Thai input'!$E10)*N24)</f>
        <v>0</v>
      </c>
      <c r="O4" s="137">
        <f>MIN(100,(1+'Thai input'!$E10)*O24)</f>
        <v>0</v>
      </c>
      <c r="P4" s="137">
        <f>MIN(100,(1+'Thai input'!$E10)*P24)</f>
        <v>0</v>
      </c>
      <c r="Q4" s="137">
        <f>MIN(100,(1+'Thai input'!$E10)*Q24)</f>
        <v>0</v>
      </c>
      <c r="R4" s="137">
        <f>MIN(100,(1+'Thai input'!$E10)*R24)</f>
        <v>0</v>
      </c>
      <c r="S4" s="137">
        <f>MIN(100,(1+'Thai input'!$E10)*S24)</f>
        <v>0</v>
      </c>
      <c r="T4" s="137">
        <f>MIN(100,(1+'Thai input'!$E10)*T24)</f>
        <v>0</v>
      </c>
      <c r="U4" s="137">
        <f>MIN(100,(1+'Thai input'!$E10)*U24)</f>
        <v>0</v>
      </c>
      <c r="V4" s="137">
        <f>MIN(100,(1+'Thai input'!$E10)*V24)</f>
        <v>3.84</v>
      </c>
      <c r="W4" s="137">
        <f>MIN(100,(1+'Thai input'!$E10)*W24)</f>
        <v>0</v>
      </c>
      <c r="X4" s="137">
        <f>MIN(100,(1+'Thai input'!$E10)*X24)</f>
        <v>0</v>
      </c>
      <c r="Y4" s="137">
        <f>MIN(100,(1+'Thai input'!$E10)*Y24)</f>
        <v>1.28</v>
      </c>
      <c r="Z4" s="137">
        <f>MIN(100,(1+'Thai input'!$E10)*Z24)</f>
        <v>26.88</v>
      </c>
      <c r="AA4" s="137">
        <f>MIN(100,(1+'Thai input'!$E10)*AA24)</f>
        <v>28.16</v>
      </c>
      <c r="AB4" s="142">
        <f>MIN(100,(1+'Thai input'!$E10)*AB24)</f>
        <v>6.4</v>
      </c>
      <c r="CK4" s="331">
        <f t="shared" ref="CK4:CR4" si="0">I19+(I19*$CJ$1)</f>
        <v>39.775852379323055</v>
      </c>
      <c r="CL4" s="331">
        <f t="shared" si="0"/>
        <v>30.880153762112659</v>
      </c>
      <c r="CM4" s="331">
        <f t="shared" si="0"/>
        <v>26.415966518519792</v>
      </c>
      <c r="CN4" s="331">
        <f t="shared" si="0"/>
        <v>28.2555412866942</v>
      </c>
      <c r="CO4" s="331">
        <f t="shared" si="0"/>
        <v>26.932342207540607</v>
      </c>
      <c r="CP4" s="331">
        <f t="shared" si="0"/>
        <v>17.05862825600072</v>
      </c>
      <c r="CQ4" s="331">
        <f t="shared" si="0"/>
        <v>15.183203044049282</v>
      </c>
      <c r="CR4" s="331">
        <f t="shared" si="0"/>
        <v>14.322983319748673</v>
      </c>
      <c r="CS4" s="332"/>
      <c r="CT4" s="331">
        <f>R19+(R19*$CJ$1)</f>
        <v>11.83129331148055</v>
      </c>
      <c r="CU4" s="331">
        <f>S19+(S19*$CJ$1)</f>
        <v>18.925041170451312</v>
      </c>
      <c r="CV4" s="333"/>
      <c r="CW4" s="333"/>
      <c r="CX4" s="331">
        <f>V19+(V19*$CJ$1)</f>
        <v>14.123777398502911</v>
      </c>
      <c r="CY4" s="333"/>
      <c r="CZ4" s="333"/>
      <c r="DA4" s="333"/>
      <c r="DB4" s="333"/>
      <c r="DC4" s="333"/>
      <c r="DD4" s="334"/>
    </row>
    <row r="5" spans="7:108" ht="15.75" thickBot="1" x14ac:dyDescent="0.3">
      <c r="CK5" s="335"/>
      <c r="CL5" s="336"/>
      <c r="CM5" s="331">
        <f>K20+(K20*$CJ$1)</f>
        <v>28.926823216031032</v>
      </c>
      <c r="CN5" s="336"/>
      <c r="CO5" s="336"/>
      <c r="CP5" s="336"/>
      <c r="CQ5" s="336"/>
      <c r="CR5" s="336"/>
      <c r="CS5" s="337"/>
      <c r="CT5" s="331">
        <f>R20+(R20*$CJ$1)</f>
        <v>10.077486339993728</v>
      </c>
      <c r="CU5" s="331">
        <f>S20+(S20*$CJ$1)</f>
        <v>18.4945796448972</v>
      </c>
      <c r="CV5" s="331">
        <f>T20+(T20*$CJ$1)</f>
        <v>14.13137292017319</v>
      </c>
      <c r="CW5" s="331">
        <f>U20+(U20*$CJ$1)</f>
        <v>15.967553528361877</v>
      </c>
      <c r="CX5" s="331">
        <f>V20+(V20*$CJ$1)</f>
        <v>14.626126006371658</v>
      </c>
      <c r="CY5" s="331">
        <f>W20+(W20*$CJ$1)</f>
        <v>10.367940728580532</v>
      </c>
      <c r="CZ5" s="338"/>
      <c r="DA5" s="338"/>
      <c r="DB5" s="338"/>
      <c r="DC5" s="338"/>
      <c r="DD5" s="339"/>
    </row>
    <row r="6" spans="7:108" ht="15.75" thickBot="1" x14ac:dyDescent="0.3">
      <c r="I6" s="539" t="s">
        <v>5</v>
      </c>
      <c r="J6" s="540"/>
      <c r="K6" s="540"/>
      <c r="L6" s="540"/>
      <c r="M6" s="540"/>
      <c r="N6" s="540"/>
      <c r="O6" s="540"/>
      <c r="P6" s="540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1"/>
      <c r="AE6" s="545" t="s">
        <v>129</v>
      </c>
      <c r="AF6" s="546"/>
      <c r="AG6" s="546"/>
      <c r="AH6" s="546"/>
      <c r="AI6" s="546"/>
      <c r="AJ6" s="546"/>
      <c r="AK6" s="546"/>
      <c r="AL6" s="546"/>
      <c r="AM6" s="546"/>
      <c r="AN6" s="546"/>
      <c r="AO6" s="546"/>
      <c r="AP6" s="546"/>
      <c r="AQ6" s="546"/>
      <c r="AR6" s="546"/>
      <c r="AS6" s="546"/>
      <c r="AT6" s="546"/>
      <c r="AU6" s="546"/>
      <c r="AV6" s="546"/>
      <c r="AW6" s="546"/>
      <c r="AX6" s="547"/>
      <c r="CK6" s="340"/>
      <c r="CL6" s="341"/>
      <c r="CM6" s="331">
        <f>K21+(K21*$CJ$1)</f>
        <v>29.479149059948661</v>
      </c>
      <c r="CN6" s="331">
        <f>L21+(L21*$CJ$1)</f>
        <v>29.542317471848889</v>
      </c>
      <c r="CO6" s="341"/>
      <c r="CP6" s="341"/>
      <c r="CQ6" s="341"/>
      <c r="CR6" s="341"/>
      <c r="CS6" s="342"/>
      <c r="CT6" s="342"/>
      <c r="CU6" s="342"/>
      <c r="CV6" s="342"/>
      <c r="CW6" s="342"/>
      <c r="CX6" s="331">
        <f>V21+(V21*$CJ$1)</f>
        <v>12.524858109043448</v>
      </c>
      <c r="CY6" s="342"/>
      <c r="CZ6" s="343"/>
      <c r="DA6" s="331">
        <f>Y21+(Y21*$CJ$1)</f>
        <v>14.302068492427839</v>
      </c>
      <c r="DB6" s="331">
        <f>Z21+(Z21*$CJ$1)</f>
        <v>14.132208560096787</v>
      </c>
      <c r="DC6" s="331">
        <f>AA21+(AA21*$CJ$1)</f>
        <v>10.486109047737465</v>
      </c>
      <c r="DD6" s="331">
        <f>AB21+(AB21*$CJ$1)</f>
        <v>10.029355963188261</v>
      </c>
    </row>
    <row r="7" spans="7:108" ht="15.75" thickBot="1" x14ac:dyDescent="0.3">
      <c r="G7" s="36" t="s">
        <v>73</v>
      </c>
      <c r="H7" s="36" t="s">
        <v>52</v>
      </c>
      <c r="I7" s="126" t="s">
        <v>59</v>
      </c>
      <c r="J7" s="127" t="s">
        <v>60</v>
      </c>
      <c r="K7" s="127" t="s">
        <v>62</v>
      </c>
      <c r="L7" s="127" t="s">
        <v>61</v>
      </c>
      <c r="M7" s="127" t="s">
        <v>17</v>
      </c>
      <c r="N7" s="127" t="s">
        <v>18</v>
      </c>
      <c r="O7" s="127" t="s">
        <v>63</v>
      </c>
      <c r="P7" s="127" t="s">
        <v>64</v>
      </c>
      <c r="Q7" s="127" t="s">
        <v>22</v>
      </c>
      <c r="R7" s="127" t="s">
        <v>70</v>
      </c>
      <c r="S7" s="127" t="s">
        <v>65</v>
      </c>
      <c r="T7" s="127" t="s">
        <v>66</v>
      </c>
      <c r="U7" s="127" t="s">
        <v>35</v>
      </c>
      <c r="V7" s="127" t="s">
        <v>36</v>
      </c>
      <c r="W7" s="127" t="s">
        <v>37</v>
      </c>
      <c r="X7" s="127" t="s">
        <v>39</v>
      </c>
      <c r="Y7" s="127" t="s">
        <v>42</v>
      </c>
      <c r="Z7" s="127" t="s">
        <v>67</v>
      </c>
      <c r="AA7" s="127" t="s">
        <v>68</v>
      </c>
      <c r="AB7" s="128" t="s">
        <v>69</v>
      </c>
      <c r="AE7" s="126" t="s">
        <v>59</v>
      </c>
      <c r="AF7" s="127" t="s">
        <v>60</v>
      </c>
      <c r="AG7" s="127" t="s">
        <v>62</v>
      </c>
      <c r="AH7" s="127" t="s">
        <v>61</v>
      </c>
      <c r="AI7" s="127" t="s">
        <v>17</v>
      </c>
      <c r="AJ7" s="127" t="s">
        <v>18</v>
      </c>
      <c r="AK7" s="127" t="s">
        <v>63</v>
      </c>
      <c r="AL7" s="127" t="s">
        <v>64</v>
      </c>
      <c r="AM7" s="127" t="s">
        <v>22</v>
      </c>
      <c r="AN7" s="127" t="s">
        <v>70</v>
      </c>
      <c r="AO7" s="127" t="s">
        <v>65</v>
      </c>
      <c r="AP7" s="127" t="s">
        <v>66</v>
      </c>
      <c r="AQ7" s="127" t="s">
        <v>35</v>
      </c>
      <c r="AR7" s="127" t="s">
        <v>36</v>
      </c>
      <c r="AS7" s="127" t="s">
        <v>37</v>
      </c>
      <c r="AT7" s="127" t="s">
        <v>39</v>
      </c>
      <c r="AU7" s="127" t="s">
        <v>42</v>
      </c>
      <c r="AV7" s="127" t="s">
        <v>67</v>
      </c>
      <c r="AW7" s="127" t="s">
        <v>68</v>
      </c>
      <c r="AX7" s="128" t="s">
        <v>69</v>
      </c>
    </row>
    <row r="8" spans="7:108" ht="15.75" thickBot="1" x14ac:dyDescent="0.3">
      <c r="G8" s="19" t="s">
        <v>27</v>
      </c>
      <c r="H8" s="39" t="s">
        <v>12</v>
      </c>
      <c r="I8" s="125">
        <v>112.18260436691324</v>
      </c>
      <c r="J8" s="125">
        <v>113.48482033157003</v>
      </c>
      <c r="K8" s="125">
        <v>96.947157501435569</v>
      </c>
      <c r="L8" s="125">
        <v>120.76682209214847</v>
      </c>
      <c r="M8" s="125">
        <v>149.8997933638332</v>
      </c>
      <c r="N8" s="125">
        <v>143.04798218836024</v>
      </c>
      <c r="O8" s="125">
        <v>188.97962053181899</v>
      </c>
      <c r="P8" s="125">
        <v>203.19352733754414</v>
      </c>
      <c r="Q8" s="125"/>
      <c r="R8" s="125">
        <v>184.6489265676191</v>
      </c>
      <c r="S8" s="125">
        <v>182.29312963349687</v>
      </c>
      <c r="T8" s="125"/>
      <c r="U8" s="125"/>
      <c r="V8" s="125"/>
      <c r="W8" s="125"/>
      <c r="X8" s="125"/>
      <c r="Y8" s="125"/>
      <c r="Z8" s="125"/>
      <c r="AA8" s="125"/>
      <c r="AB8" s="125"/>
      <c r="AE8" s="253">
        <f>CK19</f>
        <v>39.775852379323055</v>
      </c>
      <c r="AF8" s="253">
        <f t="shared" ref="AF8:AX10" si="1">CL19</f>
        <v>30.880153762112659</v>
      </c>
      <c r="AG8" s="253">
        <f t="shared" si="1"/>
        <v>26.415966518519792</v>
      </c>
      <c r="AH8" s="253">
        <f t="shared" si="1"/>
        <v>28.2555412866942</v>
      </c>
      <c r="AI8" s="253">
        <f t="shared" si="1"/>
        <v>26.932342207540607</v>
      </c>
      <c r="AJ8" s="253">
        <f t="shared" si="1"/>
        <v>17.05862825600072</v>
      </c>
      <c r="AK8" s="253">
        <f t="shared" si="1"/>
        <v>15.183203044049282</v>
      </c>
      <c r="AL8" s="253">
        <f t="shared" si="1"/>
        <v>14.322983319748673</v>
      </c>
      <c r="AM8" s="253">
        <f t="shared" si="1"/>
        <v>0</v>
      </c>
      <c r="AN8" s="254">
        <f t="shared" si="1"/>
        <v>11.83129331148055</v>
      </c>
      <c r="AO8" s="254">
        <f t="shared" si="1"/>
        <v>18.925041170451312</v>
      </c>
      <c r="AP8" s="239">
        <f t="shared" si="1"/>
        <v>0</v>
      </c>
      <c r="AQ8" s="239">
        <f t="shared" si="1"/>
        <v>0</v>
      </c>
      <c r="AR8" s="254">
        <f t="shared" si="1"/>
        <v>14.123777398502911</v>
      </c>
      <c r="AS8" s="239">
        <f t="shared" si="1"/>
        <v>0</v>
      </c>
      <c r="AT8" s="239">
        <f t="shared" si="1"/>
        <v>0</v>
      </c>
      <c r="AU8" s="239">
        <f t="shared" si="1"/>
        <v>0</v>
      </c>
      <c r="AV8" s="239">
        <f t="shared" si="1"/>
        <v>0</v>
      </c>
      <c r="AW8" s="239">
        <f t="shared" si="1"/>
        <v>0</v>
      </c>
      <c r="AX8" s="240">
        <f t="shared" si="1"/>
        <v>0</v>
      </c>
    </row>
    <row r="9" spans="7:108" ht="15.75" thickBot="1" x14ac:dyDescent="0.3">
      <c r="G9" s="19" t="s">
        <v>27</v>
      </c>
      <c r="H9" s="39" t="s">
        <v>30</v>
      </c>
      <c r="I9" s="125"/>
      <c r="J9" s="125"/>
      <c r="K9" s="125">
        <v>108.07770503204235</v>
      </c>
      <c r="L9" s="125"/>
      <c r="M9" s="125"/>
      <c r="N9" s="125"/>
      <c r="O9" s="125"/>
      <c r="P9" s="125"/>
      <c r="Q9" s="125"/>
      <c r="R9" s="125">
        <v>181.95520871895295</v>
      </c>
      <c r="S9" s="125">
        <v>181.63878535238942</v>
      </c>
      <c r="T9" s="125">
        <v>187.92228460590138</v>
      </c>
      <c r="U9" s="125">
        <v>253.28225054775706</v>
      </c>
      <c r="V9" s="125">
        <v>257.19211746241911</v>
      </c>
      <c r="W9" s="125">
        <v>236.41642251898813</v>
      </c>
      <c r="X9" s="125"/>
      <c r="Y9" s="125"/>
      <c r="Z9" s="125"/>
      <c r="AA9" s="125"/>
      <c r="AB9" s="125"/>
      <c r="AE9" s="241">
        <f t="shared" ref="AE9:AE10" si="2">CK20</f>
        <v>0</v>
      </c>
      <c r="AF9" s="242">
        <f t="shared" si="1"/>
        <v>0</v>
      </c>
      <c r="AG9" s="253">
        <f t="shared" si="1"/>
        <v>28.926823216031032</v>
      </c>
      <c r="AH9" s="242">
        <f t="shared" si="1"/>
        <v>0</v>
      </c>
      <c r="AI9" s="242">
        <f t="shared" si="1"/>
        <v>0</v>
      </c>
      <c r="AJ9" s="242">
        <f t="shared" si="1"/>
        <v>0</v>
      </c>
      <c r="AK9" s="242">
        <f t="shared" si="1"/>
        <v>0</v>
      </c>
      <c r="AL9" s="242">
        <f t="shared" si="1"/>
        <v>0</v>
      </c>
      <c r="AM9" s="242">
        <f t="shared" si="1"/>
        <v>0</v>
      </c>
      <c r="AN9" s="255">
        <f t="shared" si="1"/>
        <v>10.077486339993728</v>
      </c>
      <c r="AO9" s="255">
        <f t="shared" si="1"/>
        <v>18.4945796448972</v>
      </c>
      <c r="AP9" s="255">
        <f t="shared" si="1"/>
        <v>14.13137292017319</v>
      </c>
      <c r="AQ9" s="255">
        <f t="shared" si="1"/>
        <v>15.967553528361877</v>
      </c>
      <c r="AR9" s="255">
        <f t="shared" si="1"/>
        <v>14.626126006371658</v>
      </c>
      <c r="AS9" s="255">
        <f t="shared" si="1"/>
        <v>10.367940728580532</v>
      </c>
      <c r="AT9" s="242">
        <f t="shared" si="1"/>
        <v>0</v>
      </c>
      <c r="AU9" s="242">
        <f t="shared" si="1"/>
        <v>0</v>
      </c>
      <c r="AV9" s="242">
        <f t="shared" si="1"/>
        <v>0</v>
      </c>
      <c r="AW9" s="242">
        <f t="shared" si="1"/>
        <v>0</v>
      </c>
      <c r="AX9" s="243">
        <f t="shared" si="1"/>
        <v>0</v>
      </c>
    </row>
    <row r="10" spans="7:108" ht="15.75" thickBot="1" x14ac:dyDescent="0.3">
      <c r="G10" s="19" t="s">
        <v>27</v>
      </c>
      <c r="H10" s="39" t="s">
        <v>38</v>
      </c>
      <c r="I10" s="125"/>
      <c r="J10" s="125"/>
      <c r="K10" s="125">
        <v>109.2446877637931</v>
      </c>
      <c r="L10" s="125">
        <v>115.83101701145402</v>
      </c>
      <c r="M10" s="125"/>
      <c r="N10" s="125"/>
      <c r="O10" s="125"/>
      <c r="P10" s="125"/>
      <c r="Q10" s="125"/>
      <c r="R10" s="125"/>
      <c r="S10" s="125"/>
      <c r="T10" s="125"/>
      <c r="U10" s="125"/>
      <c r="V10" s="125">
        <v>247.34720220806477</v>
      </c>
      <c r="W10" s="125"/>
      <c r="X10" s="125"/>
      <c r="Y10" s="125">
        <v>137.80960717637794</v>
      </c>
      <c r="Z10" s="125">
        <v>195.4315688622579</v>
      </c>
      <c r="AA10" s="125">
        <v>173.97326628372147</v>
      </c>
      <c r="AB10" s="125">
        <v>190</v>
      </c>
      <c r="AE10" s="422">
        <f t="shared" si="2"/>
        <v>0</v>
      </c>
      <c r="AF10" s="423">
        <f t="shared" si="1"/>
        <v>0</v>
      </c>
      <c r="AG10" s="424">
        <f t="shared" si="1"/>
        <v>29.479149059948661</v>
      </c>
      <c r="AH10" s="425">
        <f t="shared" si="1"/>
        <v>29.542317471848889</v>
      </c>
      <c r="AI10" s="423">
        <f t="shared" si="1"/>
        <v>0</v>
      </c>
      <c r="AJ10" s="423">
        <f t="shared" si="1"/>
        <v>0</v>
      </c>
      <c r="AK10" s="423">
        <f t="shared" si="1"/>
        <v>0</v>
      </c>
      <c r="AL10" s="423">
        <f t="shared" si="1"/>
        <v>0</v>
      </c>
      <c r="AM10" s="423">
        <f t="shared" si="1"/>
        <v>0</v>
      </c>
      <c r="AN10" s="423">
        <f t="shared" si="1"/>
        <v>0</v>
      </c>
      <c r="AO10" s="423">
        <f t="shared" si="1"/>
        <v>0</v>
      </c>
      <c r="AP10" s="423">
        <f t="shared" si="1"/>
        <v>0</v>
      </c>
      <c r="AQ10" s="423">
        <f t="shared" si="1"/>
        <v>0</v>
      </c>
      <c r="AR10" s="425">
        <f t="shared" si="1"/>
        <v>12.524858109043448</v>
      </c>
      <c r="AS10" s="423">
        <f t="shared" si="1"/>
        <v>0</v>
      </c>
      <c r="AT10" s="423">
        <f t="shared" si="1"/>
        <v>0</v>
      </c>
      <c r="AU10" s="425">
        <f t="shared" si="1"/>
        <v>14.302068492427839</v>
      </c>
      <c r="AV10" s="425">
        <f t="shared" si="1"/>
        <v>14.132208560096787</v>
      </c>
      <c r="AW10" s="425">
        <f t="shared" si="1"/>
        <v>10.486109047737465</v>
      </c>
      <c r="AX10" s="426">
        <f t="shared" si="1"/>
        <v>10.029355963188261</v>
      </c>
    </row>
    <row r="11" spans="7:108" x14ac:dyDescent="0.25">
      <c r="I11" s="542" t="s">
        <v>304</v>
      </c>
      <c r="J11" s="543"/>
      <c r="K11" s="543"/>
      <c r="L11" s="543"/>
      <c r="M11" s="543"/>
      <c r="N11" s="543"/>
      <c r="O11" s="543"/>
      <c r="P11" s="543"/>
      <c r="Q11" s="543"/>
      <c r="R11" s="543"/>
      <c r="S11" s="543"/>
      <c r="T11" s="543"/>
      <c r="U11" s="543"/>
      <c r="V11" s="543"/>
      <c r="W11" s="543"/>
      <c r="X11" s="543"/>
      <c r="Y11" s="543"/>
      <c r="Z11" s="543"/>
      <c r="AA11" s="543"/>
      <c r="AB11" s="544"/>
      <c r="AD11" s="19" t="s">
        <v>307</v>
      </c>
      <c r="AE11" s="548" t="s">
        <v>306</v>
      </c>
      <c r="AF11" s="548"/>
      <c r="AG11" s="548"/>
      <c r="AH11" s="548"/>
      <c r="AI11" s="548"/>
      <c r="AJ11" s="548"/>
      <c r="AK11" s="548"/>
      <c r="AL11" s="548"/>
      <c r="AM11" s="548"/>
      <c r="AN11" s="548"/>
      <c r="AO11" s="548"/>
      <c r="AP11" s="548"/>
      <c r="AQ11" s="548"/>
      <c r="AR11" s="548"/>
      <c r="AS11" s="548"/>
      <c r="AT11" s="548"/>
      <c r="AU11" s="548"/>
      <c r="AV11" s="548"/>
      <c r="AW11" s="548"/>
      <c r="AX11" s="548"/>
      <c r="CJ11" t="s">
        <v>139</v>
      </c>
      <c r="CK11" s="194">
        <f t="shared" ref="CK11:DD11" si="3">MOD(CK21,0.5)</f>
        <v>0</v>
      </c>
      <c r="CL11" s="194">
        <f t="shared" si="3"/>
        <v>0</v>
      </c>
      <c r="CM11" s="194">
        <f t="shared" si="3"/>
        <v>0.47914905994866075</v>
      </c>
      <c r="CN11" s="194">
        <f t="shared" si="3"/>
        <v>4.2317471848889454E-2</v>
      </c>
      <c r="CO11" s="194">
        <f t="shared" si="3"/>
        <v>0</v>
      </c>
      <c r="CP11" s="194">
        <f t="shared" si="3"/>
        <v>0</v>
      </c>
      <c r="CQ11" s="194">
        <f t="shared" si="3"/>
        <v>0</v>
      </c>
      <c r="CR11" s="194">
        <f t="shared" si="3"/>
        <v>0</v>
      </c>
      <c r="CS11" s="194">
        <f t="shared" si="3"/>
        <v>0</v>
      </c>
      <c r="CT11" s="194">
        <f t="shared" si="3"/>
        <v>0</v>
      </c>
      <c r="CU11" s="194">
        <f t="shared" si="3"/>
        <v>0</v>
      </c>
      <c r="CV11" s="194">
        <f t="shared" si="3"/>
        <v>0</v>
      </c>
      <c r="CW11" s="194">
        <f t="shared" si="3"/>
        <v>0</v>
      </c>
      <c r="CX11" s="194">
        <f t="shared" si="3"/>
        <v>2.4858109043448096E-2</v>
      </c>
      <c r="CY11" s="194">
        <f t="shared" si="3"/>
        <v>0</v>
      </c>
      <c r="CZ11" s="194">
        <f t="shared" si="3"/>
        <v>0</v>
      </c>
      <c r="DA11" s="194">
        <f t="shared" si="3"/>
        <v>0.30206849242783917</v>
      </c>
      <c r="DB11" s="194">
        <f t="shared" si="3"/>
        <v>0.13220856009678705</v>
      </c>
      <c r="DC11" s="194">
        <f t="shared" si="3"/>
        <v>0.48610904773746455</v>
      </c>
      <c r="DD11" s="194">
        <f t="shared" si="3"/>
        <v>2.9355963188260503E-2</v>
      </c>
    </row>
    <row r="12" spans="7:108" x14ac:dyDescent="0.25">
      <c r="G12" s="421" t="s">
        <v>305</v>
      </c>
      <c r="H12" s="420" t="s">
        <v>308</v>
      </c>
      <c r="I12" s="27" t="s">
        <v>59</v>
      </c>
      <c r="J12" s="18" t="s">
        <v>60</v>
      </c>
      <c r="K12" s="18" t="s">
        <v>62</v>
      </c>
      <c r="L12" s="18" t="s">
        <v>61</v>
      </c>
      <c r="M12" s="18" t="s">
        <v>17</v>
      </c>
      <c r="N12" s="18" t="s">
        <v>18</v>
      </c>
      <c r="O12" s="18" t="s">
        <v>63</v>
      </c>
      <c r="P12" s="18" t="s">
        <v>64</v>
      </c>
      <c r="Q12" s="18" t="s">
        <v>22</v>
      </c>
      <c r="R12" s="18" t="s">
        <v>70</v>
      </c>
      <c r="S12" s="18" t="s">
        <v>65</v>
      </c>
      <c r="T12" s="18" t="s">
        <v>66</v>
      </c>
      <c r="U12" s="18" t="s">
        <v>35</v>
      </c>
      <c r="V12" s="18" t="s">
        <v>36</v>
      </c>
      <c r="W12" s="18" t="s">
        <v>37</v>
      </c>
      <c r="X12" s="18" t="s">
        <v>39</v>
      </c>
      <c r="Y12" s="18" t="s">
        <v>42</v>
      </c>
      <c r="Z12" s="18" t="s">
        <v>67</v>
      </c>
      <c r="AA12" s="18" t="s">
        <v>68</v>
      </c>
      <c r="AB12" s="28" t="s">
        <v>69</v>
      </c>
      <c r="AD12" s="16">
        <f>SUMPRODUCT(AE12:AX12,I13:AB13)</f>
        <v>149.69667216973943</v>
      </c>
      <c r="AE12" s="427">
        <f>IFERROR(I19*I8/AE8,0)</f>
        <v>112.18260436691324</v>
      </c>
      <c r="AF12" s="427">
        <f t="shared" ref="AF12:AX14" si="4">IFERROR(J19*J8/AF8,0)</f>
        <v>113.48482033157003</v>
      </c>
      <c r="AG12" s="427">
        <f t="shared" si="4"/>
        <v>96.947157501435569</v>
      </c>
      <c r="AH12" s="427">
        <f t="shared" si="4"/>
        <v>120.76682209214847</v>
      </c>
      <c r="AI12" s="427">
        <f t="shared" si="4"/>
        <v>149.8997933638332</v>
      </c>
      <c r="AJ12" s="427">
        <f t="shared" si="4"/>
        <v>143.04798218836024</v>
      </c>
      <c r="AK12" s="427">
        <f t="shared" si="4"/>
        <v>188.97962053181899</v>
      </c>
      <c r="AL12" s="427">
        <f t="shared" si="4"/>
        <v>203.19352733754414</v>
      </c>
      <c r="AM12" s="427">
        <f t="shared" si="4"/>
        <v>0</v>
      </c>
      <c r="AN12" s="427">
        <f t="shared" si="4"/>
        <v>184.6489265676191</v>
      </c>
      <c r="AO12" s="427">
        <f t="shared" si="4"/>
        <v>182.29312963349687</v>
      </c>
      <c r="AP12" s="427">
        <f t="shared" si="4"/>
        <v>0</v>
      </c>
      <c r="AQ12" s="427">
        <f t="shared" si="4"/>
        <v>0</v>
      </c>
      <c r="AR12" s="427">
        <f t="shared" si="4"/>
        <v>0</v>
      </c>
      <c r="AS12" s="427">
        <f t="shared" si="4"/>
        <v>0</v>
      </c>
      <c r="AT12" s="427">
        <f t="shared" si="4"/>
        <v>0</v>
      </c>
      <c r="AU12" s="427">
        <f t="shared" si="4"/>
        <v>0</v>
      </c>
      <c r="AV12" s="427">
        <f t="shared" si="4"/>
        <v>0</v>
      </c>
      <c r="AW12" s="427">
        <f t="shared" si="4"/>
        <v>0</v>
      </c>
      <c r="AX12" s="427">
        <f t="shared" si="4"/>
        <v>0</v>
      </c>
    </row>
    <row r="13" spans="7:108" x14ac:dyDescent="0.25">
      <c r="G13" s="4">
        <v>149</v>
      </c>
      <c r="H13" s="4">
        <f>SUMPRODUCT(I8:AB8,I13:AB13)</f>
        <v>149.69667216973943</v>
      </c>
      <c r="I13" s="35">
        <v>3.5462059896100531E-2</v>
      </c>
      <c r="J13" s="35">
        <v>0.12038686685700151</v>
      </c>
      <c r="K13" s="35">
        <v>8.7036694241109464E-2</v>
      </c>
      <c r="L13" s="35">
        <v>0.10788929622816461</v>
      </c>
      <c r="M13" s="35">
        <v>7.5074925943824158E-2</v>
      </c>
      <c r="N13" s="35">
        <v>6.2000381984866397E-2</v>
      </c>
      <c r="O13" s="35">
        <v>7.0712731262653691E-2</v>
      </c>
      <c r="P13" s="35">
        <v>2.359917478552866E-2</v>
      </c>
      <c r="Q13" s="35">
        <v>3.3102804956438589E-3</v>
      </c>
      <c r="R13" s="35">
        <v>0.36580922448144187</v>
      </c>
      <c r="S13" s="35">
        <v>2.6119830735277193E-2</v>
      </c>
      <c r="T13" s="35">
        <v>0</v>
      </c>
      <c r="U13" s="35">
        <v>0</v>
      </c>
      <c r="V13" s="35">
        <v>1.9994027345594533E-2</v>
      </c>
      <c r="W13" s="35">
        <v>0</v>
      </c>
      <c r="X13" s="35">
        <v>0</v>
      </c>
      <c r="Y13" s="35">
        <v>0</v>
      </c>
      <c r="Z13" s="35">
        <v>0</v>
      </c>
      <c r="AA13" s="35">
        <v>0</v>
      </c>
      <c r="AB13" s="35">
        <v>0</v>
      </c>
      <c r="AD13" s="16">
        <f t="shared" ref="AD13:AD14" si="5">SUMPRODUCT(AE13:AX13,I14:AB14)</f>
        <v>157.84176922830778</v>
      </c>
      <c r="AE13" s="427">
        <f t="shared" ref="AE13:AE14" si="6">IFERROR(I20*I9/AE9,0)</f>
        <v>0</v>
      </c>
      <c r="AF13" s="427">
        <f t="shared" si="4"/>
        <v>0</v>
      </c>
      <c r="AG13" s="427">
        <f t="shared" si="4"/>
        <v>108.07770503204233</v>
      </c>
      <c r="AH13" s="427">
        <f t="shared" si="4"/>
        <v>0</v>
      </c>
      <c r="AI13" s="427">
        <f t="shared" si="4"/>
        <v>0</v>
      </c>
      <c r="AJ13" s="427">
        <f t="shared" si="4"/>
        <v>0</v>
      </c>
      <c r="AK13" s="427">
        <f t="shared" si="4"/>
        <v>0</v>
      </c>
      <c r="AL13" s="427">
        <f t="shared" si="4"/>
        <v>0</v>
      </c>
      <c r="AM13" s="427">
        <f t="shared" si="4"/>
        <v>0</v>
      </c>
      <c r="AN13" s="427">
        <f t="shared" si="4"/>
        <v>181.95520871895295</v>
      </c>
      <c r="AO13" s="427">
        <f t="shared" si="4"/>
        <v>181.63878535238942</v>
      </c>
      <c r="AP13" s="427">
        <f t="shared" si="4"/>
        <v>187.92228460590138</v>
      </c>
      <c r="AQ13" s="427">
        <f t="shared" si="4"/>
        <v>253.28225054775706</v>
      </c>
      <c r="AR13" s="427">
        <f t="shared" si="4"/>
        <v>257.19211746241911</v>
      </c>
      <c r="AS13" s="427">
        <f t="shared" si="4"/>
        <v>236.41642251898813</v>
      </c>
      <c r="AT13" s="427">
        <f t="shared" si="4"/>
        <v>0</v>
      </c>
      <c r="AU13" s="427">
        <f t="shared" si="4"/>
        <v>0</v>
      </c>
      <c r="AV13" s="427">
        <f t="shared" si="4"/>
        <v>0</v>
      </c>
      <c r="AW13" s="427">
        <f t="shared" si="4"/>
        <v>0</v>
      </c>
      <c r="AX13" s="427">
        <f t="shared" si="4"/>
        <v>0</v>
      </c>
    </row>
    <row r="14" spans="7:108" x14ac:dyDescent="0.25">
      <c r="G14" s="4">
        <v>161.35692349749189</v>
      </c>
      <c r="H14" s="4">
        <f t="shared" ref="H14:H15" si="7">SUMPRODUCT(I9:AB9,I14:AB14)</f>
        <v>157.84176922830778</v>
      </c>
      <c r="I14" s="35">
        <v>0</v>
      </c>
      <c r="J14" s="35">
        <v>0</v>
      </c>
      <c r="K14" s="35">
        <v>0.41339180188007296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35">
        <v>2.1389156315307488E-2</v>
      </c>
      <c r="R14" s="35">
        <v>8.5742258331311327E-2</v>
      </c>
      <c r="S14" s="35">
        <v>0.20791621334627416</v>
      </c>
      <c r="T14" s="35">
        <v>9.0295290946898241E-2</v>
      </c>
      <c r="U14" s="35">
        <v>1.2913304268647448E-2</v>
      </c>
      <c r="V14" s="35">
        <v>0.13376173741073827</v>
      </c>
      <c r="W14" s="35">
        <v>2.1803732490092178E-2</v>
      </c>
      <c r="X14" s="35">
        <v>0</v>
      </c>
      <c r="Y14" s="35">
        <v>0</v>
      </c>
      <c r="Z14" s="35">
        <v>0</v>
      </c>
      <c r="AA14" s="35">
        <v>0</v>
      </c>
      <c r="AB14" s="35">
        <v>0</v>
      </c>
      <c r="AD14" s="16">
        <f t="shared" si="5"/>
        <v>158.63947651733315</v>
      </c>
      <c r="AE14" s="427">
        <f t="shared" si="6"/>
        <v>0</v>
      </c>
      <c r="AF14" s="427">
        <f t="shared" si="4"/>
        <v>0</v>
      </c>
      <c r="AG14" s="427">
        <f t="shared" si="4"/>
        <v>109.2446877637931</v>
      </c>
      <c r="AH14" s="427">
        <f t="shared" si="4"/>
        <v>115.83101701145402</v>
      </c>
      <c r="AI14" s="427">
        <f t="shared" si="4"/>
        <v>0</v>
      </c>
      <c r="AJ14" s="427">
        <f t="shared" si="4"/>
        <v>0</v>
      </c>
      <c r="AK14" s="427">
        <f t="shared" si="4"/>
        <v>0</v>
      </c>
      <c r="AL14" s="427">
        <f t="shared" si="4"/>
        <v>0</v>
      </c>
      <c r="AM14" s="427">
        <f t="shared" si="4"/>
        <v>0</v>
      </c>
      <c r="AN14" s="427">
        <f t="shared" si="4"/>
        <v>0</v>
      </c>
      <c r="AO14" s="427">
        <f t="shared" si="4"/>
        <v>0</v>
      </c>
      <c r="AP14" s="427">
        <f t="shared" si="4"/>
        <v>0</v>
      </c>
      <c r="AQ14" s="427">
        <f t="shared" si="4"/>
        <v>0</v>
      </c>
      <c r="AR14" s="427">
        <f t="shared" si="4"/>
        <v>247.34720220806477</v>
      </c>
      <c r="AS14" s="427">
        <f t="shared" si="4"/>
        <v>0</v>
      </c>
      <c r="AT14" s="427">
        <f t="shared" si="4"/>
        <v>0</v>
      </c>
      <c r="AU14" s="427">
        <f t="shared" si="4"/>
        <v>137.80960717637794</v>
      </c>
      <c r="AV14" s="427">
        <f t="shared" si="4"/>
        <v>195.4315688622579</v>
      </c>
      <c r="AW14" s="427">
        <f t="shared" si="4"/>
        <v>173.97326628372147</v>
      </c>
      <c r="AX14" s="427">
        <f t="shared" si="4"/>
        <v>190</v>
      </c>
    </row>
    <row r="15" spans="7:108" x14ac:dyDescent="0.25">
      <c r="G15" s="4">
        <v>169</v>
      </c>
      <c r="H15" s="4">
        <f t="shared" si="7"/>
        <v>158.63947651733315</v>
      </c>
      <c r="I15" s="35">
        <v>0</v>
      </c>
      <c r="J15" s="35">
        <v>0</v>
      </c>
      <c r="K15" s="35">
        <v>0.12579603275039616</v>
      </c>
      <c r="L15" s="35">
        <v>6.6856413891022648E-2</v>
      </c>
      <c r="M15" s="35">
        <v>0</v>
      </c>
      <c r="N15" s="35">
        <v>0</v>
      </c>
      <c r="O15" s="35">
        <v>0</v>
      </c>
      <c r="P15" s="35">
        <v>0</v>
      </c>
      <c r="Q15" s="35">
        <v>0</v>
      </c>
      <c r="R15" s="35">
        <v>0</v>
      </c>
      <c r="S15" s="35">
        <v>0</v>
      </c>
      <c r="T15" s="35">
        <v>0</v>
      </c>
      <c r="U15" s="35">
        <v>0</v>
      </c>
      <c r="V15" s="35">
        <v>0</v>
      </c>
      <c r="W15" s="35">
        <v>0</v>
      </c>
      <c r="X15" s="35">
        <v>7.5750869630291382E-3</v>
      </c>
      <c r="Y15" s="35">
        <v>2.5633200920850103E-2</v>
      </c>
      <c r="Z15" s="35">
        <v>9.5420558624991186E-2</v>
      </c>
      <c r="AA15" s="35">
        <v>0.50157503105510481</v>
      </c>
      <c r="AB15" s="35">
        <v>0.14585023431826402</v>
      </c>
    </row>
    <row r="16" spans="7:108" ht="15.75" thickBot="1" x14ac:dyDescent="0.3"/>
    <row r="17" spans="1:252" x14ac:dyDescent="0.25">
      <c r="I17" s="539" t="s">
        <v>6</v>
      </c>
      <c r="J17" s="540"/>
      <c r="K17" s="540"/>
      <c r="L17" s="540"/>
      <c r="M17" s="540"/>
      <c r="N17" s="540"/>
      <c r="O17" s="540"/>
      <c r="P17" s="540"/>
      <c r="Q17" s="540"/>
      <c r="R17" s="540"/>
      <c r="S17" s="540"/>
      <c r="T17" s="540"/>
      <c r="U17" s="540"/>
      <c r="V17" s="540"/>
      <c r="W17" s="540"/>
      <c r="X17" s="540"/>
      <c r="Y17" s="540"/>
      <c r="Z17" s="540"/>
      <c r="AA17" s="540"/>
      <c r="AB17" s="541"/>
      <c r="AC17" s="539" t="s">
        <v>3</v>
      </c>
      <c r="AD17" s="540"/>
      <c r="AE17" s="540"/>
      <c r="AF17" s="540"/>
      <c r="AG17" s="540"/>
      <c r="AH17" s="540"/>
      <c r="AI17" s="540"/>
      <c r="AJ17" s="540"/>
      <c r="AK17" s="540"/>
      <c r="AL17" s="540"/>
      <c r="AM17" s="540"/>
      <c r="AN17" s="540"/>
      <c r="AO17" s="540"/>
      <c r="AP17" s="540"/>
      <c r="AQ17" s="540"/>
      <c r="AR17" s="540"/>
      <c r="AS17" s="540"/>
      <c r="AT17" s="540"/>
      <c r="AU17" s="540"/>
      <c r="AV17" s="541"/>
      <c r="AW17" s="539" t="s">
        <v>2</v>
      </c>
      <c r="AX17" s="540"/>
      <c r="AY17" s="540"/>
      <c r="AZ17" s="540"/>
      <c r="BA17" s="540"/>
      <c r="BB17" s="540"/>
      <c r="BC17" s="540"/>
      <c r="BD17" s="540"/>
      <c r="BE17" s="540"/>
      <c r="BF17" s="540"/>
      <c r="BG17" s="540"/>
      <c r="BH17" s="540"/>
      <c r="BI17" s="540"/>
      <c r="BJ17" s="540"/>
      <c r="BK17" s="540"/>
      <c r="BL17" s="540"/>
      <c r="BM17" s="540"/>
      <c r="BN17" s="540"/>
      <c r="BO17" s="540"/>
      <c r="BP17" s="541"/>
      <c r="BQ17" s="539" t="s">
        <v>128</v>
      </c>
      <c r="BR17" s="540"/>
      <c r="BS17" s="540"/>
      <c r="BT17" s="540"/>
      <c r="BU17" s="540"/>
      <c r="BV17" s="540"/>
      <c r="BW17" s="540"/>
      <c r="BX17" s="540"/>
      <c r="BY17" s="540"/>
      <c r="BZ17" s="540"/>
      <c r="CA17" s="540"/>
      <c r="CB17" s="540"/>
      <c r="CC17" s="540"/>
      <c r="CD17" s="540"/>
      <c r="CE17" s="540"/>
      <c r="CF17" s="540"/>
      <c r="CG17" s="540"/>
      <c r="CH17" s="540"/>
      <c r="CI17" s="540"/>
      <c r="CJ17" s="541"/>
      <c r="CK17" s="545" t="s">
        <v>129</v>
      </c>
      <c r="CL17" s="546"/>
      <c r="CM17" s="546"/>
      <c r="CN17" s="546"/>
      <c r="CO17" s="546"/>
      <c r="CP17" s="546"/>
      <c r="CQ17" s="546"/>
      <c r="CR17" s="546"/>
      <c r="CS17" s="546"/>
      <c r="CT17" s="546"/>
      <c r="CU17" s="546"/>
      <c r="CV17" s="546"/>
      <c r="CW17" s="546"/>
      <c r="CX17" s="546"/>
      <c r="CY17" s="546"/>
      <c r="CZ17" s="546"/>
      <c r="DA17" s="546"/>
      <c r="DB17" s="546"/>
      <c r="DC17" s="546"/>
      <c r="DD17" s="547"/>
      <c r="DE17" s="539" t="s">
        <v>130</v>
      </c>
      <c r="DF17" s="540"/>
      <c r="DG17" s="540"/>
      <c r="DH17" s="540"/>
      <c r="DI17" s="540"/>
      <c r="DJ17" s="540"/>
      <c r="DK17" s="540"/>
      <c r="DL17" s="540"/>
      <c r="DM17" s="540"/>
      <c r="DN17" s="540"/>
      <c r="DO17" s="540"/>
      <c r="DP17" s="540"/>
      <c r="DQ17" s="540"/>
      <c r="DR17" s="540"/>
      <c r="DS17" s="540"/>
      <c r="DT17" s="540"/>
      <c r="DU17" s="540"/>
      <c r="DV17" s="540"/>
      <c r="DW17" s="540"/>
      <c r="DX17" s="541"/>
      <c r="DY17" s="539" t="s">
        <v>131</v>
      </c>
      <c r="DZ17" s="540"/>
      <c r="EA17" s="540"/>
      <c r="EB17" s="540"/>
      <c r="EC17" s="540"/>
      <c r="ED17" s="540"/>
      <c r="EE17" s="540"/>
      <c r="EF17" s="540"/>
      <c r="EG17" s="540"/>
      <c r="EH17" s="540"/>
      <c r="EI17" s="540"/>
      <c r="EJ17" s="540"/>
      <c r="EK17" s="540"/>
      <c r="EL17" s="540"/>
      <c r="EM17" s="540"/>
      <c r="EN17" s="540"/>
      <c r="EO17" s="540"/>
      <c r="EP17" s="540"/>
      <c r="EQ17" s="540"/>
      <c r="ER17" s="541"/>
      <c r="ES17" s="539" t="s">
        <v>132</v>
      </c>
      <c r="ET17" s="540"/>
      <c r="EU17" s="540"/>
      <c r="EV17" s="540"/>
      <c r="EW17" s="540"/>
      <c r="EX17" s="540"/>
      <c r="EY17" s="540"/>
      <c r="EZ17" s="540"/>
      <c r="FA17" s="540"/>
      <c r="FB17" s="540"/>
      <c r="FC17" s="540"/>
      <c r="FD17" s="540"/>
      <c r="FE17" s="540"/>
      <c r="FF17" s="540"/>
      <c r="FG17" s="540"/>
      <c r="FH17" s="540"/>
      <c r="FI17" s="540"/>
      <c r="FJ17" s="540"/>
      <c r="FK17" s="540"/>
      <c r="FL17" s="541"/>
      <c r="FM17" s="350"/>
      <c r="FN17" s="539" t="s">
        <v>133</v>
      </c>
      <c r="FO17" s="540"/>
      <c r="FP17" s="540"/>
      <c r="FQ17" s="540"/>
      <c r="FR17" s="540"/>
      <c r="FS17" s="540"/>
      <c r="FT17" s="540"/>
      <c r="FU17" s="540"/>
      <c r="FV17" s="540"/>
      <c r="FW17" s="540"/>
      <c r="FX17" s="540"/>
      <c r="FY17" s="540"/>
      <c r="FZ17" s="540"/>
      <c r="GA17" s="540"/>
      <c r="GB17" s="540"/>
      <c r="GC17" s="540"/>
      <c r="GD17" s="540"/>
      <c r="GE17" s="540"/>
      <c r="GF17" s="540"/>
      <c r="GG17" s="541"/>
      <c r="GH17" s="539" t="s">
        <v>134</v>
      </c>
      <c r="GI17" s="540"/>
      <c r="GJ17" s="540"/>
      <c r="GK17" s="540"/>
      <c r="GL17" s="540"/>
      <c r="GM17" s="540"/>
      <c r="GN17" s="540"/>
      <c r="GO17" s="540"/>
      <c r="GP17" s="540"/>
      <c r="GQ17" s="540"/>
      <c r="GR17" s="540"/>
      <c r="GS17" s="540"/>
      <c r="GT17" s="540"/>
      <c r="GU17" s="540"/>
      <c r="GV17" s="540"/>
      <c r="GW17" s="540"/>
      <c r="GX17" s="540"/>
      <c r="GY17" s="540"/>
      <c r="GZ17" s="540"/>
      <c r="HA17" s="541"/>
      <c r="HD17" s="539" t="s">
        <v>136</v>
      </c>
      <c r="HE17" s="540"/>
      <c r="HF17" s="540"/>
      <c r="HG17" s="540"/>
      <c r="HH17" s="540"/>
      <c r="HI17" s="540"/>
      <c r="HJ17" s="540"/>
      <c r="HK17" s="540"/>
      <c r="HL17" s="540"/>
      <c r="HM17" s="540"/>
      <c r="HN17" s="540"/>
      <c r="HO17" s="540"/>
      <c r="HP17" s="540"/>
      <c r="HQ17" s="540"/>
      <c r="HR17" s="540"/>
      <c r="HS17" s="540"/>
      <c r="HT17" s="540"/>
      <c r="HU17" s="540"/>
      <c r="HV17" s="540"/>
      <c r="HW17" s="541"/>
    </row>
    <row r="18" spans="1:252" ht="15.75" thickBot="1" x14ac:dyDescent="0.3">
      <c r="G18" s="36" t="s">
        <v>73</v>
      </c>
      <c r="H18" s="36" t="s">
        <v>52</v>
      </c>
      <c r="I18" s="126" t="s">
        <v>59</v>
      </c>
      <c r="J18" s="127" t="s">
        <v>60</v>
      </c>
      <c r="K18" s="127" t="s">
        <v>62</v>
      </c>
      <c r="L18" s="127" t="s">
        <v>61</v>
      </c>
      <c r="M18" s="127" t="s">
        <v>17</v>
      </c>
      <c r="N18" s="127" t="s">
        <v>18</v>
      </c>
      <c r="O18" s="127" t="s">
        <v>63</v>
      </c>
      <c r="P18" s="127" t="s">
        <v>64</v>
      </c>
      <c r="Q18" s="127" t="s">
        <v>22</v>
      </c>
      <c r="R18" s="127" t="s">
        <v>70</v>
      </c>
      <c r="S18" s="127" t="s">
        <v>65</v>
      </c>
      <c r="T18" s="127" t="s">
        <v>66</v>
      </c>
      <c r="U18" s="127" t="s">
        <v>35</v>
      </c>
      <c r="V18" s="127" t="s">
        <v>36</v>
      </c>
      <c r="W18" s="127" t="s">
        <v>37</v>
      </c>
      <c r="X18" s="127" t="s">
        <v>39</v>
      </c>
      <c r="Y18" s="127" t="s">
        <v>42</v>
      </c>
      <c r="Z18" s="127" t="s">
        <v>67</v>
      </c>
      <c r="AA18" s="127" t="s">
        <v>68</v>
      </c>
      <c r="AB18" s="128" t="s">
        <v>69</v>
      </c>
      <c r="AC18" s="126" t="s">
        <v>59</v>
      </c>
      <c r="AD18" s="127" t="s">
        <v>60</v>
      </c>
      <c r="AE18" s="127" t="s">
        <v>62</v>
      </c>
      <c r="AF18" s="127" t="s">
        <v>61</v>
      </c>
      <c r="AG18" s="127" t="s">
        <v>17</v>
      </c>
      <c r="AH18" s="127" t="s">
        <v>18</v>
      </c>
      <c r="AI18" s="127" t="s">
        <v>63</v>
      </c>
      <c r="AJ18" s="127" t="s">
        <v>64</v>
      </c>
      <c r="AK18" s="127" t="s">
        <v>22</v>
      </c>
      <c r="AL18" s="127" t="s">
        <v>70</v>
      </c>
      <c r="AM18" s="127" t="s">
        <v>65</v>
      </c>
      <c r="AN18" s="127" t="s">
        <v>66</v>
      </c>
      <c r="AO18" s="127" t="s">
        <v>35</v>
      </c>
      <c r="AP18" s="127" t="s">
        <v>36</v>
      </c>
      <c r="AQ18" s="127" t="s">
        <v>37</v>
      </c>
      <c r="AR18" s="127" t="s">
        <v>39</v>
      </c>
      <c r="AS18" s="127" t="s">
        <v>42</v>
      </c>
      <c r="AT18" s="127" t="s">
        <v>67</v>
      </c>
      <c r="AU18" s="127" t="s">
        <v>68</v>
      </c>
      <c r="AV18" s="128" t="s">
        <v>69</v>
      </c>
      <c r="AW18" s="126" t="s">
        <v>59</v>
      </c>
      <c r="AX18" s="127" t="s">
        <v>60</v>
      </c>
      <c r="AY18" s="127" t="s">
        <v>62</v>
      </c>
      <c r="AZ18" s="127" t="s">
        <v>61</v>
      </c>
      <c r="BA18" s="127" t="s">
        <v>17</v>
      </c>
      <c r="BB18" s="127" t="s">
        <v>18</v>
      </c>
      <c r="BC18" s="127" t="s">
        <v>63</v>
      </c>
      <c r="BD18" s="127" t="s">
        <v>64</v>
      </c>
      <c r="BE18" s="127" t="s">
        <v>22</v>
      </c>
      <c r="BF18" s="127" t="s">
        <v>70</v>
      </c>
      <c r="BG18" s="127" t="s">
        <v>65</v>
      </c>
      <c r="BH18" s="127" t="s">
        <v>66</v>
      </c>
      <c r="BI18" s="127" t="s">
        <v>35</v>
      </c>
      <c r="BJ18" s="127" t="s">
        <v>36</v>
      </c>
      <c r="BK18" s="127" t="s">
        <v>37</v>
      </c>
      <c r="BL18" s="127" t="s">
        <v>39</v>
      </c>
      <c r="BM18" s="127" t="s">
        <v>42</v>
      </c>
      <c r="BN18" s="127" t="s">
        <v>67</v>
      </c>
      <c r="BO18" s="127" t="s">
        <v>68</v>
      </c>
      <c r="BP18" s="128" t="s">
        <v>69</v>
      </c>
      <c r="BQ18" s="126" t="s">
        <v>59</v>
      </c>
      <c r="BR18" s="127" t="s">
        <v>60</v>
      </c>
      <c r="BS18" s="127" t="s">
        <v>62</v>
      </c>
      <c r="BT18" s="127" t="s">
        <v>61</v>
      </c>
      <c r="BU18" s="127" t="s">
        <v>17</v>
      </c>
      <c r="BV18" s="127" t="s">
        <v>18</v>
      </c>
      <c r="BW18" s="127" t="s">
        <v>63</v>
      </c>
      <c r="BX18" s="127" t="s">
        <v>64</v>
      </c>
      <c r="BY18" s="127" t="s">
        <v>22</v>
      </c>
      <c r="BZ18" s="127" t="s">
        <v>70</v>
      </c>
      <c r="CA18" s="127" t="s">
        <v>65</v>
      </c>
      <c r="CB18" s="127" t="s">
        <v>66</v>
      </c>
      <c r="CC18" s="127" t="s">
        <v>35</v>
      </c>
      <c r="CD18" s="127" t="s">
        <v>36</v>
      </c>
      <c r="CE18" s="127" t="s">
        <v>37</v>
      </c>
      <c r="CF18" s="127" t="s">
        <v>39</v>
      </c>
      <c r="CG18" s="127" t="s">
        <v>42</v>
      </c>
      <c r="CH18" s="127" t="s">
        <v>67</v>
      </c>
      <c r="CI18" s="127" t="s">
        <v>68</v>
      </c>
      <c r="CJ18" s="128" t="s">
        <v>69</v>
      </c>
      <c r="CK18" s="126" t="s">
        <v>59</v>
      </c>
      <c r="CL18" s="127" t="s">
        <v>60</v>
      </c>
      <c r="CM18" s="127" t="s">
        <v>62</v>
      </c>
      <c r="CN18" s="127" t="s">
        <v>61</v>
      </c>
      <c r="CO18" s="127" t="s">
        <v>17</v>
      </c>
      <c r="CP18" s="127" t="s">
        <v>18</v>
      </c>
      <c r="CQ18" s="127" t="s">
        <v>63</v>
      </c>
      <c r="CR18" s="127" t="s">
        <v>64</v>
      </c>
      <c r="CS18" s="127" t="s">
        <v>22</v>
      </c>
      <c r="CT18" s="127" t="s">
        <v>70</v>
      </c>
      <c r="CU18" s="127" t="s">
        <v>65</v>
      </c>
      <c r="CV18" s="127" t="s">
        <v>66</v>
      </c>
      <c r="CW18" s="127" t="s">
        <v>35</v>
      </c>
      <c r="CX18" s="127" t="s">
        <v>36</v>
      </c>
      <c r="CY18" s="127" t="s">
        <v>37</v>
      </c>
      <c r="CZ18" s="127" t="s">
        <v>39</v>
      </c>
      <c r="DA18" s="127" t="s">
        <v>42</v>
      </c>
      <c r="DB18" s="127" t="s">
        <v>67</v>
      </c>
      <c r="DC18" s="127" t="s">
        <v>68</v>
      </c>
      <c r="DD18" s="128" t="s">
        <v>69</v>
      </c>
      <c r="DE18" s="126" t="s">
        <v>59</v>
      </c>
      <c r="DF18" s="127" t="s">
        <v>60</v>
      </c>
      <c r="DG18" s="127" t="s">
        <v>62</v>
      </c>
      <c r="DH18" s="127" t="s">
        <v>61</v>
      </c>
      <c r="DI18" s="127" t="s">
        <v>17</v>
      </c>
      <c r="DJ18" s="127" t="s">
        <v>18</v>
      </c>
      <c r="DK18" s="127" t="s">
        <v>63</v>
      </c>
      <c r="DL18" s="127" t="s">
        <v>64</v>
      </c>
      <c r="DM18" s="127" t="s">
        <v>22</v>
      </c>
      <c r="DN18" s="127" t="s">
        <v>70</v>
      </c>
      <c r="DO18" s="127" t="s">
        <v>65</v>
      </c>
      <c r="DP18" s="127" t="s">
        <v>66</v>
      </c>
      <c r="DQ18" s="127" t="s">
        <v>35</v>
      </c>
      <c r="DR18" s="127" t="s">
        <v>36</v>
      </c>
      <c r="DS18" s="127" t="s">
        <v>37</v>
      </c>
      <c r="DT18" s="127" t="s">
        <v>39</v>
      </c>
      <c r="DU18" s="127" t="s">
        <v>42</v>
      </c>
      <c r="DV18" s="127" t="s">
        <v>67</v>
      </c>
      <c r="DW18" s="127" t="s">
        <v>68</v>
      </c>
      <c r="DX18" s="128" t="s">
        <v>69</v>
      </c>
      <c r="DY18" s="126" t="s">
        <v>59</v>
      </c>
      <c r="DZ18" s="127" t="s">
        <v>60</v>
      </c>
      <c r="EA18" s="127" t="s">
        <v>62</v>
      </c>
      <c r="EB18" s="127" t="s">
        <v>61</v>
      </c>
      <c r="EC18" s="127" t="s">
        <v>17</v>
      </c>
      <c r="ED18" s="127" t="s">
        <v>18</v>
      </c>
      <c r="EE18" s="127" t="s">
        <v>63</v>
      </c>
      <c r="EF18" s="127" t="s">
        <v>64</v>
      </c>
      <c r="EG18" s="127" t="s">
        <v>22</v>
      </c>
      <c r="EH18" s="127" t="s">
        <v>70</v>
      </c>
      <c r="EI18" s="127" t="s">
        <v>65</v>
      </c>
      <c r="EJ18" s="127" t="s">
        <v>66</v>
      </c>
      <c r="EK18" s="127" t="s">
        <v>35</v>
      </c>
      <c r="EL18" s="127" t="s">
        <v>36</v>
      </c>
      <c r="EM18" s="127" t="s">
        <v>37</v>
      </c>
      <c r="EN18" s="127" t="s">
        <v>39</v>
      </c>
      <c r="EO18" s="127" t="s">
        <v>42</v>
      </c>
      <c r="EP18" s="127" t="s">
        <v>67</v>
      </c>
      <c r="EQ18" s="127" t="s">
        <v>68</v>
      </c>
      <c r="ER18" s="128" t="s">
        <v>69</v>
      </c>
      <c r="ES18" s="126" t="s">
        <v>59</v>
      </c>
      <c r="ET18" s="127" t="s">
        <v>60</v>
      </c>
      <c r="EU18" s="127" t="s">
        <v>62</v>
      </c>
      <c r="EV18" s="127" t="s">
        <v>61</v>
      </c>
      <c r="EW18" s="127" t="s">
        <v>17</v>
      </c>
      <c r="EX18" s="127" t="s">
        <v>18</v>
      </c>
      <c r="EY18" s="127" t="s">
        <v>63</v>
      </c>
      <c r="EZ18" s="127" t="s">
        <v>64</v>
      </c>
      <c r="FA18" s="127" t="s">
        <v>22</v>
      </c>
      <c r="FB18" s="127" t="s">
        <v>70</v>
      </c>
      <c r="FC18" s="127" t="s">
        <v>65</v>
      </c>
      <c r="FD18" s="127" t="s">
        <v>66</v>
      </c>
      <c r="FE18" s="127" t="s">
        <v>35</v>
      </c>
      <c r="FF18" s="127" t="s">
        <v>36</v>
      </c>
      <c r="FG18" s="127" t="s">
        <v>37</v>
      </c>
      <c r="FH18" s="127" t="s">
        <v>39</v>
      </c>
      <c r="FI18" s="127" t="s">
        <v>42</v>
      </c>
      <c r="FJ18" s="127" t="s">
        <v>67</v>
      </c>
      <c r="FK18" s="127" t="s">
        <v>68</v>
      </c>
      <c r="FL18" s="128" t="s">
        <v>69</v>
      </c>
      <c r="FM18" s="197" t="s">
        <v>83</v>
      </c>
      <c r="FN18" s="126" t="s">
        <v>59</v>
      </c>
      <c r="FO18" s="127" t="s">
        <v>60</v>
      </c>
      <c r="FP18" s="127" t="s">
        <v>62</v>
      </c>
      <c r="FQ18" s="127" t="s">
        <v>61</v>
      </c>
      <c r="FR18" s="127" t="s">
        <v>17</v>
      </c>
      <c r="FS18" s="127" t="s">
        <v>18</v>
      </c>
      <c r="FT18" s="127" t="s">
        <v>63</v>
      </c>
      <c r="FU18" s="127" t="s">
        <v>64</v>
      </c>
      <c r="FV18" s="127" t="s">
        <v>22</v>
      </c>
      <c r="FW18" s="127" t="s">
        <v>70</v>
      </c>
      <c r="FX18" s="127" t="s">
        <v>65</v>
      </c>
      <c r="FY18" s="127" t="s">
        <v>66</v>
      </c>
      <c r="FZ18" s="127" t="s">
        <v>35</v>
      </c>
      <c r="GA18" s="127" t="s">
        <v>36</v>
      </c>
      <c r="GB18" s="127" t="s">
        <v>37</v>
      </c>
      <c r="GC18" s="127" t="s">
        <v>39</v>
      </c>
      <c r="GD18" s="127" t="s">
        <v>42</v>
      </c>
      <c r="GE18" s="127" t="s">
        <v>67</v>
      </c>
      <c r="GF18" s="127" t="s">
        <v>68</v>
      </c>
      <c r="GG18" s="128" t="s">
        <v>69</v>
      </c>
      <c r="GH18" s="126" t="s">
        <v>59</v>
      </c>
      <c r="GI18" s="127" t="s">
        <v>60</v>
      </c>
      <c r="GJ18" s="127" t="s">
        <v>62</v>
      </c>
      <c r="GK18" s="127" t="s">
        <v>61</v>
      </c>
      <c r="GL18" s="127" t="s">
        <v>17</v>
      </c>
      <c r="GM18" s="127" t="s">
        <v>18</v>
      </c>
      <c r="GN18" s="127" t="s">
        <v>63</v>
      </c>
      <c r="GO18" s="127" t="s">
        <v>64</v>
      </c>
      <c r="GP18" s="127" t="s">
        <v>22</v>
      </c>
      <c r="GQ18" s="127" t="s">
        <v>70</v>
      </c>
      <c r="GR18" s="127" t="s">
        <v>65</v>
      </c>
      <c r="GS18" s="127" t="s">
        <v>66</v>
      </c>
      <c r="GT18" s="127" t="s">
        <v>35</v>
      </c>
      <c r="GU18" s="127" t="s">
        <v>36</v>
      </c>
      <c r="GV18" s="127" t="s">
        <v>37</v>
      </c>
      <c r="GW18" s="127" t="s">
        <v>39</v>
      </c>
      <c r="GX18" s="127" t="s">
        <v>42</v>
      </c>
      <c r="GY18" s="127" t="s">
        <v>67</v>
      </c>
      <c r="GZ18" s="127" t="s">
        <v>68</v>
      </c>
      <c r="HA18" s="128" t="s">
        <v>69</v>
      </c>
      <c r="HB18" s="193" t="s">
        <v>83</v>
      </c>
      <c r="HD18" s="126" t="s">
        <v>59</v>
      </c>
      <c r="HE18" s="127" t="s">
        <v>60</v>
      </c>
      <c r="HF18" s="127" t="s">
        <v>62</v>
      </c>
      <c r="HG18" s="127" t="s">
        <v>61</v>
      </c>
      <c r="HH18" s="127" t="s">
        <v>17</v>
      </c>
      <c r="HI18" s="127" t="s">
        <v>18</v>
      </c>
      <c r="HJ18" s="127" t="s">
        <v>63</v>
      </c>
      <c r="HK18" s="127" t="s">
        <v>64</v>
      </c>
      <c r="HL18" s="127" t="s">
        <v>22</v>
      </c>
      <c r="HM18" s="127" t="s">
        <v>70</v>
      </c>
      <c r="HN18" s="127" t="s">
        <v>65</v>
      </c>
      <c r="HO18" s="127" t="s">
        <v>66</v>
      </c>
      <c r="HP18" s="127" t="s">
        <v>35</v>
      </c>
      <c r="HQ18" s="127" t="s">
        <v>36</v>
      </c>
      <c r="HR18" s="127" t="s">
        <v>37</v>
      </c>
      <c r="HS18" s="127" t="s">
        <v>39</v>
      </c>
      <c r="HT18" s="127" t="s">
        <v>42</v>
      </c>
      <c r="HU18" s="127" t="s">
        <v>67</v>
      </c>
      <c r="HV18" s="127" t="s">
        <v>68</v>
      </c>
      <c r="HW18" s="128" t="s">
        <v>69</v>
      </c>
    </row>
    <row r="19" spans="1:252" ht="15.75" thickBot="1" x14ac:dyDescent="0.3">
      <c r="G19" s="37" t="s">
        <v>74</v>
      </c>
      <c r="H19" s="123" t="s">
        <v>12</v>
      </c>
      <c r="I19" s="131">
        <v>39.775852379323055</v>
      </c>
      <c r="J19" s="132">
        <v>30.880153762112659</v>
      </c>
      <c r="K19" s="132">
        <v>26.415966518519792</v>
      </c>
      <c r="L19" s="132">
        <v>28.2555412866942</v>
      </c>
      <c r="M19" s="132">
        <v>26.932342207540607</v>
      </c>
      <c r="N19" s="132">
        <v>17.05862825600072</v>
      </c>
      <c r="O19" s="132">
        <v>15.183203044049282</v>
      </c>
      <c r="P19" s="133">
        <v>14.322983319748673</v>
      </c>
      <c r="Q19" s="133"/>
      <c r="R19" s="133">
        <v>11.83129331148055</v>
      </c>
      <c r="S19" s="134">
        <v>18.925041170451312</v>
      </c>
      <c r="T19" s="133"/>
      <c r="U19" s="133"/>
      <c r="V19" s="133">
        <v>14.123777398502911</v>
      </c>
      <c r="W19" s="133"/>
      <c r="X19" s="133"/>
      <c r="Y19" s="133"/>
      <c r="Z19" s="133"/>
      <c r="AA19" s="133"/>
      <c r="AB19" s="150"/>
      <c r="AC19" s="159">
        <v>-0.95</v>
      </c>
      <c r="AD19" s="143">
        <v>-0.48</v>
      </c>
      <c r="AE19" s="143">
        <v>-0.95</v>
      </c>
      <c r="AF19" s="143">
        <v>-0.43</v>
      </c>
      <c r="AG19" s="143">
        <v>-2.1800000000000002</v>
      </c>
      <c r="AH19" s="143">
        <v>-2.79</v>
      </c>
      <c r="AI19" s="143">
        <v>-2.31</v>
      </c>
      <c r="AJ19" s="143">
        <v>-1.6</v>
      </c>
      <c r="AK19" s="143">
        <v>-10.46</v>
      </c>
      <c r="AL19" s="143">
        <v>-1.62</v>
      </c>
      <c r="AM19" s="143">
        <v>-3.32</v>
      </c>
      <c r="AN19" s="143"/>
      <c r="AO19" s="143"/>
      <c r="AP19" s="143">
        <v>-7.64</v>
      </c>
      <c r="AQ19" s="143"/>
      <c r="AR19" s="143"/>
      <c r="AS19" s="143"/>
      <c r="AT19" s="143"/>
      <c r="AU19" s="143"/>
      <c r="AV19" s="160"/>
      <c r="AW19" s="165">
        <f>'Thai input'!G51</f>
        <v>4774385</v>
      </c>
      <c r="AX19" s="165">
        <f>'Thai input'!H51</f>
        <v>16208118</v>
      </c>
      <c r="AY19" s="165">
        <f>'Thai input'!I51</f>
        <v>11718064</v>
      </c>
      <c r="AZ19" s="165">
        <f>'Thai input'!J51</f>
        <v>14525525</v>
      </c>
      <c r="BA19" s="165">
        <f>'Thai input'!K51</f>
        <v>10107608</v>
      </c>
      <c r="BB19" s="165">
        <f>'Thai input'!L51</f>
        <v>8347335</v>
      </c>
      <c r="BC19" s="165">
        <f>'Thai input'!M51</f>
        <v>9520310</v>
      </c>
      <c r="BD19" s="165">
        <f>'Thai input'!N51</f>
        <v>3177242</v>
      </c>
      <c r="BE19" s="165">
        <f>'Thai input'!O51</f>
        <v>445675</v>
      </c>
      <c r="BF19" s="165">
        <f>'Thai input'!P51</f>
        <v>49250215</v>
      </c>
      <c r="BG19" s="165">
        <f>'Thai input'!Q51</f>
        <v>3516607</v>
      </c>
      <c r="BH19" s="165">
        <f>'Thai input'!R51</f>
        <v>0</v>
      </c>
      <c r="BI19" s="165">
        <f>'Thai input'!S51</f>
        <v>0</v>
      </c>
      <c r="BJ19" s="165">
        <f>'Thai input'!T51</f>
        <v>2691868</v>
      </c>
      <c r="BK19" s="165">
        <f>'Thai input'!U51</f>
        <v>0</v>
      </c>
      <c r="BL19" s="165">
        <f>'Thai input'!V51</f>
        <v>0</v>
      </c>
      <c r="BM19" s="165">
        <f>'Thai input'!W51</f>
        <v>0</v>
      </c>
      <c r="BN19" s="165">
        <f>'Thai input'!X51</f>
        <v>0</v>
      </c>
      <c r="BO19" s="165">
        <f>'Thai input'!Y51</f>
        <v>0</v>
      </c>
      <c r="BP19" s="165">
        <f>'Thai input'!Z51</f>
        <v>0</v>
      </c>
      <c r="BQ19" s="348">
        <f>AW19*'Thai input'!$K4</f>
        <v>205298.55499999999</v>
      </c>
      <c r="BR19" s="134">
        <f>AX19*'Thai input'!$K4</f>
        <v>696949.07399999991</v>
      </c>
      <c r="BS19" s="134">
        <f>AY19*'Thai input'!$K4</f>
        <v>503876.75199999998</v>
      </c>
      <c r="BT19" s="134">
        <f>AZ19*'Thai input'!$K4</f>
        <v>624597.57499999995</v>
      </c>
      <c r="BU19" s="134">
        <f>BA19*'Thai input'!$K4</f>
        <v>434627.14399999997</v>
      </c>
      <c r="BV19" s="134">
        <f>BB19*'Thai input'!$K4</f>
        <v>358935.40499999997</v>
      </c>
      <c r="BW19" s="134">
        <f>BC19*'Thai input'!$K4</f>
        <v>409373.32999999996</v>
      </c>
      <c r="BX19" s="134">
        <f>BD19*'Thai input'!$K4</f>
        <v>136621.40599999999</v>
      </c>
      <c r="BY19" s="134">
        <f>BE19*'Thai input'!$K4</f>
        <v>19164.024999999998</v>
      </c>
      <c r="BZ19" s="134">
        <f>BF19*'Thai input'!$K4</f>
        <v>2117759.2449999996</v>
      </c>
      <c r="CA19" s="134">
        <f>BG19*'Thai input'!$K4</f>
        <v>151214.101</v>
      </c>
      <c r="CB19" s="134">
        <f>BH19*'Thai input'!$K4</f>
        <v>0</v>
      </c>
      <c r="CC19" s="134">
        <f>BI19*'Thai input'!$K4</f>
        <v>0</v>
      </c>
      <c r="CD19" s="134">
        <f>BJ19*'Thai input'!$K4</f>
        <v>115750.32399999999</v>
      </c>
      <c r="CE19" s="134">
        <f>BK19*'Thai input'!$K4</f>
        <v>0</v>
      </c>
      <c r="CF19" s="134">
        <f>BL19*'Thai input'!$K4</f>
        <v>0</v>
      </c>
      <c r="CG19" s="134">
        <f>BM19*'Thai input'!$K4</f>
        <v>0</v>
      </c>
      <c r="CH19" s="134">
        <f>BN19*'Thai input'!$K4</f>
        <v>0</v>
      </c>
      <c r="CI19" s="134">
        <f>BO19*'Thai input'!$K4</f>
        <v>0</v>
      </c>
      <c r="CJ19" s="166">
        <f>BP19*'Thai input'!$K4</f>
        <v>0</v>
      </c>
      <c r="CK19" s="253">
        <f>Calculator!AG13</f>
        <v>39.775852379323055</v>
      </c>
      <c r="CL19" s="253">
        <f>Calculator!AH13</f>
        <v>30.880153762112659</v>
      </c>
      <c r="CM19" s="253">
        <f>Calculator!AI13</f>
        <v>26.415966518519792</v>
      </c>
      <c r="CN19" s="253">
        <f>Calculator!AJ13</f>
        <v>28.2555412866942</v>
      </c>
      <c r="CO19" s="253">
        <f>Calculator!AK13</f>
        <v>26.932342207540607</v>
      </c>
      <c r="CP19" s="253">
        <f>Calculator!AL13</f>
        <v>17.05862825600072</v>
      </c>
      <c r="CQ19" s="253">
        <f>Calculator!AM13</f>
        <v>15.183203044049282</v>
      </c>
      <c r="CR19" s="253">
        <f>Calculator!AN13</f>
        <v>14.322983319748673</v>
      </c>
      <c r="CS19" s="253">
        <f>Calculator!AO13</f>
        <v>0</v>
      </c>
      <c r="CT19" s="254">
        <f>Calculator!AP13</f>
        <v>11.83129331148055</v>
      </c>
      <c r="CU19" s="254">
        <f>Calculator!AQ13</f>
        <v>18.925041170451312</v>
      </c>
      <c r="CV19" s="239">
        <f>Calculator!AR13</f>
        <v>0</v>
      </c>
      <c r="CW19" s="239">
        <f>Calculator!AS13</f>
        <v>0</v>
      </c>
      <c r="CX19" s="254">
        <f>Calculator!AT13</f>
        <v>14.123777398502911</v>
      </c>
      <c r="CY19" s="239">
        <f>Calculator!AU13</f>
        <v>0</v>
      </c>
      <c r="CZ19" s="239">
        <f>Calculator!AV13</f>
        <v>0</v>
      </c>
      <c r="DA19" s="239">
        <f>Calculator!AW13</f>
        <v>0</v>
      </c>
      <c r="DB19" s="239">
        <f>Calculator!AX13</f>
        <v>0</v>
      </c>
      <c r="DC19" s="239">
        <f>Calculator!AY13</f>
        <v>0</v>
      </c>
      <c r="DD19" s="240">
        <f>Calculator!AZ13</f>
        <v>0</v>
      </c>
      <c r="DE19" s="182">
        <f>IFERROR((CK19-I19)/I19,0)</f>
        <v>0</v>
      </c>
      <c r="DF19" s="183">
        <f t="shared" ref="DF19:DU24" si="8">IFERROR((CL19-J19)/J19,0)</f>
        <v>0</v>
      </c>
      <c r="DG19" s="183">
        <f t="shared" si="8"/>
        <v>0</v>
      </c>
      <c r="DH19" s="183">
        <f t="shared" si="8"/>
        <v>0</v>
      </c>
      <c r="DI19" s="183">
        <f t="shared" si="8"/>
        <v>0</v>
      </c>
      <c r="DJ19" s="183">
        <f t="shared" si="8"/>
        <v>0</v>
      </c>
      <c r="DK19" s="183">
        <f t="shared" si="8"/>
        <v>0</v>
      </c>
      <c r="DL19" s="183">
        <f t="shared" si="8"/>
        <v>0</v>
      </c>
      <c r="DM19" s="183">
        <f t="shared" si="8"/>
        <v>0</v>
      </c>
      <c r="DN19" s="183">
        <f t="shared" si="8"/>
        <v>0</v>
      </c>
      <c r="DO19" s="183">
        <f t="shared" si="8"/>
        <v>0</v>
      </c>
      <c r="DP19" s="183">
        <f t="shared" si="8"/>
        <v>0</v>
      </c>
      <c r="DQ19" s="183">
        <f t="shared" si="8"/>
        <v>0</v>
      </c>
      <c r="DR19" s="183">
        <f t="shared" si="8"/>
        <v>0</v>
      </c>
      <c r="DS19" s="183">
        <f t="shared" si="8"/>
        <v>0</v>
      </c>
      <c r="DT19" s="183">
        <f t="shared" si="8"/>
        <v>0</v>
      </c>
      <c r="DU19" s="183">
        <f t="shared" si="8"/>
        <v>0</v>
      </c>
      <c r="DV19" s="183">
        <f t="shared" ref="DV19:DX24" si="9">IFERROR((DB19-Z19)/Z19,0)</f>
        <v>0</v>
      </c>
      <c r="DW19" s="183">
        <f t="shared" si="9"/>
        <v>0</v>
      </c>
      <c r="DX19" s="189">
        <f t="shared" si="9"/>
        <v>0</v>
      </c>
      <c r="DY19" s="182">
        <f>DE19*AC19</f>
        <v>0</v>
      </c>
      <c r="DZ19" s="183">
        <f t="shared" ref="DZ19:ER24" si="10">DF19*AD19</f>
        <v>0</v>
      </c>
      <c r="EA19" s="183">
        <f t="shared" si="10"/>
        <v>0</v>
      </c>
      <c r="EB19" s="183">
        <f t="shared" si="10"/>
        <v>0</v>
      </c>
      <c r="EC19" s="183">
        <f t="shared" si="10"/>
        <v>0</v>
      </c>
      <c r="ED19" s="183">
        <f t="shared" si="10"/>
        <v>0</v>
      </c>
      <c r="EE19" s="183">
        <f t="shared" si="10"/>
        <v>0</v>
      </c>
      <c r="EF19" s="183">
        <f t="shared" si="10"/>
        <v>0</v>
      </c>
      <c r="EG19" s="183">
        <f t="shared" si="10"/>
        <v>0</v>
      </c>
      <c r="EH19" s="183">
        <f t="shared" si="10"/>
        <v>0</v>
      </c>
      <c r="EI19" s="183">
        <f t="shared" si="10"/>
        <v>0</v>
      </c>
      <c r="EJ19" s="183">
        <f t="shared" si="10"/>
        <v>0</v>
      </c>
      <c r="EK19" s="183">
        <f t="shared" si="10"/>
        <v>0</v>
      </c>
      <c r="EL19" s="183">
        <f t="shared" si="10"/>
        <v>0</v>
      </c>
      <c r="EM19" s="183">
        <f t="shared" si="10"/>
        <v>0</v>
      </c>
      <c r="EN19" s="183">
        <f t="shared" si="10"/>
        <v>0</v>
      </c>
      <c r="EO19" s="183">
        <f t="shared" si="10"/>
        <v>0</v>
      </c>
      <c r="EP19" s="183">
        <f t="shared" si="10"/>
        <v>0</v>
      </c>
      <c r="EQ19" s="183">
        <f t="shared" si="10"/>
        <v>0</v>
      </c>
      <c r="ER19" s="189">
        <f t="shared" si="10"/>
        <v>0</v>
      </c>
      <c r="ES19" s="16">
        <f>DY19*AW19</f>
        <v>0</v>
      </c>
      <c r="ET19" s="16">
        <f t="shared" ref="ET19:FI24" si="11">DZ19*AX19</f>
        <v>0</v>
      </c>
      <c r="EU19" s="16">
        <f t="shared" si="11"/>
        <v>0</v>
      </c>
      <c r="EV19" s="16">
        <f t="shared" si="11"/>
        <v>0</v>
      </c>
      <c r="EW19" s="16">
        <f t="shared" si="11"/>
        <v>0</v>
      </c>
      <c r="EX19" s="16">
        <f t="shared" si="11"/>
        <v>0</v>
      </c>
      <c r="EY19" s="16">
        <f t="shared" si="11"/>
        <v>0</v>
      </c>
      <c r="EZ19" s="16">
        <f t="shared" si="11"/>
        <v>0</v>
      </c>
      <c r="FA19" s="16">
        <f t="shared" si="11"/>
        <v>0</v>
      </c>
      <c r="FB19" s="16">
        <f t="shared" si="11"/>
        <v>0</v>
      </c>
      <c r="FC19" s="16">
        <f t="shared" si="11"/>
        <v>0</v>
      </c>
      <c r="FD19" s="16">
        <f t="shared" si="11"/>
        <v>0</v>
      </c>
      <c r="FE19" s="16">
        <f t="shared" si="11"/>
        <v>0</v>
      </c>
      <c r="FF19" s="16">
        <f t="shared" si="11"/>
        <v>0</v>
      </c>
      <c r="FG19" s="16">
        <f t="shared" si="11"/>
        <v>0</v>
      </c>
      <c r="FH19" s="16">
        <f t="shared" si="11"/>
        <v>0</v>
      </c>
      <c r="FI19" s="16">
        <f t="shared" si="11"/>
        <v>0</v>
      </c>
      <c r="FJ19" s="16">
        <f t="shared" ref="FJ19:FL24" si="12">EP19*BN19</f>
        <v>0</v>
      </c>
      <c r="FK19" s="16">
        <f t="shared" si="12"/>
        <v>0</v>
      </c>
      <c r="FL19" s="16">
        <f t="shared" si="12"/>
        <v>0</v>
      </c>
      <c r="FM19" s="16">
        <f>SUM(ES19:FL19)</f>
        <v>0</v>
      </c>
      <c r="FN19" s="16">
        <v>39.775852379323055</v>
      </c>
      <c r="FO19" s="16">
        <v>30.880153762112659</v>
      </c>
      <c r="FP19" s="16">
        <v>26.415966518519792</v>
      </c>
      <c r="FQ19" s="16">
        <v>28.2555412866942</v>
      </c>
      <c r="FR19" s="16">
        <v>26.932342207540607</v>
      </c>
      <c r="FS19" s="16">
        <v>17.05862825600072</v>
      </c>
      <c r="FT19" s="16">
        <v>15.183203044049282</v>
      </c>
      <c r="FU19" s="16">
        <v>14.322983319748673</v>
      </c>
      <c r="FV19" s="16">
        <v>15.447497661365762</v>
      </c>
      <c r="FW19" s="16">
        <v>11.83129331148055</v>
      </c>
      <c r="FX19" s="16">
        <v>18.925041170451312</v>
      </c>
      <c r="FY19" s="16"/>
      <c r="FZ19" s="16"/>
      <c r="GA19" s="16">
        <v>14.123777398502911</v>
      </c>
      <c r="GB19" s="16"/>
      <c r="GC19" s="16"/>
      <c r="GD19" s="16"/>
      <c r="GE19" s="16"/>
      <c r="GF19" s="16"/>
      <c r="GG19" s="16"/>
      <c r="GH19" s="195">
        <f>(AW19+BQ19)*(FN19-(FN19*(1+DE19)))</f>
        <v>0</v>
      </c>
      <c r="GI19" s="195">
        <f t="shared" ref="GI19:HA21" si="13">(AX19+BR19)*(FO19-(FO19*(1+DF19)))</f>
        <v>0</v>
      </c>
      <c r="GJ19" s="195">
        <f t="shared" si="13"/>
        <v>0</v>
      </c>
      <c r="GK19" s="195">
        <f t="shared" si="13"/>
        <v>0</v>
      </c>
      <c r="GL19" s="195">
        <f t="shared" si="13"/>
        <v>0</v>
      </c>
      <c r="GM19" s="195">
        <f t="shared" si="13"/>
        <v>0</v>
      </c>
      <c r="GN19" s="195">
        <f t="shared" si="13"/>
        <v>0</v>
      </c>
      <c r="GO19" s="195">
        <f t="shared" si="13"/>
        <v>0</v>
      </c>
      <c r="GP19" s="195">
        <f t="shared" si="13"/>
        <v>0</v>
      </c>
      <c r="GQ19" s="195">
        <f t="shared" si="13"/>
        <v>0</v>
      </c>
      <c r="GR19" s="195">
        <f t="shared" si="13"/>
        <v>0</v>
      </c>
      <c r="GS19" s="195">
        <f t="shared" si="13"/>
        <v>0</v>
      </c>
      <c r="GT19" s="195">
        <f t="shared" si="13"/>
        <v>0</v>
      </c>
      <c r="GU19" s="195">
        <f t="shared" si="13"/>
        <v>0</v>
      </c>
      <c r="GV19" s="195">
        <f t="shared" si="13"/>
        <v>0</v>
      </c>
      <c r="GW19" s="195">
        <f t="shared" si="13"/>
        <v>0</v>
      </c>
      <c r="GX19" s="195">
        <f t="shared" si="13"/>
        <v>0</v>
      </c>
      <c r="GY19" s="195">
        <f t="shared" si="13"/>
        <v>0</v>
      </c>
      <c r="GZ19" s="195">
        <f t="shared" si="13"/>
        <v>0</v>
      </c>
      <c r="HA19" s="195">
        <f t="shared" si="13"/>
        <v>0</v>
      </c>
      <c r="HB19" s="194">
        <f>SUM(GH19:HA19)</f>
        <v>0</v>
      </c>
    </row>
    <row r="20" spans="1:252" ht="15.75" thickBot="1" x14ac:dyDescent="0.3">
      <c r="G20" s="37" t="s">
        <v>74</v>
      </c>
      <c r="H20" s="124" t="s">
        <v>30</v>
      </c>
      <c r="I20" s="135"/>
      <c r="J20" s="125"/>
      <c r="K20" s="125">
        <v>28.926823216031032</v>
      </c>
      <c r="L20" s="125"/>
      <c r="M20" s="125"/>
      <c r="N20" s="125"/>
      <c r="O20" s="125"/>
      <c r="P20" s="125"/>
      <c r="Q20" s="23"/>
      <c r="R20" s="23">
        <v>10.077486339993728</v>
      </c>
      <c r="S20" s="23">
        <v>18.4945796448972</v>
      </c>
      <c r="T20" s="23">
        <v>14.13137292017319</v>
      </c>
      <c r="U20" s="23">
        <v>15.967553528361877</v>
      </c>
      <c r="V20" s="23">
        <v>14.626126006371658</v>
      </c>
      <c r="W20" s="23">
        <v>10.367940728580532</v>
      </c>
      <c r="X20" s="23"/>
      <c r="Y20" s="23"/>
      <c r="Z20" s="23"/>
      <c r="AA20" s="23"/>
      <c r="AB20" s="151"/>
      <c r="AC20" s="156"/>
      <c r="AD20" s="144"/>
      <c r="AE20" s="11">
        <v>-1.9964617216320666</v>
      </c>
      <c r="AF20" s="144"/>
      <c r="AG20" s="144"/>
      <c r="AH20" s="144"/>
      <c r="AI20" s="144"/>
      <c r="AJ20" s="144"/>
      <c r="AK20" s="11">
        <v>-1.3579826890188398</v>
      </c>
      <c r="AL20" s="11">
        <v>-0.24152690353913259</v>
      </c>
      <c r="AM20" s="24"/>
      <c r="AN20" s="11">
        <v>-0.7741135088541321</v>
      </c>
      <c r="AO20" s="24"/>
      <c r="AP20" s="11">
        <v>-1.2353875458571664</v>
      </c>
      <c r="AQ20" s="11">
        <v>-1.6144472370227569</v>
      </c>
      <c r="AR20" s="24"/>
      <c r="AS20" s="24"/>
      <c r="AT20" s="24"/>
      <c r="AU20" s="24"/>
      <c r="AV20" s="161"/>
      <c r="AW20" s="165">
        <f>'Thai input'!G52</f>
        <v>0</v>
      </c>
      <c r="AX20" s="165">
        <f>'Thai input'!H52</f>
        <v>0</v>
      </c>
      <c r="AY20" s="165">
        <f>'Thai input'!I52</f>
        <v>3168921</v>
      </c>
      <c r="AZ20" s="165">
        <f>'Thai input'!J52</f>
        <v>0</v>
      </c>
      <c r="BA20" s="165">
        <f>'Thai input'!K52</f>
        <v>0</v>
      </c>
      <c r="BB20" s="165">
        <f>'Thai input'!L52</f>
        <v>0</v>
      </c>
      <c r="BC20" s="165">
        <f>'Thai input'!M52</f>
        <v>0</v>
      </c>
      <c r="BD20" s="165">
        <f>'Thai input'!N52</f>
        <v>0</v>
      </c>
      <c r="BE20" s="165">
        <f>'Thai input'!O52</f>
        <v>163962</v>
      </c>
      <c r="BF20" s="165">
        <f>'Thai input'!P52</f>
        <v>657271</v>
      </c>
      <c r="BG20" s="165">
        <f>'Thai input'!Q52</f>
        <v>1593815</v>
      </c>
      <c r="BH20" s="165">
        <f>'Thai input'!R52</f>
        <v>692173</v>
      </c>
      <c r="BI20" s="165">
        <f>'Thai input'!S52</f>
        <v>98989</v>
      </c>
      <c r="BJ20" s="165">
        <f>'Thai input'!T52</f>
        <v>1025372</v>
      </c>
      <c r="BK20" s="165">
        <f>'Thai input'!U52</f>
        <v>167140</v>
      </c>
      <c r="BL20" s="165">
        <f>'Thai input'!V52</f>
        <v>0</v>
      </c>
      <c r="BM20" s="165">
        <f>'Thai input'!W52</f>
        <v>0</v>
      </c>
      <c r="BN20" s="165">
        <f>'Thai input'!X52</f>
        <v>0</v>
      </c>
      <c r="BO20" s="165">
        <f>'Thai input'!Y52</f>
        <v>0</v>
      </c>
      <c r="BP20" s="165">
        <f>'Thai input'!Z52</f>
        <v>0</v>
      </c>
      <c r="BQ20" s="167">
        <f>AW20*'Thai input'!$K5</f>
        <v>0</v>
      </c>
      <c r="BR20" s="16">
        <f>AX20*'Thai input'!$K5</f>
        <v>0</v>
      </c>
      <c r="BS20" s="16">
        <f>AY20*'Thai input'!$K5</f>
        <v>659135.56799999997</v>
      </c>
      <c r="BT20" s="16">
        <f>AZ20*'Thai input'!$K5</f>
        <v>0</v>
      </c>
      <c r="BU20" s="16">
        <f>BA20*'Thai input'!$K5</f>
        <v>0</v>
      </c>
      <c r="BV20" s="16">
        <f>BB20*'Thai input'!$K5</f>
        <v>0</v>
      </c>
      <c r="BW20" s="16">
        <f>BC20*'Thai input'!$K5</f>
        <v>0</v>
      </c>
      <c r="BX20" s="16">
        <f>BD20*'Thai input'!$K5</f>
        <v>0</v>
      </c>
      <c r="BY20" s="16">
        <f>BE20*'Thai input'!$K5</f>
        <v>34104.095999999998</v>
      </c>
      <c r="BZ20" s="16">
        <f>BF20*'Thai input'!$K5</f>
        <v>136712.36799999999</v>
      </c>
      <c r="CA20" s="16">
        <f>BG20*'Thai input'!$K5</f>
        <v>331513.51999999996</v>
      </c>
      <c r="CB20" s="16">
        <f>BH20*'Thai input'!$K5</f>
        <v>143971.984</v>
      </c>
      <c r="CC20" s="16">
        <f>BI20*'Thai input'!$K5</f>
        <v>20589.712</v>
      </c>
      <c r="CD20" s="16">
        <f>BJ20*'Thai input'!$K5</f>
        <v>213277.37599999999</v>
      </c>
      <c r="CE20" s="16">
        <f>BK20*'Thai input'!$K5</f>
        <v>34765.119999999995</v>
      </c>
      <c r="CF20" s="16">
        <f>BL20*'Thai input'!$K5</f>
        <v>0</v>
      </c>
      <c r="CG20" s="16">
        <f>BM20*'Thai input'!$K5</f>
        <v>0</v>
      </c>
      <c r="CH20" s="16">
        <f>BN20*'Thai input'!$K5</f>
        <v>0</v>
      </c>
      <c r="CI20" s="16">
        <f>BO20*'Thai input'!$K5</f>
        <v>0</v>
      </c>
      <c r="CJ20" s="168">
        <f>BP20*'Thai input'!$K5</f>
        <v>0</v>
      </c>
      <c r="CK20" s="241">
        <f>Calculator!AG40</f>
        <v>0</v>
      </c>
      <c r="CL20" s="242">
        <f>Calculator!AH40</f>
        <v>0</v>
      </c>
      <c r="CM20" s="253">
        <f>Calculator!AI40</f>
        <v>28.926823216031032</v>
      </c>
      <c r="CN20" s="242">
        <f>Calculator!AJ40</f>
        <v>0</v>
      </c>
      <c r="CO20" s="242">
        <f>Calculator!AK40</f>
        <v>0</v>
      </c>
      <c r="CP20" s="242">
        <f>Calculator!AL40</f>
        <v>0</v>
      </c>
      <c r="CQ20" s="242">
        <f>Calculator!AM40</f>
        <v>0</v>
      </c>
      <c r="CR20" s="242">
        <f>Calculator!AN40</f>
        <v>0</v>
      </c>
      <c r="CS20" s="242">
        <f>Calculator!AO40</f>
        <v>0</v>
      </c>
      <c r="CT20" s="255">
        <f>Calculator!AP40</f>
        <v>10.077486339993728</v>
      </c>
      <c r="CU20" s="255">
        <f>Calculator!AQ40</f>
        <v>18.4945796448972</v>
      </c>
      <c r="CV20" s="255">
        <f>Calculator!AR40</f>
        <v>14.13137292017319</v>
      </c>
      <c r="CW20" s="255">
        <f>Calculator!AS40</f>
        <v>15.967553528361877</v>
      </c>
      <c r="CX20" s="255">
        <f>Calculator!AT40</f>
        <v>14.626126006371658</v>
      </c>
      <c r="CY20" s="255">
        <f>Calculator!AU40</f>
        <v>10.367940728580532</v>
      </c>
      <c r="CZ20" s="242">
        <f>Calculator!AV40</f>
        <v>0</v>
      </c>
      <c r="DA20" s="242">
        <f>Calculator!AW40</f>
        <v>0</v>
      </c>
      <c r="DB20" s="242">
        <f>Calculator!AX40</f>
        <v>0</v>
      </c>
      <c r="DC20" s="242">
        <f>Calculator!AY40</f>
        <v>0</v>
      </c>
      <c r="DD20" s="243">
        <f>Calculator!AZ40</f>
        <v>0</v>
      </c>
      <c r="DE20" s="184">
        <f t="shared" ref="DE20:DE24" si="14">IFERROR((CK20-I20)/I20,0)</f>
        <v>0</v>
      </c>
      <c r="DF20" s="181">
        <f t="shared" si="8"/>
        <v>0</v>
      </c>
      <c r="DG20" s="181">
        <f t="shared" si="8"/>
        <v>0</v>
      </c>
      <c r="DH20" s="181">
        <f t="shared" si="8"/>
        <v>0</v>
      </c>
      <c r="DI20" s="181">
        <f t="shared" si="8"/>
        <v>0</v>
      </c>
      <c r="DJ20" s="181">
        <f t="shared" si="8"/>
        <v>0</v>
      </c>
      <c r="DK20" s="181">
        <f t="shared" si="8"/>
        <v>0</v>
      </c>
      <c r="DL20" s="181">
        <f t="shared" si="8"/>
        <v>0</v>
      </c>
      <c r="DM20" s="181">
        <f t="shared" si="8"/>
        <v>0</v>
      </c>
      <c r="DN20" s="181">
        <f t="shared" si="8"/>
        <v>0</v>
      </c>
      <c r="DO20" s="181">
        <f t="shared" si="8"/>
        <v>0</v>
      </c>
      <c r="DP20" s="181">
        <f t="shared" si="8"/>
        <v>0</v>
      </c>
      <c r="DQ20" s="181">
        <f t="shared" si="8"/>
        <v>0</v>
      </c>
      <c r="DR20" s="181">
        <f t="shared" si="8"/>
        <v>0</v>
      </c>
      <c r="DS20" s="181">
        <f t="shared" si="8"/>
        <v>0</v>
      </c>
      <c r="DT20" s="181">
        <f t="shared" si="8"/>
        <v>0</v>
      </c>
      <c r="DU20" s="181">
        <f t="shared" si="8"/>
        <v>0</v>
      </c>
      <c r="DV20" s="181">
        <f t="shared" si="9"/>
        <v>0</v>
      </c>
      <c r="DW20" s="181">
        <f t="shared" si="9"/>
        <v>0</v>
      </c>
      <c r="DX20" s="190">
        <f t="shared" si="9"/>
        <v>0</v>
      </c>
      <c r="DY20" s="184">
        <f t="shared" ref="DY20:DY24" si="15">DE20*AC20</f>
        <v>0</v>
      </c>
      <c r="DZ20" s="181">
        <f t="shared" si="10"/>
        <v>0</v>
      </c>
      <c r="EA20" s="181">
        <f t="shared" si="10"/>
        <v>0</v>
      </c>
      <c r="EB20" s="181">
        <f t="shared" si="10"/>
        <v>0</v>
      </c>
      <c r="EC20" s="181">
        <f t="shared" si="10"/>
        <v>0</v>
      </c>
      <c r="ED20" s="181">
        <f t="shared" si="10"/>
        <v>0</v>
      </c>
      <c r="EE20" s="181">
        <f t="shared" si="10"/>
        <v>0</v>
      </c>
      <c r="EF20" s="181">
        <f t="shared" si="10"/>
        <v>0</v>
      </c>
      <c r="EG20" s="181">
        <f t="shared" si="10"/>
        <v>0</v>
      </c>
      <c r="EH20" s="181">
        <f t="shared" si="10"/>
        <v>0</v>
      </c>
      <c r="EI20" s="181">
        <f t="shared" si="10"/>
        <v>0</v>
      </c>
      <c r="EJ20" s="181">
        <f t="shared" si="10"/>
        <v>0</v>
      </c>
      <c r="EK20" s="181">
        <f t="shared" si="10"/>
        <v>0</v>
      </c>
      <c r="EL20" s="181">
        <f t="shared" si="10"/>
        <v>0</v>
      </c>
      <c r="EM20" s="181">
        <f t="shared" si="10"/>
        <v>0</v>
      </c>
      <c r="EN20" s="181">
        <f t="shared" si="10"/>
        <v>0</v>
      </c>
      <c r="EO20" s="181">
        <f t="shared" si="10"/>
        <v>0</v>
      </c>
      <c r="EP20" s="181">
        <f t="shared" si="10"/>
        <v>0</v>
      </c>
      <c r="EQ20" s="181">
        <f t="shared" si="10"/>
        <v>0</v>
      </c>
      <c r="ER20" s="190">
        <f t="shared" si="10"/>
        <v>0</v>
      </c>
      <c r="ES20" s="16">
        <f t="shared" ref="ES20:ES24" si="16">DY20*AW20</f>
        <v>0</v>
      </c>
      <c r="ET20" s="16">
        <f t="shared" si="11"/>
        <v>0</v>
      </c>
      <c r="EU20" s="16">
        <f t="shared" si="11"/>
        <v>0</v>
      </c>
      <c r="EV20" s="16">
        <f t="shared" si="11"/>
        <v>0</v>
      </c>
      <c r="EW20" s="16">
        <f t="shared" si="11"/>
        <v>0</v>
      </c>
      <c r="EX20" s="16">
        <f t="shared" si="11"/>
        <v>0</v>
      </c>
      <c r="EY20" s="16">
        <f t="shared" si="11"/>
        <v>0</v>
      </c>
      <c r="EZ20" s="16">
        <f t="shared" si="11"/>
        <v>0</v>
      </c>
      <c r="FA20" s="16">
        <f t="shared" si="11"/>
        <v>0</v>
      </c>
      <c r="FB20" s="16">
        <f t="shared" si="11"/>
        <v>0</v>
      </c>
      <c r="FC20" s="16">
        <f t="shared" si="11"/>
        <v>0</v>
      </c>
      <c r="FD20" s="16">
        <f t="shared" si="11"/>
        <v>0</v>
      </c>
      <c r="FE20" s="16">
        <f t="shared" si="11"/>
        <v>0</v>
      </c>
      <c r="FF20" s="16">
        <f t="shared" si="11"/>
        <v>0</v>
      </c>
      <c r="FG20" s="16">
        <f t="shared" si="11"/>
        <v>0</v>
      </c>
      <c r="FH20" s="16">
        <f t="shared" si="11"/>
        <v>0</v>
      </c>
      <c r="FI20" s="16">
        <f t="shared" si="11"/>
        <v>0</v>
      </c>
      <c r="FJ20" s="16">
        <f t="shared" si="12"/>
        <v>0</v>
      </c>
      <c r="FK20" s="16">
        <f t="shared" si="12"/>
        <v>0</v>
      </c>
      <c r="FL20" s="16">
        <f t="shared" si="12"/>
        <v>0</v>
      </c>
      <c r="FM20" s="16">
        <f t="shared" ref="FM20:FM24" si="17">SUM(ES20:FL20)</f>
        <v>0</v>
      </c>
      <c r="FN20" s="16"/>
      <c r="FO20" s="16"/>
      <c r="FP20" s="16">
        <v>28.926823216031032</v>
      </c>
      <c r="FQ20" s="16"/>
      <c r="FR20" s="16"/>
      <c r="FS20" s="16"/>
      <c r="FT20" s="16"/>
      <c r="FU20" s="16"/>
      <c r="FV20" s="16">
        <v>15.976377952755904</v>
      </c>
      <c r="FW20" s="16">
        <v>10.077486339993728</v>
      </c>
      <c r="FX20" s="16">
        <v>18.4945796448972</v>
      </c>
      <c r="FY20" s="16">
        <v>14.13137292017319</v>
      </c>
      <c r="FZ20" s="16">
        <v>15.967553528361877</v>
      </c>
      <c r="GA20" s="16">
        <v>14.626126006371658</v>
      </c>
      <c r="GB20" s="16">
        <v>10.367940728580532</v>
      </c>
      <c r="GC20" s="16"/>
      <c r="GD20" s="16"/>
      <c r="GE20" s="16"/>
      <c r="GF20" s="16"/>
      <c r="GG20" s="16"/>
      <c r="GH20" s="195">
        <f t="shared" ref="GH20:GH21" si="18">(AW20+BQ20)*(FN20-(FN20*(1+DE20)))</f>
        <v>0</v>
      </c>
      <c r="GI20" s="195">
        <f t="shared" si="13"/>
        <v>0</v>
      </c>
      <c r="GJ20" s="195">
        <f t="shared" si="13"/>
        <v>0</v>
      </c>
      <c r="GK20" s="195">
        <f t="shared" si="13"/>
        <v>0</v>
      </c>
      <c r="GL20" s="195">
        <f t="shared" si="13"/>
        <v>0</v>
      </c>
      <c r="GM20" s="195">
        <f t="shared" si="13"/>
        <v>0</v>
      </c>
      <c r="GN20" s="195">
        <f t="shared" si="13"/>
        <v>0</v>
      </c>
      <c r="GO20" s="195">
        <f t="shared" si="13"/>
        <v>0</v>
      </c>
      <c r="GP20" s="195">
        <f t="shared" si="13"/>
        <v>0</v>
      </c>
      <c r="GQ20" s="195">
        <f t="shared" si="13"/>
        <v>0</v>
      </c>
      <c r="GR20" s="195">
        <f t="shared" si="13"/>
        <v>0</v>
      </c>
      <c r="GS20" s="195">
        <f t="shared" si="13"/>
        <v>0</v>
      </c>
      <c r="GT20" s="195">
        <f t="shared" si="13"/>
        <v>0</v>
      </c>
      <c r="GU20" s="195">
        <f t="shared" si="13"/>
        <v>0</v>
      </c>
      <c r="GV20" s="195">
        <f t="shared" si="13"/>
        <v>0</v>
      </c>
      <c r="GW20" s="195">
        <f t="shared" si="13"/>
        <v>0</v>
      </c>
      <c r="GX20" s="195">
        <f t="shared" si="13"/>
        <v>0</v>
      </c>
      <c r="GY20" s="195">
        <f t="shared" si="13"/>
        <v>0</v>
      </c>
      <c r="GZ20" s="195">
        <f t="shared" si="13"/>
        <v>0</v>
      </c>
      <c r="HA20" s="195">
        <f t="shared" si="13"/>
        <v>0</v>
      </c>
      <c r="HB20" s="194">
        <f t="shared" ref="HB20:HB21" si="19">SUM(GH20:HA20)</f>
        <v>0</v>
      </c>
      <c r="HY20" s="539" t="s">
        <v>137</v>
      </c>
      <c r="HZ20" s="540"/>
      <c r="IA20" s="540"/>
      <c r="IB20" s="540"/>
      <c r="IC20" s="540"/>
      <c r="ID20" s="540"/>
      <c r="IE20" s="540"/>
      <c r="IF20" s="540"/>
      <c r="IG20" s="540"/>
      <c r="IH20" s="540"/>
      <c r="II20" s="540"/>
      <c r="IJ20" s="540"/>
      <c r="IK20" s="540"/>
      <c r="IL20" s="540"/>
      <c r="IM20" s="540"/>
      <c r="IN20" s="540"/>
      <c r="IO20" s="540"/>
      <c r="IP20" s="540"/>
      <c r="IQ20" s="540"/>
      <c r="IR20" s="541"/>
    </row>
    <row r="21" spans="1:252" ht="15.75" thickBot="1" x14ac:dyDescent="0.3">
      <c r="C21" t="s">
        <v>224</v>
      </c>
      <c r="G21" s="37" t="s">
        <v>74</v>
      </c>
      <c r="H21" s="124" t="s">
        <v>38</v>
      </c>
      <c r="I21" s="136"/>
      <c r="J21" s="137"/>
      <c r="K21" s="137">
        <v>29.479149059948661</v>
      </c>
      <c r="L21" s="137">
        <v>29.542317471848889</v>
      </c>
      <c r="M21" s="137"/>
      <c r="N21" s="137"/>
      <c r="O21" s="137"/>
      <c r="P21" s="137"/>
      <c r="Q21" s="25"/>
      <c r="R21" s="25"/>
      <c r="S21" s="25"/>
      <c r="T21" s="25"/>
      <c r="U21" s="25"/>
      <c r="V21" s="25">
        <v>12.524858109043448</v>
      </c>
      <c r="W21" s="25"/>
      <c r="X21" s="25"/>
      <c r="Y21" s="25">
        <v>14.302068492427839</v>
      </c>
      <c r="Z21" s="25">
        <v>14.132208560096787</v>
      </c>
      <c r="AA21" s="25">
        <v>10.486109047737465</v>
      </c>
      <c r="AB21" s="152">
        <v>10.029355963188261</v>
      </c>
      <c r="AC21" s="157"/>
      <c r="AD21" s="145"/>
      <c r="AE21" s="140">
        <v>-8.6036236984235931E-2</v>
      </c>
      <c r="AF21" s="140">
        <v>-0.27228653042776341</v>
      </c>
      <c r="AG21" s="145"/>
      <c r="AH21" s="145"/>
      <c r="AI21" s="145"/>
      <c r="AJ21" s="145"/>
      <c r="AK21" s="146"/>
      <c r="AL21" s="146"/>
      <c r="AM21" s="146"/>
      <c r="AN21" s="146"/>
      <c r="AO21" s="146"/>
      <c r="AP21" s="140">
        <v>-0.55996564997299236</v>
      </c>
      <c r="AQ21" s="146"/>
      <c r="AR21" s="140">
        <v>-0.61114499746997086</v>
      </c>
      <c r="AS21" s="140">
        <v>-0.99287033655828483</v>
      </c>
      <c r="AT21" s="140">
        <v>-0.61611378208246192</v>
      </c>
      <c r="AU21" s="140">
        <v>-1.1057394564139111</v>
      </c>
      <c r="AV21" s="162">
        <v>-0.62092537819194671</v>
      </c>
      <c r="AW21" s="165">
        <f>'Thai input'!G53</f>
        <v>0</v>
      </c>
      <c r="AX21" s="165">
        <f>'Thai input'!H53</f>
        <v>0</v>
      </c>
      <c r="AY21" s="165">
        <f>'Thai input'!I53</f>
        <v>864022</v>
      </c>
      <c r="AZ21" s="165">
        <f>'Thai input'!J53</f>
        <v>459199</v>
      </c>
      <c r="BA21" s="165">
        <f>'Thai input'!K53</f>
        <v>0</v>
      </c>
      <c r="BB21" s="165">
        <f>'Thai input'!L53</f>
        <v>0</v>
      </c>
      <c r="BC21" s="165">
        <f>'Thai input'!M53</f>
        <v>0</v>
      </c>
      <c r="BD21" s="165">
        <f>'Thai input'!N53</f>
        <v>0</v>
      </c>
      <c r="BE21" s="165">
        <f>'Thai input'!O53</f>
        <v>0</v>
      </c>
      <c r="BF21" s="165">
        <f>'Thai input'!P53</f>
        <v>0</v>
      </c>
      <c r="BG21" s="165">
        <f>'Thai input'!Q53</f>
        <v>0</v>
      </c>
      <c r="BH21" s="165">
        <f>'Thai input'!R53</f>
        <v>0</v>
      </c>
      <c r="BI21" s="165">
        <f>'Thai input'!S53</f>
        <v>0</v>
      </c>
      <c r="BJ21" s="165">
        <f>'Thai input'!T53</f>
        <v>0</v>
      </c>
      <c r="BK21" s="165">
        <f>'Thai input'!U53</f>
        <v>0</v>
      </c>
      <c r="BL21" s="165">
        <f>'Thai input'!V53</f>
        <v>52029</v>
      </c>
      <c r="BM21" s="165">
        <f>'Thai input'!W53</f>
        <v>176060</v>
      </c>
      <c r="BN21" s="165">
        <f>'Thai input'!X53</f>
        <v>655390</v>
      </c>
      <c r="BO21" s="165">
        <f>'Thai input'!Y53</f>
        <v>3445036</v>
      </c>
      <c r="BP21" s="165">
        <f>'Thai input'!Z53</f>
        <v>1001763</v>
      </c>
      <c r="BQ21" s="178">
        <f>AW21*'Thai input'!$K6</f>
        <v>0</v>
      </c>
      <c r="BR21" s="179">
        <f>AX21*'Thai input'!$K6</f>
        <v>0</v>
      </c>
      <c r="BS21" s="179">
        <f>AY21*'Thai input'!$K6</f>
        <v>440651.22000000003</v>
      </c>
      <c r="BT21" s="179">
        <f>AZ21*'Thai input'!$K6</f>
        <v>234191.49</v>
      </c>
      <c r="BU21" s="179">
        <f>BA21*'Thai input'!$K6</f>
        <v>0</v>
      </c>
      <c r="BV21" s="179">
        <f>BB21*'Thai input'!$K6</f>
        <v>0</v>
      </c>
      <c r="BW21" s="179">
        <f>BC21*'Thai input'!$K6</f>
        <v>0</v>
      </c>
      <c r="BX21" s="179">
        <f>BD21*'Thai input'!$K6</f>
        <v>0</v>
      </c>
      <c r="BY21" s="179">
        <f>BE21*'Thai input'!$K6</f>
        <v>0</v>
      </c>
      <c r="BZ21" s="179">
        <f>BF21*'Thai input'!$K6</f>
        <v>0</v>
      </c>
      <c r="CA21" s="179">
        <f>BG21*'Thai input'!$K6</f>
        <v>0</v>
      </c>
      <c r="CB21" s="179">
        <f>BH21*'Thai input'!$K6</f>
        <v>0</v>
      </c>
      <c r="CC21" s="179">
        <f>BI21*'Thai input'!$K6</f>
        <v>0</v>
      </c>
      <c r="CD21" s="179">
        <f>BJ21*'Thai input'!$K6</f>
        <v>0</v>
      </c>
      <c r="CE21" s="179">
        <f>BK21*'Thai input'!$K6</f>
        <v>0</v>
      </c>
      <c r="CF21" s="179">
        <f>BL21*'Thai input'!$K6</f>
        <v>26534.79</v>
      </c>
      <c r="CG21" s="179">
        <f>BM21*'Thai input'!$K6</f>
        <v>89790.6</v>
      </c>
      <c r="CH21" s="179">
        <f>BN21*'Thai input'!$K6</f>
        <v>334248.90000000002</v>
      </c>
      <c r="CI21" s="179">
        <f>BO21*'Thai input'!$K6</f>
        <v>1756968.36</v>
      </c>
      <c r="CJ21" s="180">
        <f>BP21*'Thai input'!$K6</f>
        <v>510899.13</v>
      </c>
      <c r="CK21" s="244">
        <f>Calculator!AG64</f>
        <v>0</v>
      </c>
      <c r="CL21" s="245">
        <f>Calculator!AH64</f>
        <v>0</v>
      </c>
      <c r="CM21" s="253">
        <f>Calculator!AI64</f>
        <v>29.479149059948661</v>
      </c>
      <c r="CN21" s="256">
        <f>Calculator!AJ64</f>
        <v>29.542317471848889</v>
      </c>
      <c r="CO21" s="245">
        <f>Calculator!AK64</f>
        <v>0</v>
      </c>
      <c r="CP21" s="245">
        <f>Calculator!AL64</f>
        <v>0</v>
      </c>
      <c r="CQ21" s="245">
        <f>Calculator!AM64</f>
        <v>0</v>
      </c>
      <c r="CR21" s="245">
        <f>Calculator!AN64</f>
        <v>0</v>
      </c>
      <c r="CS21" s="245">
        <f>Calculator!AO64</f>
        <v>0</v>
      </c>
      <c r="CT21" s="245">
        <f>Calculator!AP64</f>
        <v>0</v>
      </c>
      <c r="CU21" s="245">
        <f>Calculator!AQ64</f>
        <v>0</v>
      </c>
      <c r="CV21" s="245">
        <f>Calculator!AR64</f>
        <v>0</v>
      </c>
      <c r="CW21" s="245">
        <f>Calculator!AS64</f>
        <v>0</v>
      </c>
      <c r="CX21" s="256">
        <f>Calculator!AT64</f>
        <v>12.524858109043448</v>
      </c>
      <c r="CY21" s="245">
        <f>Calculator!AU64</f>
        <v>0</v>
      </c>
      <c r="CZ21" s="245">
        <f>Calculator!AV64</f>
        <v>0</v>
      </c>
      <c r="DA21" s="256">
        <f>Calculator!AW64</f>
        <v>14.302068492427839</v>
      </c>
      <c r="DB21" s="256">
        <f>Calculator!AX64</f>
        <v>14.132208560096787</v>
      </c>
      <c r="DC21" s="256">
        <f>Calculator!AY64</f>
        <v>10.486109047737465</v>
      </c>
      <c r="DD21" s="261">
        <f>Calculator!AZ64</f>
        <v>10.029355963188261</v>
      </c>
      <c r="DE21" s="185">
        <f t="shared" ref="DE21:DX21" si="20">IFERROR((CK21-I21)/I21,0)</f>
        <v>0</v>
      </c>
      <c r="DF21" s="186">
        <f t="shared" si="20"/>
        <v>0</v>
      </c>
      <c r="DG21" s="186">
        <f t="shared" si="20"/>
        <v>0</v>
      </c>
      <c r="DH21" s="186">
        <f t="shared" si="20"/>
        <v>0</v>
      </c>
      <c r="DI21" s="186">
        <f t="shared" si="20"/>
        <v>0</v>
      </c>
      <c r="DJ21" s="186">
        <f t="shared" si="20"/>
        <v>0</v>
      </c>
      <c r="DK21" s="186">
        <f t="shared" si="20"/>
        <v>0</v>
      </c>
      <c r="DL21" s="186">
        <f t="shared" si="20"/>
        <v>0</v>
      </c>
      <c r="DM21" s="186">
        <f t="shared" si="20"/>
        <v>0</v>
      </c>
      <c r="DN21" s="186">
        <f t="shared" si="20"/>
        <v>0</v>
      </c>
      <c r="DO21" s="186">
        <f t="shared" si="20"/>
        <v>0</v>
      </c>
      <c r="DP21" s="186">
        <f t="shared" si="20"/>
        <v>0</v>
      </c>
      <c r="DQ21" s="186">
        <f t="shared" si="20"/>
        <v>0</v>
      </c>
      <c r="DR21" s="186">
        <f t="shared" si="20"/>
        <v>0</v>
      </c>
      <c r="DS21" s="186">
        <f t="shared" si="20"/>
        <v>0</v>
      </c>
      <c r="DT21" s="186">
        <f t="shared" si="20"/>
        <v>0</v>
      </c>
      <c r="DU21" s="186">
        <f t="shared" si="20"/>
        <v>0</v>
      </c>
      <c r="DV21" s="186">
        <f t="shared" si="20"/>
        <v>0</v>
      </c>
      <c r="DW21" s="186">
        <f t="shared" si="20"/>
        <v>0</v>
      </c>
      <c r="DX21" s="191">
        <f t="shared" si="20"/>
        <v>0</v>
      </c>
      <c r="DY21" s="185">
        <f t="shared" si="15"/>
        <v>0</v>
      </c>
      <c r="DZ21" s="186">
        <f t="shared" si="10"/>
        <v>0</v>
      </c>
      <c r="EA21" s="186">
        <f t="shared" si="10"/>
        <v>0</v>
      </c>
      <c r="EB21" s="186">
        <f t="shared" si="10"/>
        <v>0</v>
      </c>
      <c r="EC21" s="186">
        <f t="shared" si="10"/>
        <v>0</v>
      </c>
      <c r="ED21" s="186">
        <f t="shared" si="10"/>
        <v>0</v>
      </c>
      <c r="EE21" s="186">
        <f t="shared" si="10"/>
        <v>0</v>
      </c>
      <c r="EF21" s="186">
        <f t="shared" si="10"/>
        <v>0</v>
      </c>
      <c r="EG21" s="186">
        <f t="shared" si="10"/>
        <v>0</v>
      </c>
      <c r="EH21" s="186">
        <f t="shared" si="10"/>
        <v>0</v>
      </c>
      <c r="EI21" s="186">
        <f t="shared" si="10"/>
        <v>0</v>
      </c>
      <c r="EJ21" s="186">
        <f t="shared" si="10"/>
        <v>0</v>
      </c>
      <c r="EK21" s="186">
        <f t="shared" si="10"/>
        <v>0</v>
      </c>
      <c r="EL21" s="186">
        <f t="shared" si="10"/>
        <v>0</v>
      </c>
      <c r="EM21" s="186">
        <f t="shared" si="10"/>
        <v>0</v>
      </c>
      <c r="EN21" s="186">
        <f t="shared" si="10"/>
        <v>0</v>
      </c>
      <c r="EO21" s="186">
        <f t="shared" si="10"/>
        <v>0</v>
      </c>
      <c r="EP21" s="186">
        <f t="shared" si="10"/>
        <v>0</v>
      </c>
      <c r="EQ21" s="186">
        <f t="shared" si="10"/>
        <v>0</v>
      </c>
      <c r="ER21" s="191">
        <f t="shared" si="10"/>
        <v>0</v>
      </c>
      <c r="ES21" s="16">
        <f t="shared" si="16"/>
        <v>0</v>
      </c>
      <c r="ET21" s="16">
        <f t="shared" si="11"/>
        <v>0</v>
      </c>
      <c r="EU21" s="16">
        <f t="shared" si="11"/>
        <v>0</v>
      </c>
      <c r="EV21" s="16">
        <f t="shared" si="11"/>
        <v>0</v>
      </c>
      <c r="EW21" s="16">
        <f t="shared" si="11"/>
        <v>0</v>
      </c>
      <c r="EX21" s="16">
        <f t="shared" si="11"/>
        <v>0</v>
      </c>
      <c r="EY21" s="16">
        <f t="shared" si="11"/>
        <v>0</v>
      </c>
      <c r="EZ21" s="16">
        <f t="shared" si="11"/>
        <v>0</v>
      </c>
      <c r="FA21" s="16">
        <f t="shared" si="11"/>
        <v>0</v>
      </c>
      <c r="FB21" s="16">
        <f t="shared" si="11"/>
        <v>0</v>
      </c>
      <c r="FC21" s="16">
        <f t="shared" si="11"/>
        <v>0</v>
      </c>
      <c r="FD21" s="16">
        <f t="shared" si="11"/>
        <v>0</v>
      </c>
      <c r="FE21" s="16">
        <f t="shared" si="11"/>
        <v>0</v>
      </c>
      <c r="FF21" s="16">
        <f t="shared" si="11"/>
        <v>0</v>
      </c>
      <c r="FG21" s="16">
        <f t="shared" si="11"/>
        <v>0</v>
      </c>
      <c r="FH21" s="16">
        <f t="shared" si="11"/>
        <v>0</v>
      </c>
      <c r="FI21" s="16">
        <f t="shared" si="11"/>
        <v>0</v>
      </c>
      <c r="FJ21" s="16">
        <f t="shared" si="12"/>
        <v>0</v>
      </c>
      <c r="FK21" s="16">
        <f t="shared" si="12"/>
        <v>0</v>
      </c>
      <c r="FL21" s="16">
        <f t="shared" si="12"/>
        <v>0</v>
      </c>
      <c r="FM21" s="16">
        <f t="shared" si="17"/>
        <v>0</v>
      </c>
      <c r="FN21" s="16"/>
      <c r="FO21" s="16"/>
      <c r="FP21" s="16">
        <v>29.479149059948661</v>
      </c>
      <c r="FQ21" s="16">
        <v>29.542317471848889</v>
      </c>
      <c r="FR21" s="16"/>
      <c r="FS21" s="16"/>
      <c r="FT21" s="16"/>
      <c r="FU21" s="16"/>
      <c r="FV21" s="16"/>
      <c r="FW21" s="16"/>
      <c r="FX21" s="16"/>
      <c r="FY21" s="16"/>
      <c r="FZ21" s="16"/>
      <c r="GA21" s="16">
        <v>12.524858109043448</v>
      </c>
      <c r="GB21" s="16"/>
      <c r="GC21" s="16">
        <v>0</v>
      </c>
      <c r="GD21" s="16">
        <v>14.302068492427839</v>
      </c>
      <c r="GE21" s="16">
        <v>14.132208560096787</v>
      </c>
      <c r="GF21" s="16">
        <v>10.486109047737465</v>
      </c>
      <c r="GG21" s="16">
        <v>10.029355963188261</v>
      </c>
      <c r="GH21" s="195">
        <f t="shared" si="18"/>
        <v>0</v>
      </c>
      <c r="GI21" s="195">
        <f t="shared" si="13"/>
        <v>0</v>
      </c>
      <c r="GJ21" s="195">
        <f t="shared" si="13"/>
        <v>0</v>
      </c>
      <c r="GK21" s="195">
        <f t="shared" si="13"/>
        <v>0</v>
      </c>
      <c r="GL21" s="195">
        <f t="shared" si="13"/>
        <v>0</v>
      </c>
      <c r="GM21" s="195">
        <f t="shared" si="13"/>
        <v>0</v>
      </c>
      <c r="GN21" s="195">
        <f t="shared" si="13"/>
        <v>0</v>
      </c>
      <c r="GO21" s="195">
        <f t="shared" si="13"/>
        <v>0</v>
      </c>
      <c r="GP21" s="195">
        <f t="shared" si="13"/>
        <v>0</v>
      </c>
      <c r="GQ21" s="195">
        <f t="shared" si="13"/>
        <v>0</v>
      </c>
      <c r="GR21" s="195">
        <f t="shared" si="13"/>
        <v>0</v>
      </c>
      <c r="GS21" s="195">
        <f t="shared" si="13"/>
        <v>0</v>
      </c>
      <c r="GT21" s="195">
        <f t="shared" si="13"/>
        <v>0</v>
      </c>
      <c r="GU21" s="195">
        <f t="shared" si="13"/>
        <v>0</v>
      </c>
      <c r="GV21" s="195">
        <f t="shared" si="13"/>
        <v>0</v>
      </c>
      <c r="GW21" s="195">
        <f t="shared" si="13"/>
        <v>0</v>
      </c>
      <c r="GX21" s="195">
        <f t="shared" si="13"/>
        <v>0</v>
      </c>
      <c r="GY21" s="195">
        <f t="shared" si="13"/>
        <v>0</v>
      </c>
      <c r="GZ21" s="195">
        <f t="shared" si="13"/>
        <v>0</v>
      </c>
      <c r="HA21" s="195">
        <f t="shared" si="13"/>
        <v>0</v>
      </c>
      <c r="HB21" s="194">
        <f t="shared" si="19"/>
        <v>0</v>
      </c>
      <c r="HY21" s="126" t="s">
        <v>59</v>
      </c>
      <c r="HZ21" s="127" t="s">
        <v>60</v>
      </c>
      <c r="IA21" s="127" t="s">
        <v>62</v>
      </c>
      <c r="IB21" s="127" t="s">
        <v>61</v>
      </c>
      <c r="IC21" s="127" t="s">
        <v>17</v>
      </c>
      <c r="ID21" s="127" t="s">
        <v>18</v>
      </c>
      <c r="IE21" s="127" t="s">
        <v>63</v>
      </c>
      <c r="IF21" s="127" t="s">
        <v>64</v>
      </c>
      <c r="IG21" s="127" t="s">
        <v>22</v>
      </c>
      <c r="IH21" s="127" t="s">
        <v>70</v>
      </c>
      <c r="II21" s="127" t="s">
        <v>65</v>
      </c>
      <c r="IJ21" s="127" t="s">
        <v>66</v>
      </c>
      <c r="IK21" s="127" t="s">
        <v>35</v>
      </c>
      <c r="IL21" s="127" t="s">
        <v>36</v>
      </c>
      <c r="IM21" s="127" t="s">
        <v>37</v>
      </c>
      <c r="IN21" s="127" t="s">
        <v>39</v>
      </c>
      <c r="IO21" s="127" t="s">
        <v>42</v>
      </c>
      <c r="IP21" s="127" t="s">
        <v>67</v>
      </c>
      <c r="IQ21" s="127" t="s">
        <v>68</v>
      </c>
      <c r="IR21" s="128" t="s">
        <v>69</v>
      </c>
    </row>
    <row r="22" spans="1:252" ht="15.75" thickBot="1" x14ac:dyDescent="0.3">
      <c r="C22">
        <v>169</v>
      </c>
      <c r="G22" s="38" t="s">
        <v>75</v>
      </c>
      <c r="H22" s="123" t="s">
        <v>12</v>
      </c>
      <c r="I22" s="131">
        <v>24</v>
      </c>
      <c r="J22" s="132">
        <v>36</v>
      </c>
      <c r="K22" s="132">
        <v>20</v>
      </c>
      <c r="L22" s="132">
        <v>29</v>
      </c>
      <c r="M22" s="132">
        <v>39</v>
      </c>
      <c r="N22" s="132">
        <v>20</v>
      </c>
      <c r="O22" s="132">
        <v>17</v>
      </c>
      <c r="P22" s="133">
        <v>27</v>
      </c>
      <c r="Q22" s="132"/>
      <c r="R22" s="132">
        <v>46</v>
      </c>
      <c r="S22" s="132">
        <v>33</v>
      </c>
      <c r="T22" s="132"/>
      <c r="U22" s="132"/>
      <c r="V22" s="132">
        <v>40</v>
      </c>
      <c r="W22" s="132"/>
      <c r="X22" s="133"/>
      <c r="Y22" s="132"/>
      <c r="Z22" s="132"/>
      <c r="AA22" s="132"/>
      <c r="AB22" s="153"/>
      <c r="AC22" s="158">
        <v>1.5134459852258759</v>
      </c>
      <c r="AD22" s="147">
        <v>2.2286841367485297</v>
      </c>
      <c r="AE22" s="147">
        <v>1.0458315627822277</v>
      </c>
      <c r="AF22" s="147">
        <v>2.5205713031179724</v>
      </c>
      <c r="AG22" s="147">
        <v>0.39001739713769429</v>
      </c>
      <c r="AH22" s="147">
        <v>2.0923063652073508</v>
      </c>
      <c r="AI22" s="130">
        <v>1.0808109516444455</v>
      </c>
      <c r="AJ22" s="148">
        <v>0</v>
      </c>
      <c r="AK22" s="130">
        <v>3.5546036599906099</v>
      </c>
      <c r="AL22" s="130">
        <v>2.4336686676607262</v>
      </c>
      <c r="AM22" s="149">
        <v>0</v>
      </c>
      <c r="AN22" s="148"/>
      <c r="AO22" s="148"/>
      <c r="AP22" s="130">
        <v>5.3823458058405578</v>
      </c>
      <c r="AQ22" s="148"/>
      <c r="AR22" s="148"/>
      <c r="AS22" s="148"/>
      <c r="AT22" s="148"/>
      <c r="AU22" s="148"/>
      <c r="AV22" s="163"/>
      <c r="AW22" s="131">
        <f>AW19</f>
        <v>4774385</v>
      </c>
      <c r="AX22" s="132">
        <f t="shared" ref="AX22:BP24" si="21">AX19</f>
        <v>16208118</v>
      </c>
      <c r="AY22" s="132">
        <f t="shared" si="21"/>
        <v>11718064</v>
      </c>
      <c r="AZ22" s="132">
        <f t="shared" si="21"/>
        <v>14525525</v>
      </c>
      <c r="BA22" s="132">
        <f t="shared" si="21"/>
        <v>10107608</v>
      </c>
      <c r="BB22" s="132">
        <f t="shared" si="21"/>
        <v>8347335</v>
      </c>
      <c r="BC22" s="132">
        <f t="shared" si="21"/>
        <v>9520310</v>
      </c>
      <c r="BD22" s="132">
        <f t="shared" si="21"/>
        <v>3177242</v>
      </c>
      <c r="BE22" s="132">
        <f t="shared" si="21"/>
        <v>445675</v>
      </c>
      <c r="BF22" s="132">
        <f t="shared" si="21"/>
        <v>49250215</v>
      </c>
      <c r="BG22" s="132">
        <f t="shared" si="21"/>
        <v>3516607</v>
      </c>
      <c r="BH22" s="132">
        <f t="shared" si="21"/>
        <v>0</v>
      </c>
      <c r="BI22" s="132">
        <f t="shared" si="21"/>
        <v>0</v>
      </c>
      <c r="BJ22" s="132">
        <f t="shared" si="21"/>
        <v>2691868</v>
      </c>
      <c r="BK22" s="132">
        <f t="shared" si="21"/>
        <v>0</v>
      </c>
      <c r="BL22" s="132">
        <f t="shared" si="21"/>
        <v>0</v>
      </c>
      <c r="BM22" s="132">
        <f t="shared" si="21"/>
        <v>0</v>
      </c>
      <c r="BN22" s="132">
        <f t="shared" si="21"/>
        <v>0</v>
      </c>
      <c r="BO22" s="132">
        <f t="shared" si="21"/>
        <v>0</v>
      </c>
      <c r="BP22" s="153">
        <f t="shared" si="21"/>
        <v>0</v>
      </c>
      <c r="BQ22" s="138">
        <f>BQ19</f>
        <v>205298.55499999999</v>
      </c>
      <c r="BR22" s="129">
        <f t="shared" ref="BR22:CJ24" si="22">BR19</f>
        <v>696949.07399999991</v>
      </c>
      <c r="BS22" s="129">
        <f t="shared" si="22"/>
        <v>503876.75199999998</v>
      </c>
      <c r="BT22" s="129">
        <f t="shared" si="22"/>
        <v>624597.57499999995</v>
      </c>
      <c r="BU22" s="129">
        <f t="shared" si="22"/>
        <v>434627.14399999997</v>
      </c>
      <c r="BV22" s="129">
        <f t="shared" si="22"/>
        <v>358935.40499999997</v>
      </c>
      <c r="BW22" s="129">
        <f t="shared" si="22"/>
        <v>409373.32999999996</v>
      </c>
      <c r="BX22" s="129">
        <f t="shared" si="22"/>
        <v>136621.40599999999</v>
      </c>
      <c r="BY22" s="129">
        <f t="shared" si="22"/>
        <v>19164.024999999998</v>
      </c>
      <c r="BZ22" s="129">
        <f t="shared" si="22"/>
        <v>2117759.2449999996</v>
      </c>
      <c r="CA22" s="129">
        <f t="shared" si="22"/>
        <v>151214.101</v>
      </c>
      <c r="CB22" s="129">
        <f t="shared" si="22"/>
        <v>0</v>
      </c>
      <c r="CC22" s="129">
        <f t="shared" si="22"/>
        <v>0</v>
      </c>
      <c r="CD22" s="129">
        <f t="shared" si="22"/>
        <v>115750.32399999999</v>
      </c>
      <c r="CE22" s="129">
        <f t="shared" si="22"/>
        <v>0</v>
      </c>
      <c r="CF22" s="129">
        <f t="shared" si="22"/>
        <v>0</v>
      </c>
      <c r="CG22" s="129">
        <f t="shared" si="22"/>
        <v>0</v>
      </c>
      <c r="CH22" s="129">
        <f t="shared" si="22"/>
        <v>0</v>
      </c>
      <c r="CI22" s="129">
        <f t="shared" si="22"/>
        <v>0</v>
      </c>
      <c r="CJ22" s="177">
        <f t="shared" si="22"/>
        <v>0</v>
      </c>
      <c r="CK22" s="260">
        <f>Calculator!AG14</f>
        <v>24.48</v>
      </c>
      <c r="CL22" s="257">
        <f>Calculator!AH14</f>
        <v>36.72</v>
      </c>
      <c r="CM22" s="257">
        <f>Calculator!AI14</f>
        <v>20.399999999999999</v>
      </c>
      <c r="CN22" s="257">
        <f>Calculator!AJ14</f>
        <v>29.580000000000002</v>
      </c>
      <c r="CO22" s="257">
        <f>Calculator!AK14</f>
        <v>39.78</v>
      </c>
      <c r="CP22" s="257">
        <f>Calculator!AL14</f>
        <v>20.399999999999999</v>
      </c>
      <c r="CQ22" s="257">
        <f>Calculator!AM14</f>
        <v>17.34</v>
      </c>
      <c r="CR22" s="257">
        <f>Calculator!AN14</f>
        <v>27</v>
      </c>
      <c r="CS22" s="246">
        <f>Calculator!AO14</f>
        <v>0</v>
      </c>
      <c r="CT22" s="257">
        <f>Calculator!AP14</f>
        <v>46.92</v>
      </c>
      <c r="CU22" s="257">
        <f>Calculator!AQ14</f>
        <v>33</v>
      </c>
      <c r="CV22" s="246">
        <f>Calculator!AR14</f>
        <v>0</v>
      </c>
      <c r="CW22" s="246">
        <f>Calculator!AS14</f>
        <v>0</v>
      </c>
      <c r="CX22" s="257">
        <f>Calculator!AT14</f>
        <v>40.799999999999997</v>
      </c>
      <c r="CY22" s="246">
        <f>Calculator!AU14</f>
        <v>0</v>
      </c>
      <c r="CZ22" s="246">
        <f>Calculator!AV14</f>
        <v>0</v>
      </c>
      <c r="DA22" s="246">
        <f>Calculator!AW14</f>
        <v>0</v>
      </c>
      <c r="DB22" s="246">
        <f>Calculator!AX14</f>
        <v>0</v>
      </c>
      <c r="DC22" s="246">
        <f>Calculator!AY14</f>
        <v>0</v>
      </c>
      <c r="DD22" s="247">
        <f>Calculator!AZ14</f>
        <v>0</v>
      </c>
      <c r="DE22" s="187">
        <f t="shared" si="14"/>
        <v>2.0000000000000018E-2</v>
      </c>
      <c r="DF22" s="188">
        <f t="shared" si="8"/>
        <v>1.9999999999999969E-2</v>
      </c>
      <c r="DG22" s="188">
        <f t="shared" si="8"/>
        <v>1.9999999999999928E-2</v>
      </c>
      <c r="DH22" s="188">
        <f t="shared" si="8"/>
        <v>2.0000000000000063E-2</v>
      </c>
      <c r="DI22" s="188">
        <f t="shared" si="8"/>
        <v>2.0000000000000028E-2</v>
      </c>
      <c r="DJ22" s="188">
        <f t="shared" si="8"/>
        <v>1.9999999999999928E-2</v>
      </c>
      <c r="DK22" s="188">
        <f t="shared" si="8"/>
        <v>1.999999999999999E-2</v>
      </c>
      <c r="DL22" s="188">
        <f t="shared" si="8"/>
        <v>0</v>
      </c>
      <c r="DM22" s="188">
        <f t="shared" si="8"/>
        <v>0</v>
      </c>
      <c r="DN22" s="188">
        <f t="shared" si="8"/>
        <v>2.0000000000000039E-2</v>
      </c>
      <c r="DO22" s="188">
        <f t="shared" si="8"/>
        <v>0</v>
      </c>
      <c r="DP22" s="188">
        <f t="shared" si="8"/>
        <v>0</v>
      </c>
      <c r="DQ22" s="188">
        <f t="shared" si="8"/>
        <v>0</v>
      </c>
      <c r="DR22" s="188">
        <f t="shared" si="8"/>
        <v>1.9999999999999928E-2</v>
      </c>
      <c r="DS22" s="188">
        <f t="shared" si="8"/>
        <v>0</v>
      </c>
      <c r="DT22" s="188">
        <f t="shared" si="8"/>
        <v>0</v>
      </c>
      <c r="DU22" s="188">
        <f t="shared" si="8"/>
        <v>0</v>
      </c>
      <c r="DV22" s="188">
        <f t="shared" si="9"/>
        <v>0</v>
      </c>
      <c r="DW22" s="188">
        <f t="shared" si="9"/>
        <v>0</v>
      </c>
      <c r="DX22" s="192">
        <f t="shared" si="9"/>
        <v>0</v>
      </c>
      <c r="DY22" s="187">
        <f t="shared" si="15"/>
        <v>3.0268919704517547E-2</v>
      </c>
      <c r="DZ22" s="188">
        <f t="shared" si="10"/>
        <v>4.4573682734970525E-2</v>
      </c>
      <c r="EA22" s="188">
        <f t="shared" si="10"/>
        <v>2.0916631255644476E-2</v>
      </c>
      <c r="EB22" s="188">
        <f t="shared" si="10"/>
        <v>5.0411426062359606E-2</v>
      </c>
      <c r="EC22" s="188">
        <f t="shared" si="10"/>
        <v>7.8003479427538967E-3</v>
      </c>
      <c r="ED22" s="188">
        <f t="shared" si="10"/>
        <v>4.1846127304146864E-2</v>
      </c>
      <c r="EE22" s="188">
        <f t="shared" si="10"/>
        <v>2.1616219032888899E-2</v>
      </c>
      <c r="EF22" s="188">
        <f t="shared" si="10"/>
        <v>0</v>
      </c>
      <c r="EG22" s="188">
        <f t="shared" si="10"/>
        <v>0</v>
      </c>
      <c r="EH22" s="188">
        <f t="shared" si="10"/>
        <v>4.8673373353214616E-2</v>
      </c>
      <c r="EI22" s="188">
        <f t="shared" si="10"/>
        <v>0</v>
      </c>
      <c r="EJ22" s="188">
        <f t="shared" si="10"/>
        <v>0</v>
      </c>
      <c r="EK22" s="188">
        <f t="shared" si="10"/>
        <v>0</v>
      </c>
      <c r="EL22" s="188">
        <f t="shared" si="10"/>
        <v>0.10764691611681076</v>
      </c>
      <c r="EM22" s="188">
        <f t="shared" si="10"/>
        <v>0</v>
      </c>
      <c r="EN22" s="188">
        <f t="shared" si="10"/>
        <v>0</v>
      </c>
      <c r="EO22" s="188">
        <f t="shared" si="10"/>
        <v>0</v>
      </c>
      <c r="EP22" s="188">
        <f t="shared" si="10"/>
        <v>0</v>
      </c>
      <c r="EQ22" s="188">
        <f t="shared" si="10"/>
        <v>0</v>
      </c>
      <c r="ER22" s="192">
        <f t="shared" si="10"/>
        <v>0</v>
      </c>
      <c r="ES22" s="16">
        <f t="shared" si="16"/>
        <v>144515.476203453</v>
      </c>
      <c r="ET22" s="16">
        <f t="shared" si="11"/>
        <v>722455.50946296495</v>
      </c>
      <c r="EU22" s="16">
        <f t="shared" si="11"/>
        <v>245102.42371804232</v>
      </c>
      <c r="EV22" s="16">
        <f t="shared" si="11"/>
        <v>732252.42955445603</v>
      </c>
      <c r="EW22" s="16">
        <f t="shared" si="11"/>
        <v>78842.859268962828</v>
      </c>
      <c r="EX22" s="16">
        <f t="shared" si="11"/>
        <v>349303.64306036074</v>
      </c>
      <c r="EY22" s="16">
        <f t="shared" si="11"/>
        <v>205793.10622100253</v>
      </c>
      <c r="EZ22" s="16">
        <f t="shared" si="11"/>
        <v>0</v>
      </c>
      <c r="FA22" s="16">
        <f t="shared" si="11"/>
        <v>0</v>
      </c>
      <c r="FB22" s="16">
        <f t="shared" si="11"/>
        <v>2397174.1024210909</v>
      </c>
      <c r="FC22" s="16">
        <f t="shared" si="11"/>
        <v>0</v>
      </c>
      <c r="FD22" s="16">
        <f t="shared" si="11"/>
        <v>0</v>
      </c>
      <c r="FE22" s="16">
        <f t="shared" si="11"/>
        <v>0</v>
      </c>
      <c r="FF22" s="16">
        <f t="shared" si="11"/>
        <v>289771.28879352717</v>
      </c>
      <c r="FG22" s="16">
        <f t="shared" si="11"/>
        <v>0</v>
      </c>
      <c r="FH22" s="16">
        <f t="shared" si="11"/>
        <v>0</v>
      </c>
      <c r="FI22" s="16">
        <f t="shared" si="11"/>
        <v>0</v>
      </c>
      <c r="FJ22" s="16">
        <f t="shared" si="12"/>
        <v>0</v>
      </c>
      <c r="FK22" s="16">
        <f t="shared" si="12"/>
        <v>0</v>
      </c>
      <c r="FL22" s="16">
        <f t="shared" si="12"/>
        <v>0</v>
      </c>
      <c r="FM22" s="16">
        <f t="shared" si="17"/>
        <v>5165210.8387038605</v>
      </c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0"/>
      <c r="FZ22" s="30"/>
      <c r="GA22" s="30"/>
      <c r="GB22" s="30"/>
      <c r="GC22" s="30"/>
      <c r="GD22" s="30"/>
      <c r="GE22" s="30"/>
      <c r="GF22" s="30"/>
      <c r="GG22" s="30"/>
      <c r="HD22" s="195">
        <f>I22-CK22</f>
        <v>-0.48000000000000043</v>
      </c>
      <c r="HE22" s="195">
        <f t="shared" ref="HE22:HW24" si="23">J22-CL22</f>
        <v>-0.71999999999999886</v>
      </c>
      <c r="HF22" s="195">
        <f t="shared" si="23"/>
        <v>-0.39999999999999858</v>
      </c>
      <c r="HG22" s="195">
        <f t="shared" si="23"/>
        <v>-0.58000000000000185</v>
      </c>
      <c r="HH22" s="195">
        <f t="shared" si="23"/>
        <v>-0.78000000000000114</v>
      </c>
      <c r="HI22" s="195">
        <f t="shared" si="23"/>
        <v>-0.39999999999999858</v>
      </c>
      <c r="HJ22" s="195">
        <f t="shared" si="23"/>
        <v>-0.33999999999999986</v>
      </c>
      <c r="HK22" s="195">
        <f t="shared" si="23"/>
        <v>0</v>
      </c>
      <c r="HL22" s="195">
        <f t="shared" si="23"/>
        <v>0</v>
      </c>
      <c r="HM22" s="195">
        <f t="shared" si="23"/>
        <v>-0.92000000000000171</v>
      </c>
      <c r="HN22" s="195">
        <f t="shared" si="23"/>
        <v>0</v>
      </c>
      <c r="HO22" s="195">
        <f t="shared" si="23"/>
        <v>0</v>
      </c>
      <c r="HP22" s="195">
        <f t="shared" si="23"/>
        <v>0</v>
      </c>
      <c r="HQ22" s="195">
        <f t="shared" si="23"/>
        <v>-0.79999999999999716</v>
      </c>
      <c r="HR22" s="195">
        <f t="shared" si="23"/>
        <v>0</v>
      </c>
      <c r="HS22" s="195">
        <f t="shared" si="23"/>
        <v>0</v>
      </c>
      <c r="HT22" s="195">
        <f t="shared" si="23"/>
        <v>0</v>
      </c>
      <c r="HU22" s="195">
        <f t="shared" si="23"/>
        <v>0</v>
      </c>
      <c r="HV22" s="195">
        <f t="shared" si="23"/>
        <v>0</v>
      </c>
      <c r="HW22" s="195">
        <f t="shared" si="23"/>
        <v>0</v>
      </c>
      <c r="HY22" s="194">
        <f t="shared" ref="HY22:IF24" si="24">I22+$F$22</f>
        <v>24</v>
      </c>
      <c r="HZ22" s="194">
        <f t="shared" si="24"/>
        <v>36</v>
      </c>
      <c r="IA22" s="194">
        <f t="shared" si="24"/>
        <v>20</v>
      </c>
      <c r="IB22" s="194">
        <f t="shared" si="24"/>
        <v>29</v>
      </c>
      <c r="IC22" s="194">
        <f t="shared" si="24"/>
        <v>39</v>
      </c>
      <c r="ID22" s="194">
        <f t="shared" si="24"/>
        <v>20</v>
      </c>
      <c r="IE22" s="194">
        <f t="shared" si="24"/>
        <v>17</v>
      </c>
      <c r="IF22" s="194">
        <f t="shared" si="24"/>
        <v>27</v>
      </c>
      <c r="IG22" s="194"/>
      <c r="IH22" s="194">
        <f>R22+$F$22</f>
        <v>46</v>
      </c>
      <c r="II22" s="194">
        <f>S22+$F$22</f>
        <v>33</v>
      </c>
      <c r="IJ22" s="194">
        <f>T22+$F$22</f>
        <v>0</v>
      </c>
      <c r="IK22" s="194">
        <f>U22+$F$22</f>
        <v>0</v>
      </c>
      <c r="IL22" s="194">
        <f>V22+$F$22</f>
        <v>40</v>
      </c>
      <c r="IM22" s="194"/>
      <c r="IN22" s="194"/>
      <c r="IO22" s="194"/>
      <c r="IP22" s="194"/>
      <c r="IQ22" s="194"/>
      <c r="IR22" s="194"/>
    </row>
    <row r="23" spans="1:252" ht="15.75" thickBot="1" x14ac:dyDescent="0.3">
      <c r="C23">
        <v>143</v>
      </c>
      <c r="G23" s="38" t="s">
        <v>75</v>
      </c>
      <c r="H23" s="123" t="s">
        <v>30</v>
      </c>
      <c r="I23" s="135"/>
      <c r="J23" s="125"/>
      <c r="K23" s="125">
        <v>31</v>
      </c>
      <c r="L23" s="125"/>
      <c r="M23" s="125"/>
      <c r="N23" s="125"/>
      <c r="O23" s="125"/>
      <c r="P23" s="125"/>
      <c r="Q23" s="125"/>
      <c r="R23" s="125">
        <v>7</v>
      </c>
      <c r="S23" s="125">
        <v>32</v>
      </c>
      <c r="T23" s="125">
        <v>19</v>
      </c>
      <c r="U23" s="125">
        <v>16</v>
      </c>
      <c r="V23" s="125">
        <v>30</v>
      </c>
      <c r="W23" s="125">
        <v>2</v>
      </c>
      <c r="X23" s="125"/>
      <c r="Y23" s="125"/>
      <c r="Z23" s="125"/>
      <c r="AA23" s="125"/>
      <c r="AB23" s="154"/>
      <c r="AC23" s="156"/>
      <c r="AD23" s="144"/>
      <c r="AE23" s="11">
        <v>2.3299532565309371</v>
      </c>
      <c r="AF23" s="144"/>
      <c r="AG23" s="144"/>
      <c r="AH23" s="144"/>
      <c r="AI23" s="144"/>
      <c r="AJ23" s="144"/>
      <c r="AK23" s="11">
        <v>1.3254361602980282</v>
      </c>
      <c r="AL23" s="11">
        <v>0.99158512940440791</v>
      </c>
      <c r="AM23" s="11">
        <v>0.90317741333277168</v>
      </c>
      <c r="AN23" s="11">
        <v>1.3826138785578184</v>
      </c>
      <c r="AO23" s="144"/>
      <c r="AP23" s="11">
        <v>1.7824927831948638</v>
      </c>
      <c r="AQ23" s="11">
        <v>1.3255473304771759</v>
      </c>
      <c r="AR23" s="144"/>
      <c r="AS23" s="144"/>
      <c r="AT23" s="144"/>
      <c r="AU23" s="144"/>
      <c r="AV23" s="164"/>
      <c r="AW23" s="135">
        <f t="shared" ref="AW23:BL24" si="25">AW20</f>
        <v>0</v>
      </c>
      <c r="AX23" s="125">
        <f t="shared" si="25"/>
        <v>0</v>
      </c>
      <c r="AY23" s="125">
        <f t="shared" si="25"/>
        <v>3168921</v>
      </c>
      <c r="AZ23" s="125">
        <f t="shared" si="25"/>
        <v>0</v>
      </c>
      <c r="BA23" s="125">
        <f t="shared" si="25"/>
        <v>0</v>
      </c>
      <c r="BB23" s="125">
        <f t="shared" si="25"/>
        <v>0</v>
      </c>
      <c r="BC23" s="125">
        <f t="shared" si="25"/>
        <v>0</v>
      </c>
      <c r="BD23" s="125">
        <f t="shared" si="25"/>
        <v>0</v>
      </c>
      <c r="BE23" s="125">
        <f t="shared" si="25"/>
        <v>163962</v>
      </c>
      <c r="BF23" s="125">
        <f t="shared" si="25"/>
        <v>657271</v>
      </c>
      <c r="BG23" s="125">
        <f t="shared" si="25"/>
        <v>1593815</v>
      </c>
      <c r="BH23" s="125">
        <f t="shared" si="25"/>
        <v>692173</v>
      </c>
      <c r="BI23" s="125">
        <f t="shared" si="25"/>
        <v>98989</v>
      </c>
      <c r="BJ23" s="125">
        <f t="shared" si="25"/>
        <v>1025372</v>
      </c>
      <c r="BK23" s="125">
        <f t="shared" si="25"/>
        <v>167140</v>
      </c>
      <c r="BL23" s="125">
        <f t="shared" si="25"/>
        <v>0</v>
      </c>
      <c r="BM23" s="125">
        <f t="shared" si="21"/>
        <v>0</v>
      </c>
      <c r="BN23" s="125">
        <f t="shared" si="21"/>
        <v>0</v>
      </c>
      <c r="BO23" s="125">
        <f t="shared" si="21"/>
        <v>0</v>
      </c>
      <c r="BP23" s="154">
        <f t="shared" si="21"/>
        <v>0</v>
      </c>
      <c r="BQ23" s="135">
        <f t="shared" ref="BQ23:CF24" si="26">BQ20</f>
        <v>0</v>
      </c>
      <c r="BR23" s="125">
        <f t="shared" si="26"/>
        <v>0</v>
      </c>
      <c r="BS23" s="125">
        <f t="shared" si="26"/>
        <v>659135.56799999997</v>
      </c>
      <c r="BT23" s="125">
        <f t="shared" si="26"/>
        <v>0</v>
      </c>
      <c r="BU23" s="125">
        <f t="shared" si="26"/>
        <v>0</v>
      </c>
      <c r="BV23" s="125">
        <f t="shared" si="26"/>
        <v>0</v>
      </c>
      <c r="BW23" s="125">
        <f t="shared" si="26"/>
        <v>0</v>
      </c>
      <c r="BX23" s="125">
        <f t="shared" si="26"/>
        <v>0</v>
      </c>
      <c r="BY23" s="125">
        <f t="shared" si="26"/>
        <v>34104.095999999998</v>
      </c>
      <c r="BZ23" s="125">
        <f t="shared" si="26"/>
        <v>136712.36799999999</v>
      </c>
      <c r="CA23" s="125">
        <f t="shared" si="26"/>
        <v>331513.51999999996</v>
      </c>
      <c r="CB23" s="125">
        <f t="shared" si="26"/>
        <v>143971.984</v>
      </c>
      <c r="CC23" s="125">
        <f t="shared" si="26"/>
        <v>20589.712</v>
      </c>
      <c r="CD23" s="125">
        <f t="shared" si="26"/>
        <v>213277.37599999999</v>
      </c>
      <c r="CE23" s="125">
        <f t="shared" si="26"/>
        <v>34765.119999999995</v>
      </c>
      <c r="CF23" s="125">
        <f t="shared" si="26"/>
        <v>0</v>
      </c>
      <c r="CG23" s="125">
        <f t="shared" si="22"/>
        <v>0</v>
      </c>
      <c r="CH23" s="125">
        <f t="shared" si="22"/>
        <v>0</v>
      </c>
      <c r="CI23" s="125">
        <f t="shared" si="22"/>
        <v>0</v>
      </c>
      <c r="CJ23" s="139">
        <f t="shared" si="22"/>
        <v>0</v>
      </c>
      <c r="CK23" s="248">
        <f>Calculator!AG41</f>
        <v>0</v>
      </c>
      <c r="CL23" s="249">
        <f>Calculator!AH41</f>
        <v>0</v>
      </c>
      <c r="CM23" s="258">
        <f>Calculator!AI41</f>
        <v>34.410000000000004</v>
      </c>
      <c r="CN23" s="249">
        <f>Calculator!AJ41</f>
        <v>0</v>
      </c>
      <c r="CO23" s="249">
        <f>Calculator!AK41</f>
        <v>0</v>
      </c>
      <c r="CP23" s="249">
        <f>Calculator!AL41</f>
        <v>0</v>
      </c>
      <c r="CQ23" s="249">
        <f>Calculator!AM41</f>
        <v>0</v>
      </c>
      <c r="CR23" s="249">
        <f>Calculator!AN41</f>
        <v>0</v>
      </c>
      <c r="CS23" s="249">
        <f>Calculator!AO41</f>
        <v>0</v>
      </c>
      <c r="CT23" s="258">
        <f>Calculator!AP41</f>
        <v>7.7700000000000005</v>
      </c>
      <c r="CU23" s="258">
        <f>Calculator!AQ41</f>
        <v>35.520000000000003</v>
      </c>
      <c r="CV23" s="258">
        <f>Calculator!AR41</f>
        <v>21.090000000000003</v>
      </c>
      <c r="CW23" s="258">
        <f>Calculator!AS41</f>
        <v>16</v>
      </c>
      <c r="CX23" s="258">
        <f>Calculator!AT41</f>
        <v>33.300000000000004</v>
      </c>
      <c r="CY23" s="258">
        <f>Calculator!AU41</f>
        <v>2.2200000000000002</v>
      </c>
      <c r="CZ23" s="249">
        <f>Calculator!AV41</f>
        <v>0</v>
      </c>
      <c r="DA23" s="249">
        <f>Calculator!AW41</f>
        <v>0</v>
      </c>
      <c r="DB23" s="249">
        <f>Calculator!AX41</f>
        <v>0</v>
      </c>
      <c r="DC23" s="249">
        <f>Calculator!AY41</f>
        <v>0</v>
      </c>
      <c r="DD23" s="250">
        <f>Calculator!AZ41</f>
        <v>0</v>
      </c>
      <c r="DE23" s="184">
        <f t="shared" si="14"/>
        <v>0</v>
      </c>
      <c r="DF23" s="181">
        <f t="shared" si="8"/>
        <v>0</v>
      </c>
      <c r="DG23" s="181">
        <f t="shared" si="8"/>
        <v>0.11000000000000013</v>
      </c>
      <c r="DH23" s="181">
        <f t="shared" si="8"/>
        <v>0</v>
      </c>
      <c r="DI23" s="181">
        <f t="shared" si="8"/>
        <v>0</v>
      </c>
      <c r="DJ23" s="181">
        <f t="shared" si="8"/>
        <v>0</v>
      </c>
      <c r="DK23" s="181">
        <f t="shared" si="8"/>
        <v>0</v>
      </c>
      <c r="DL23" s="181">
        <f t="shared" si="8"/>
        <v>0</v>
      </c>
      <c r="DM23" s="181">
        <f t="shared" si="8"/>
        <v>0</v>
      </c>
      <c r="DN23" s="181">
        <f t="shared" si="8"/>
        <v>0.11000000000000007</v>
      </c>
      <c r="DO23" s="181">
        <f t="shared" si="8"/>
        <v>0.1100000000000001</v>
      </c>
      <c r="DP23" s="181">
        <f t="shared" si="8"/>
        <v>0.11000000000000018</v>
      </c>
      <c r="DQ23" s="181">
        <f t="shared" si="8"/>
        <v>0</v>
      </c>
      <c r="DR23" s="181">
        <f t="shared" si="8"/>
        <v>0.11000000000000014</v>
      </c>
      <c r="DS23" s="181">
        <f t="shared" si="8"/>
        <v>0.1100000000000001</v>
      </c>
      <c r="DT23" s="181">
        <f t="shared" si="8"/>
        <v>0</v>
      </c>
      <c r="DU23" s="181">
        <f t="shared" si="8"/>
        <v>0</v>
      </c>
      <c r="DV23" s="181">
        <f t="shared" si="9"/>
        <v>0</v>
      </c>
      <c r="DW23" s="181">
        <f t="shared" si="9"/>
        <v>0</v>
      </c>
      <c r="DX23" s="190">
        <f t="shared" si="9"/>
        <v>0</v>
      </c>
      <c r="DY23" s="184">
        <f t="shared" si="15"/>
        <v>0</v>
      </c>
      <c r="DZ23" s="181">
        <f t="shared" si="10"/>
        <v>0</v>
      </c>
      <c r="EA23" s="181">
        <f t="shared" si="10"/>
        <v>0.25629485821840337</v>
      </c>
      <c r="EB23" s="181">
        <f t="shared" si="10"/>
        <v>0</v>
      </c>
      <c r="EC23" s="181">
        <f t="shared" si="10"/>
        <v>0</v>
      </c>
      <c r="ED23" s="181">
        <f t="shared" si="10"/>
        <v>0</v>
      </c>
      <c r="EE23" s="181">
        <f t="shared" si="10"/>
        <v>0</v>
      </c>
      <c r="EF23" s="181">
        <f t="shared" si="10"/>
        <v>0</v>
      </c>
      <c r="EG23" s="181">
        <f t="shared" si="10"/>
        <v>0</v>
      </c>
      <c r="EH23" s="181">
        <f t="shared" si="10"/>
        <v>0.10907436423448494</v>
      </c>
      <c r="EI23" s="181">
        <f t="shared" si="10"/>
        <v>9.9349515466604976E-2</v>
      </c>
      <c r="EJ23" s="181">
        <f t="shared" si="10"/>
        <v>0.15208752664136027</v>
      </c>
      <c r="EK23" s="181">
        <f t="shared" si="10"/>
        <v>0</v>
      </c>
      <c r="EL23" s="181">
        <f t="shared" si="10"/>
        <v>0.19607420615143528</v>
      </c>
      <c r="EM23" s="181">
        <f t="shared" si="10"/>
        <v>0.14581020635248948</v>
      </c>
      <c r="EN23" s="181">
        <f t="shared" si="10"/>
        <v>0</v>
      </c>
      <c r="EO23" s="181">
        <f t="shared" si="10"/>
        <v>0</v>
      </c>
      <c r="EP23" s="181">
        <f t="shared" si="10"/>
        <v>0</v>
      </c>
      <c r="EQ23" s="181">
        <f t="shared" si="10"/>
        <v>0</v>
      </c>
      <c r="ER23" s="190">
        <f t="shared" si="10"/>
        <v>0</v>
      </c>
      <c r="ES23" s="16">
        <f t="shared" si="16"/>
        <v>0</v>
      </c>
      <c r="ET23" s="16">
        <f t="shared" si="11"/>
        <v>0</v>
      </c>
      <c r="EU23" s="16">
        <f t="shared" si="11"/>
        <v>812178.15840032103</v>
      </c>
      <c r="EV23" s="16">
        <f t="shared" si="11"/>
        <v>0</v>
      </c>
      <c r="EW23" s="16">
        <f t="shared" si="11"/>
        <v>0</v>
      </c>
      <c r="EX23" s="16">
        <f t="shared" si="11"/>
        <v>0</v>
      </c>
      <c r="EY23" s="16">
        <f t="shared" si="11"/>
        <v>0</v>
      </c>
      <c r="EZ23" s="16">
        <f t="shared" si="11"/>
        <v>0</v>
      </c>
      <c r="FA23" s="16">
        <f t="shared" si="11"/>
        <v>0</v>
      </c>
      <c r="FB23" s="16">
        <f t="shared" si="11"/>
        <v>71691.416454764156</v>
      </c>
      <c r="FC23" s="16">
        <f t="shared" si="11"/>
        <v>158344.74799340701</v>
      </c>
      <c r="FD23" s="16">
        <f t="shared" si="11"/>
        <v>105270.87957793026</v>
      </c>
      <c r="FE23" s="16">
        <f t="shared" si="11"/>
        <v>0</v>
      </c>
      <c r="FF23" s="16">
        <f t="shared" si="11"/>
        <v>201049.00090990949</v>
      </c>
      <c r="FG23" s="16">
        <f t="shared" si="11"/>
        <v>24370.717889755091</v>
      </c>
      <c r="FH23" s="16">
        <f t="shared" si="11"/>
        <v>0</v>
      </c>
      <c r="FI23" s="16">
        <f t="shared" si="11"/>
        <v>0</v>
      </c>
      <c r="FJ23" s="16">
        <f t="shared" si="12"/>
        <v>0</v>
      </c>
      <c r="FK23" s="16">
        <f t="shared" si="12"/>
        <v>0</v>
      </c>
      <c r="FL23" s="16">
        <f t="shared" si="12"/>
        <v>0</v>
      </c>
      <c r="FM23" s="16">
        <f t="shared" si="17"/>
        <v>1372904.921226087</v>
      </c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0"/>
      <c r="FZ23" s="30"/>
      <c r="GA23" s="30"/>
      <c r="GB23" s="30"/>
      <c r="GC23" s="30"/>
      <c r="GD23" s="30"/>
      <c r="GE23" s="30"/>
      <c r="GF23" s="30"/>
      <c r="GG23" s="30"/>
      <c r="HD23" s="195">
        <f t="shared" ref="HD23:HD24" si="27">I23-CK23</f>
        <v>0</v>
      </c>
      <c r="HE23" s="195">
        <f t="shared" si="23"/>
        <v>0</v>
      </c>
      <c r="HF23" s="195">
        <f t="shared" si="23"/>
        <v>-3.4100000000000037</v>
      </c>
      <c r="HG23" s="195">
        <f t="shared" si="23"/>
        <v>0</v>
      </c>
      <c r="HH23" s="195">
        <f t="shared" si="23"/>
        <v>0</v>
      </c>
      <c r="HI23" s="195">
        <f t="shared" si="23"/>
        <v>0</v>
      </c>
      <c r="HJ23" s="195">
        <f t="shared" si="23"/>
        <v>0</v>
      </c>
      <c r="HK23" s="195">
        <f t="shared" si="23"/>
        <v>0</v>
      </c>
      <c r="HL23" s="195">
        <f t="shared" si="23"/>
        <v>0</v>
      </c>
      <c r="HM23" s="195">
        <f t="shared" si="23"/>
        <v>-0.77000000000000046</v>
      </c>
      <c r="HN23" s="195">
        <f t="shared" si="23"/>
        <v>-3.5200000000000031</v>
      </c>
      <c r="HO23" s="195">
        <f t="shared" si="23"/>
        <v>-2.0900000000000034</v>
      </c>
      <c r="HP23" s="195">
        <f t="shared" si="23"/>
        <v>0</v>
      </c>
      <c r="HQ23" s="195">
        <f t="shared" si="23"/>
        <v>-3.3000000000000043</v>
      </c>
      <c r="HR23" s="195">
        <f t="shared" si="23"/>
        <v>-0.2200000000000002</v>
      </c>
      <c r="HS23" s="195">
        <f t="shared" si="23"/>
        <v>0</v>
      </c>
      <c r="HT23" s="195">
        <f t="shared" si="23"/>
        <v>0</v>
      </c>
      <c r="HU23" s="195">
        <f t="shared" si="23"/>
        <v>0</v>
      </c>
      <c r="HV23" s="195">
        <f t="shared" si="23"/>
        <v>0</v>
      </c>
      <c r="HW23" s="195">
        <f t="shared" si="23"/>
        <v>0</v>
      </c>
      <c r="HY23" s="194"/>
      <c r="HZ23" s="194"/>
      <c r="IA23" s="194">
        <f t="shared" si="24"/>
        <v>31</v>
      </c>
      <c r="IB23" s="194"/>
      <c r="IC23" s="194"/>
      <c r="ID23" s="194"/>
      <c r="IE23" s="194"/>
      <c r="IF23" s="194"/>
      <c r="IG23" s="194"/>
      <c r="IH23" s="194">
        <f>R23+$F$22</f>
        <v>7</v>
      </c>
      <c r="II23" s="194">
        <f>S23+$F$22</f>
        <v>32</v>
      </c>
      <c r="IJ23" s="194">
        <f>T23+$F$22</f>
        <v>19</v>
      </c>
      <c r="IK23" s="194">
        <f>U23+$F$22</f>
        <v>16</v>
      </c>
      <c r="IL23" s="194">
        <f t="shared" ref="IL23:IL24" si="28">V23+$F$22</f>
        <v>30</v>
      </c>
      <c r="IM23" s="194">
        <f>W23+$F$22</f>
        <v>2</v>
      </c>
      <c r="IN23" s="194"/>
      <c r="IO23" s="194"/>
      <c r="IP23" s="194"/>
      <c r="IQ23" s="194"/>
      <c r="IR23" s="194"/>
    </row>
    <row r="24" spans="1:252" ht="15.75" thickBot="1" x14ac:dyDescent="0.3">
      <c r="C24">
        <v>105</v>
      </c>
      <c r="G24" s="38" t="s">
        <v>75</v>
      </c>
      <c r="H24" s="123" t="s">
        <v>38</v>
      </c>
      <c r="I24" s="136"/>
      <c r="J24" s="137"/>
      <c r="K24" s="137">
        <v>12</v>
      </c>
      <c r="L24" s="263">
        <v>0</v>
      </c>
      <c r="M24" s="137"/>
      <c r="N24" s="137"/>
      <c r="O24" s="137"/>
      <c r="P24" s="137"/>
      <c r="Q24" s="137"/>
      <c r="R24" s="137"/>
      <c r="S24" s="137"/>
      <c r="T24" s="137"/>
      <c r="U24" s="137"/>
      <c r="V24" s="137">
        <v>3</v>
      </c>
      <c r="W24" s="137"/>
      <c r="X24" s="137"/>
      <c r="Y24" s="137">
        <v>1</v>
      </c>
      <c r="Z24" s="137">
        <v>21</v>
      </c>
      <c r="AA24" s="137">
        <v>22</v>
      </c>
      <c r="AB24" s="155">
        <v>5</v>
      </c>
      <c r="AC24" s="157"/>
      <c r="AD24" s="145"/>
      <c r="AE24" s="140">
        <v>1.4148409317581596</v>
      </c>
      <c r="AF24" s="140">
        <v>1.5405671339966702</v>
      </c>
      <c r="AG24" s="145"/>
      <c r="AH24" s="145"/>
      <c r="AI24" s="145"/>
      <c r="AJ24" s="145"/>
      <c r="AK24" s="145"/>
      <c r="AL24" s="145"/>
      <c r="AM24" s="145"/>
      <c r="AN24" s="145"/>
      <c r="AO24" s="145"/>
      <c r="AP24" s="140">
        <v>1.3758411843849545</v>
      </c>
      <c r="AQ24" s="140"/>
      <c r="AR24" s="140">
        <v>1.7655919678380347</v>
      </c>
      <c r="AS24" s="140">
        <v>1.1204704494152624</v>
      </c>
      <c r="AT24" s="140">
        <v>1.6983925178871022</v>
      </c>
      <c r="AU24" s="140">
        <v>1.9999103260638096</v>
      </c>
      <c r="AV24" s="162">
        <v>1.7126533050715607</v>
      </c>
      <c r="AW24" s="136">
        <f t="shared" si="25"/>
        <v>0</v>
      </c>
      <c r="AX24" s="137">
        <f t="shared" si="21"/>
        <v>0</v>
      </c>
      <c r="AY24" s="137">
        <f t="shared" si="21"/>
        <v>864022</v>
      </c>
      <c r="AZ24" s="137">
        <f t="shared" si="21"/>
        <v>459199</v>
      </c>
      <c r="BA24" s="137">
        <f t="shared" si="21"/>
        <v>0</v>
      </c>
      <c r="BB24" s="137">
        <f t="shared" si="21"/>
        <v>0</v>
      </c>
      <c r="BC24" s="137">
        <f t="shared" si="21"/>
        <v>0</v>
      </c>
      <c r="BD24" s="137">
        <f t="shared" si="21"/>
        <v>0</v>
      </c>
      <c r="BE24" s="137">
        <f t="shared" si="21"/>
        <v>0</v>
      </c>
      <c r="BF24" s="137">
        <f t="shared" si="21"/>
        <v>0</v>
      </c>
      <c r="BG24" s="137">
        <f t="shared" si="21"/>
        <v>0</v>
      </c>
      <c r="BH24" s="137">
        <f t="shared" si="21"/>
        <v>0</v>
      </c>
      <c r="BI24" s="137">
        <f t="shared" si="21"/>
        <v>0</v>
      </c>
      <c r="BJ24" s="137">
        <f t="shared" si="21"/>
        <v>0</v>
      </c>
      <c r="BK24" s="137">
        <f t="shared" si="21"/>
        <v>0</v>
      </c>
      <c r="BL24" s="137">
        <f t="shared" si="21"/>
        <v>52029</v>
      </c>
      <c r="BM24" s="137">
        <f t="shared" si="21"/>
        <v>176060</v>
      </c>
      <c r="BN24" s="137">
        <f t="shared" si="21"/>
        <v>655390</v>
      </c>
      <c r="BO24" s="137">
        <f t="shared" si="21"/>
        <v>3445036</v>
      </c>
      <c r="BP24" s="155">
        <f t="shared" si="21"/>
        <v>1001763</v>
      </c>
      <c r="BQ24" s="136">
        <f t="shared" si="26"/>
        <v>0</v>
      </c>
      <c r="BR24" s="137">
        <f t="shared" si="22"/>
        <v>0</v>
      </c>
      <c r="BS24" s="137">
        <f t="shared" si="22"/>
        <v>440651.22000000003</v>
      </c>
      <c r="BT24" s="137">
        <f t="shared" si="22"/>
        <v>234191.49</v>
      </c>
      <c r="BU24" s="137">
        <f t="shared" si="22"/>
        <v>0</v>
      </c>
      <c r="BV24" s="137">
        <f t="shared" si="22"/>
        <v>0</v>
      </c>
      <c r="BW24" s="137">
        <f t="shared" si="22"/>
        <v>0</v>
      </c>
      <c r="BX24" s="137">
        <f t="shared" si="22"/>
        <v>0</v>
      </c>
      <c r="BY24" s="137">
        <f t="shared" si="22"/>
        <v>0</v>
      </c>
      <c r="BZ24" s="137">
        <f t="shared" si="22"/>
        <v>0</v>
      </c>
      <c r="CA24" s="137">
        <f t="shared" si="22"/>
        <v>0</v>
      </c>
      <c r="CB24" s="137">
        <f t="shared" si="22"/>
        <v>0</v>
      </c>
      <c r="CC24" s="137">
        <f t="shared" si="22"/>
        <v>0</v>
      </c>
      <c r="CD24" s="137">
        <f t="shared" si="22"/>
        <v>0</v>
      </c>
      <c r="CE24" s="137">
        <f t="shared" si="22"/>
        <v>0</v>
      </c>
      <c r="CF24" s="137">
        <f t="shared" si="22"/>
        <v>26534.79</v>
      </c>
      <c r="CG24" s="137">
        <f t="shared" si="22"/>
        <v>89790.6</v>
      </c>
      <c r="CH24" s="137">
        <f t="shared" si="22"/>
        <v>334248.90000000002</v>
      </c>
      <c r="CI24" s="137">
        <f t="shared" si="22"/>
        <v>1756968.36</v>
      </c>
      <c r="CJ24" s="142">
        <f t="shared" si="22"/>
        <v>510899.13</v>
      </c>
      <c r="CK24" s="251">
        <f>Calculator!AG65</f>
        <v>0</v>
      </c>
      <c r="CL24" s="252">
        <f>Calculator!AH65</f>
        <v>0</v>
      </c>
      <c r="CM24" s="259">
        <f>Calculator!AI65</f>
        <v>15.36</v>
      </c>
      <c r="CN24" s="252">
        <f>Calculator!AJ65</f>
        <v>0</v>
      </c>
      <c r="CO24" s="252">
        <f>Calculator!AK65</f>
        <v>0</v>
      </c>
      <c r="CP24" s="252">
        <f>Calculator!AL65</f>
        <v>0</v>
      </c>
      <c r="CQ24" s="252">
        <f>Calculator!AM65</f>
        <v>0</v>
      </c>
      <c r="CR24" s="252">
        <f>Calculator!AN65</f>
        <v>0</v>
      </c>
      <c r="CS24" s="252">
        <f>Calculator!AO65</f>
        <v>0</v>
      </c>
      <c r="CT24" s="252">
        <f>Calculator!AP65</f>
        <v>0</v>
      </c>
      <c r="CU24" s="252">
        <f>Calculator!AQ65</f>
        <v>0</v>
      </c>
      <c r="CV24" s="252">
        <f>Calculator!AR65</f>
        <v>0</v>
      </c>
      <c r="CW24" s="252">
        <f>Calculator!AS65</f>
        <v>0</v>
      </c>
      <c r="CX24" s="252">
        <f>Calculator!AT65</f>
        <v>3</v>
      </c>
      <c r="CY24" s="252">
        <f>Calculator!AU65</f>
        <v>0</v>
      </c>
      <c r="CZ24" s="252">
        <f>Calculator!AV65</f>
        <v>0</v>
      </c>
      <c r="DA24" s="259">
        <f>Calculator!AW65</f>
        <v>1.28</v>
      </c>
      <c r="DB24" s="259">
        <f>Calculator!AX65</f>
        <v>26.88</v>
      </c>
      <c r="DC24" s="259">
        <f>Calculator!AY65</f>
        <v>28.16</v>
      </c>
      <c r="DD24" s="262">
        <f>Calculator!AZ65</f>
        <v>6.4</v>
      </c>
      <c r="DE24" s="185">
        <f t="shared" si="14"/>
        <v>0</v>
      </c>
      <c r="DF24" s="186">
        <f t="shared" si="8"/>
        <v>0</v>
      </c>
      <c r="DG24" s="186">
        <f t="shared" si="8"/>
        <v>0.27999999999999997</v>
      </c>
      <c r="DH24" s="186">
        <f t="shared" si="8"/>
        <v>0</v>
      </c>
      <c r="DI24" s="186">
        <f t="shared" si="8"/>
        <v>0</v>
      </c>
      <c r="DJ24" s="186">
        <f t="shared" si="8"/>
        <v>0</v>
      </c>
      <c r="DK24" s="186">
        <f t="shared" si="8"/>
        <v>0</v>
      </c>
      <c r="DL24" s="186">
        <f t="shared" si="8"/>
        <v>0</v>
      </c>
      <c r="DM24" s="186">
        <f t="shared" si="8"/>
        <v>0</v>
      </c>
      <c r="DN24" s="186">
        <f t="shared" si="8"/>
        <v>0</v>
      </c>
      <c r="DO24" s="186">
        <f t="shared" si="8"/>
        <v>0</v>
      </c>
      <c r="DP24" s="186">
        <f t="shared" si="8"/>
        <v>0</v>
      </c>
      <c r="DQ24" s="186">
        <f t="shared" si="8"/>
        <v>0</v>
      </c>
      <c r="DR24" s="186">
        <f t="shared" si="8"/>
        <v>0</v>
      </c>
      <c r="DS24" s="186">
        <f t="shared" si="8"/>
        <v>0</v>
      </c>
      <c r="DT24" s="186">
        <f t="shared" si="8"/>
        <v>0</v>
      </c>
      <c r="DU24" s="186">
        <f t="shared" si="8"/>
        <v>0.28000000000000003</v>
      </c>
      <c r="DV24" s="186">
        <f t="shared" si="9"/>
        <v>0.27999999999999997</v>
      </c>
      <c r="DW24" s="186">
        <f t="shared" si="9"/>
        <v>0.28000000000000003</v>
      </c>
      <c r="DX24" s="191">
        <f t="shared" si="9"/>
        <v>0.28000000000000008</v>
      </c>
      <c r="DY24" s="185">
        <f t="shared" si="15"/>
        <v>0</v>
      </c>
      <c r="DZ24" s="186">
        <f t="shared" si="10"/>
        <v>0</v>
      </c>
      <c r="EA24" s="186">
        <f t="shared" si="10"/>
        <v>0.39615546089228465</v>
      </c>
      <c r="EB24" s="186">
        <f t="shared" si="10"/>
        <v>0</v>
      </c>
      <c r="EC24" s="186">
        <f t="shared" si="10"/>
        <v>0</v>
      </c>
      <c r="ED24" s="186">
        <f t="shared" si="10"/>
        <v>0</v>
      </c>
      <c r="EE24" s="186">
        <f t="shared" si="10"/>
        <v>0</v>
      </c>
      <c r="EF24" s="186">
        <f t="shared" si="10"/>
        <v>0</v>
      </c>
      <c r="EG24" s="186">
        <f t="shared" si="10"/>
        <v>0</v>
      </c>
      <c r="EH24" s="186">
        <f t="shared" si="10"/>
        <v>0</v>
      </c>
      <c r="EI24" s="186">
        <f t="shared" si="10"/>
        <v>0</v>
      </c>
      <c r="EJ24" s="186">
        <f t="shared" si="10"/>
        <v>0</v>
      </c>
      <c r="EK24" s="186">
        <f t="shared" si="10"/>
        <v>0</v>
      </c>
      <c r="EL24" s="186">
        <f t="shared" si="10"/>
        <v>0</v>
      </c>
      <c r="EM24" s="186">
        <f t="shared" si="10"/>
        <v>0</v>
      </c>
      <c r="EN24" s="186">
        <f t="shared" si="10"/>
        <v>0</v>
      </c>
      <c r="EO24" s="186">
        <f t="shared" si="10"/>
        <v>0.31373172583627351</v>
      </c>
      <c r="EP24" s="186">
        <f t="shared" si="10"/>
        <v>0.47554990500838856</v>
      </c>
      <c r="EQ24" s="186">
        <f t="shared" si="10"/>
        <v>0.55997489129786671</v>
      </c>
      <c r="ER24" s="191">
        <f t="shared" si="10"/>
        <v>0.47954292542003712</v>
      </c>
      <c r="ES24" s="16">
        <f t="shared" si="16"/>
        <v>0</v>
      </c>
      <c r="ET24" s="16">
        <f t="shared" si="11"/>
        <v>0</v>
      </c>
      <c r="EU24" s="16">
        <f t="shared" si="11"/>
        <v>342287.03363107354</v>
      </c>
      <c r="EV24" s="16">
        <f t="shared" si="11"/>
        <v>0</v>
      </c>
      <c r="EW24" s="16">
        <f t="shared" si="11"/>
        <v>0</v>
      </c>
      <c r="EX24" s="16">
        <f t="shared" si="11"/>
        <v>0</v>
      </c>
      <c r="EY24" s="16">
        <f t="shared" si="11"/>
        <v>0</v>
      </c>
      <c r="EZ24" s="16">
        <f t="shared" si="11"/>
        <v>0</v>
      </c>
      <c r="FA24" s="16">
        <f t="shared" si="11"/>
        <v>0</v>
      </c>
      <c r="FB24" s="16">
        <f t="shared" si="11"/>
        <v>0</v>
      </c>
      <c r="FC24" s="16">
        <f t="shared" si="11"/>
        <v>0</v>
      </c>
      <c r="FD24" s="16">
        <f t="shared" si="11"/>
        <v>0</v>
      </c>
      <c r="FE24" s="16">
        <f t="shared" si="11"/>
        <v>0</v>
      </c>
      <c r="FF24" s="16">
        <f t="shared" si="11"/>
        <v>0</v>
      </c>
      <c r="FG24" s="16">
        <f t="shared" si="11"/>
        <v>0</v>
      </c>
      <c r="FH24" s="16">
        <f t="shared" si="11"/>
        <v>0</v>
      </c>
      <c r="FI24" s="16">
        <f t="shared" si="11"/>
        <v>55235.607650734317</v>
      </c>
      <c r="FJ24" s="16">
        <f t="shared" si="12"/>
        <v>311670.65224344778</v>
      </c>
      <c r="FK24" s="16">
        <f t="shared" si="12"/>
        <v>1929133.6596172375</v>
      </c>
      <c r="FL24" s="16">
        <f t="shared" si="12"/>
        <v>480388.35959755263</v>
      </c>
      <c r="FM24" s="16">
        <f t="shared" si="17"/>
        <v>3118715.3127400456</v>
      </c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0"/>
      <c r="FZ24" s="30"/>
      <c r="GA24" s="30"/>
      <c r="GB24" s="30"/>
      <c r="GC24" s="30"/>
      <c r="GD24" s="30"/>
      <c r="GE24" s="30"/>
      <c r="GF24" s="30"/>
      <c r="GG24" s="30"/>
      <c r="HD24" s="195">
        <f t="shared" si="27"/>
        <v>0</v>
      </c>
      <c r="HE24" s="195">
        <f t="shared" si="23"/>
        <v>0</v>
      </c>
      <c r="HF24" s="195">
        <f t="shared" si="23"/>
        <v>-3.3599999999999994</v>
      </c>
      <c r="HG24" s="195">
        <f t="shared" si="23"/>
        <v>0</v>
      </c>
      <c r="HH24" s="195">
        <f t="shared" si="23"/>
        <v>0</v>
      </c>
      <c r="HI24" s="195">
        <f t="shared" si="23"/>
        <v>0</v>
      </c>
      <c r="HJ24" s="195">
        <f t="shared" si="23"/>
        <v>0</v>
      </c>
      <c r="HK24" s="195">
        <f t="shared" si="23"/>
        <v>0</v>
      </c>
      <c r="HL24" s="195">
        <f t="shared" si="23"/>
        <v>0</v>
      </c>
      <c r="HM24" s="195">
        <f t="shared" si="23"/>
        <v>0</v>
      </c>
      <c r="HN24" s="195">
        <f t="shared" si="23"/>
        <v>0</v>
      </c>
      <c r="HO24" s="195">
        <f t="shared" si="23"/>
        <v>0</v>
      </c>
      <c r="HP24" s="195">
        <f t="shared" si="23"/>
        <v>0</v>
      </c>
      <c r="HQ24" s="195">
        <f t="shared" si="23"/>
        <v>0</v>
      </c>
      <c r="HR24" s="195">
        <f t="shared" si="23"/>
        <v>0</v>
      </c>
      <c r="HS24" s="195">
        <f t="shared" si="23"/>
        <v>0</v>
      </c>
      <c r="HT24" s="195">
        <f t="shared" si="23"/>
        <v>-0.28000000000000003</v>
      </c>
      <c r="HU24" s="195">
        <f t="shared" si="23"/>
        <v>-5.879999999999999</v>
      </c>
      <c r="HV24" s="195">
        <f t="shared" si="23"/>
        <v>-6.16</v>
      </c>
      <c r="HW24" s="195">
        <f t="shared" si="23"/>
        <v>-1.4000000000000004</v>
      </c>
      <c r="HY24" s="194"/>
      <c r="HZ24" s="194"/>
      <c r="IA24" s="194">
        <f t="shared" si="24"/>
        <v>12</v>
      </c>
      <c r="IB24" s="194"/>
      <c r="IC24" s="194"/>
      <c r="ID24" s="194"/>
      <c r="IE24" s="194"/>
      <c r="IF24" s="194"/>
      <c r="IG24" s="194"/>
      <c r="IH24" s="194"/>
      <c r="II24" s="194"/>
      <c r="IJ24" s="194"/>
      <c r="IK24" s="194"/>
      <c r="IL24" s="194">
        <f t="shared" si="28"/>
        <v>3</v>
      </c>
      <c r="IM24" s="194"/>
      <c r="IN24" s="194"/>
      <c r="IO24" s="194">
        <f>Y24+$F$22</f>
        <v>1</v>
      </c>
      <c r="IP24" s="194">
        <f>Z24+$F$22</f>
        <v>21</v>
      </c>
      <c r="IQ24" s="194">
        <f>AA24+$F$22</f>
        <v>22</v>
      </c>
      <c r="IR24" s="194">
        <f>AB24+$F$22</f>
        <v>5</v>
      </c>
    </row>
    <row r="26" spans="1:252" ht="15.75" thickBot="1" x14ac:dyDescent="0.3"/>
    <row r="27" spans="1:252" ht="15.75" thickBot="1" x14ac:dyDescent="0.3">
      <c r="G27" s="549" t="s">
        <v>140</v>
      </c>
      <c r="H27" s="549"/>
      <c r="I27" s="549"/>
      <c r="J27" s="549"/>
      <c r="K27" s="549"/>
      <c r="L27" s="550" t="s">
        <v>145</v>
      </c>
      <c r="M27" s="551"/>
      <c r="N27" s="551"/>
      <c r="O27" s="551"/>
      <c r="P27" s="551"/>
      <c r="Q27" s="552"/>
      <c r="AC27" s="3"/>
      <c r="CJ27" s="36" t="s">
        <v>52</v>
      </c>
      <c r="CK27" s="126" t="s">
        <v>59</v>
      </c>
      <c r="CL27" s="127" t="s">
        <v>60</v>
      </c>
      <c r="CM27" s="127" t="s">
        <v>62</v>
      </c>
      <c r="CN27" s="127" t="s">
        <v>61</v>
      </c>
      <c r="CO27" s="127" t="s">
        <v>17</v>
      </c>
      <c r="CP27" s="127" t="s">
        <v>18</v>
      </c>
      <c r="CQ27" s="127" t="s">
        <v>63</v>
      </c>
      <c r="CR27" s="127" t="s">
        <v>64</v>
      </c>
      <c r="CS27" s="127" t="s">
        <v>22</v>
      </c>
      <c r="CT27" s="127" t="s">
        <v>70</v>
      </c>
      <c r="CU27" s="127" t="s">
        <v>65</v>
      </c>
      <c r="CV27" s="127" t="s">
        <v>66</v>
      </c>
      <c r="CW27" s="127" t="s">
        <v>35</v>
      </c>
      <c r="CX27" s="127" t="s">
        <v>36</v>
      </c>
      <c r="CY27" s="127" t="s">
        <v>37</v>
      </c>
      <c r="CZ27" s="127" t="s">
        <v>39</v>
      </c>
      <c r="DA27" s="127" t="s">
        <v>42</v>
      </c>
      <c r="DB27" s="127" t="s">
        <v>67</v>
      </c>
      <c r="DC27" s="127" t="s">
        <v>68</v>
      </c>
      <c r="DD27" s="128" t="s">
        <v>69</v>
      </c>
      <c r="DF27" t="s">
        <v>202</v>
      </c>
      <c r="DG27" s="233">
        <f>MAX(DE19:DX21)</f>
        <v>0</v>
      </c>
      <c r="DI27" t="s">
        <v>220</v>
      </c>
      <c r="FN27" s="539" t="s">
        <v>135</v>
      </c>
      <c r="FO27" s="540"/>
      <c r="FP27" s="540"/>
      <c r="FQ27" s="540"/>
      <c r="FR27" s="540"/>
      <c r="FS27" s="540"/>
      <c r="FT27" s="540"/>
      <c r="FU27" s="540"/>
      <c r="FV27" s="540"/>
      <c r="FW27" s="540"/>
      <c r="FX27" s="540"/>
      <c r="FY27" s="540"/>
      <c r="FZ27" s="540"/>
      <c r="GA27" s="540"/>
      <c r="GB27" s="540"/>
      <c r="GC27" s="540"/>
      <c r="GD27" s="540"/>
      <c r="GE27" s="540"/>
      <c r="GF27" s="540"/>
      <c r="GG27" s="541"/>
    </row>
    <row r="28" spans="1:252" ht="15.75" thickBot="1" x14ac:dyDescent="0.3">
      <c r="A28" t="s">
        <v>113</v>
      </c>
      <c r="B28" t="s">
        <v>222</v>
      </c>
      <c r="C28" t="s">
        <v>223</v>
      </c>
      <c r="D28" t="s">
        <v>224</v>
      </c>
      <c r="E28" t="s">
        <v>225</v>
      </c>
      <c r="F28" t="s">
        <v>226</v>
      </c>
      <c r="G28" s="36" t="s">
        <v>52</v>
      </c>
      <c r="H28" t="s">
        <v>141</v>
      </c>
      <c r="I28" t="s">
        <v>142</v>
      </c>
      <c r="J28" t="s">
        <v>143</v>
      </c>
      <c r="K28" t="s">
        <v>144</v>
      </c>
      <c r="L28" s="205" t="s">
        <v>146</v>
      </c>
      <c r="M28" s="205" t="s">
        <v>147</v>
      </c>
      <c r="N28" s="205" t="s">
        <v>148</v>
      </c>
      <c r="O28" s="205" t="s">
        <v>149</v>
      </c>
      <c r="P28" s="205" t="s">
        <v>155</v>
      </c>
      <c r="Q28" s="205" t="s">
        <v>156</v>
      </c>
      <c r="R28" s="225" t="s">
        <v>178</v>
      </c>
      <c r="S28" s="225" t="s">
        <v>189</v>
      </c>
      <c r="T28" s="225" t="s">
        <v>190</v>
      </c>
      <c r="U28" s="225" t="s">
        <v>191</v>
      </c>
      <c r="V28" s="225" t="s">
        <v>179</v>
      </c>
      <c r="W28" s="225" t="s">
        <v>163</v>
      </c>
      <c r="X28" s="222" t="s">
        <v>180</v>
      </c>
      <c r="Y28" s="226" t="s">
        <v>181</v>
      </c>
      <c r="Z28" s="227" t="s">
        <v>182</v>
      </c>
      <c r="AA28" s="225" t="s">
        <v>183</v>
      </c>
      <c r="AB28" s="222" t="s">
        <v>184</v>
      </c>
      <c r="AC28" s="225" t="s">
        <v>301</v>
      </c>
      <c r="AD28" s="225" t="s">
        <v>185</v>
      </c>
      <c r="AE28" s="225" t="s">
        <v>186</v>
      </c>
      <c r="AF28" s="225" t="s">
        <v>187</v>
      </c>
      <c r="AG28" s="225" t="s">
        <v>188</v>
      </c>
      <c r="AJ28" s="205" t="s">
        <v>238</v>
      </c>
      <c r="AK28" s="205" t="s">
        <v>239</v>
      </c>
      <c r="AL28" s="205" t="s">
        <v>79</v>
      </c>
      <c r="CJ28" s="123" t="s">
        <v>12</v>
      </c>
      <c r="CK28" s="131">
        <v>39.775852379323055</v>
      </c>
      <c r="CL28" s="131">
        <v>30.880153762112659</v>
      </c>
      <c r="CM28" s="131">
        <v>26.415966518519792</v>
      </c>
      <c r="CN28" s="131">
        <v>28.2555412866942</v>
      </c>
      <c r="CO28" s="131">
        <v>26.932342207540607</v>
      </c>
      <c r="CP28" s="131">
        <v>17.05862825600072</v>
      </c>
      <c r="CQ28" s="131">
        <v>15.183203044049282</v>
      </c>
      <c r="CR28" s="131">
        <v>14.322983319748673</v>
      </c>
      <c r="CS28" s="131"/>
      <c r="CT28" s="131">
        <v>11.83129331148055</v>
      </c>
      <c r="CU28" s="131">
        <v>18.925041170451312</v>
      </c>
      <c r="CV28" s="131"/>
      <c r="CW28" s="131"/>
      <c r="CX28" s="131">
        <v>14.123777398502911</v>
      </c>
      <c r="CY28" s="131"/>
      <c r="CZ28" s="131"/>
      <c r="DA28" s="131"/>
      <c r="DB28" s="131"/>
      <c r="DC28" s="131"/>
      <c r="DD28" s="131"/>
      <c r="DF28" t="s">
        <v>201</v>
      </c>
      <c r="DG28" s="233">
        <f>MIN(DE22:DX24)</f>
        <v>0</v>
      </c>
      <c r="FH28" t="s">
        <v>52</v>
      </c>
      <c r="FI28" t="s">
        <v>138</v>
      </c>
      <c r="FM28" t="s">
        <v>218</v>
      </c>
      <c r="FN28" s="126" t="s">
        <v>59</v>
      </c>
      <c r="FO28" s="127" t="s">
        <v>60</v>
      </c>
      <c r="FP28" s="127" t="s">
        <v>62</v>
      </c>
      <c r="FQ28" s="127" t="s">
        <v>61</v>
      </c>
      <c r="FR28" s="127" t="s">
        <v>17</v>
      </c>
      <c r="FS28" s="127" t="s">
        <v>18</v>
      </c>
      <c r="FT28" s="127" t="s">
        <v>63</v>
      </c>
      <c r="FU28" s="127" t="s">
        <v>64</v>
      </c>
      <c r="FV28" s="127" t="s">
        <v>22</v>
      </c>
      <c r="FW28" s="127" t="s">
        <v>70</v>
      </c>
      <c r="FX28" s="127" t="s">
        <v>65</v>
      </c>
      <c r="FY28" s="127" t="s">
        <v>66</v>
      </c>
      <c r="FZ28" s="127" t="s">
        <v>35</v>
      </c>
      <c r="GA28" s="127" t="s">
        <v>36</v>
      </c>
      <c r="GB28" s="127" t="s">
        <v>37</v>
      </c>
      <c r="GC28" s="127" t="s">
        <v>39</v>
      </c>
      <c r="GD28" s="127" t="s">
        <v>42</v>
      </c>
      <c r="GE28" s="127" t="s">
        <v>67</v>
      </c>
      <c r="GF28" s="127" t="s">
        <v>68</v>
      </c>
      <c r="GG28" s="128" t="s">
        <v>69</v>
      </c>
    </row>
    <row r="29" spans="1:252" ht="15.75" thickBot="1" x14ac:dyDescent="0.3">
      <c r="A29">
        <v>325</v>
      </c>
      <c r="B29">
        <v>27</v>
      </c>
      <c r="C29">
        <f>Simulator2!D24</f>
        <v>30</v>
      </c>
      <c r="D29">
        <f>MAX(C22,Simulator2!E24)</f>
        <v>175</v>
      </c>
      <c r="E29">
        <f>IF(MAX(B29:C29)&gt;52,52,MAX(B29:C29))</f>
        <v>30</v>
      </c>
      <c r="F29">
        <f>MAX(D29*E29,H36+1)</f>
        <v>5250</v>
      </c>
      <c r="G29" s="123" t="s">
        <v>12</v>
      </c>
      <c r="H29" s="204">
        <v>0.16847315958333334</v>
      </c>
      <c r="I29" s="4">
        <v>72860750</v>
      </c>
      <c r="J29" s="4">
        <v>70444631.50999999</v>
      </c>
      <c r="K29" s="4">
        <f>Simulator2!E10</f>
        <v>134633606</v>
      </c>
      <c r="L29" s="3">
        <f>Simulator2!E18</f>
        <v>0.18</v>
      </c>
      <c r="M29">
        <f>MIN('Thai input'!F44:G44)*'Thai input'!F41</f>
        <v>5250</v>
      </c>
      <c r="N29">
        <f>'Thai input'!F41*'Thai input'!F44*Calculator_Calculations!P29</f>
        <v>27562.5</v>
      </c>
      <c r="O29" s="210">
        <f>J29*1.2</f>
        <v>84533557.811999992</v>
      </c>
      <c r="P29">
        <v>5.25</v>
      </c>
      <c r="Q29" s="4">
        <v>15686.081383357689</v>
      </c>
      <c r="R29">
        <v>5.72</v>
      </c>
      <c r="S29">
        <v>554</v>
      </c>
      <c r="T29" s="4">
        <v>72860750</v>
      </c>
      <c r="U29">
        <v>4644.9300000000239</v>
      </c>
      <c r="V29" s="194">
        <f>N36</f>
        <v>18654551.026785716</v>
      </c>
      <c r="W29" s="19">
        <f>IF(V29&lt;0,0,I36-U29)</f>
        <v>1869.9699999999757</v>
      </c>
      <c r="X29" s="194">
        <f>K36-J36</f>
        <v>498157.56585122272</v>
      </c>
      <c r="Y29">
        <v>0.19</v>
      </c>
      <c r="Z29" s="230">
        <f>Calculator!AG16</f>
        <v>0.16847315958333334</v>
      </c>
      <c r="AA29" s="203">
        <f>(Z29/H29-1)*Y29</f>
        <v>0</v>
      </c>
      <c r="AB29" s="194">
        <f>AA29*K29</f>
        <v>0</v>
      </c>
      <c r="AC29" s="285">
        <f>X29+AB29+FI29+Q143+S151+Q110</f>
        <v>5791264.3777563898</v>
      </c>
      <c r="AD29" s="203">
        <f>Q164/K29</f>
        <v>4.3014998630849934E-2</v>
      </c>
      <c r="AE29">
        <f>(Z29-H29)*FM29*(K29*(1+AD29))</f>
        <v>0</v>
      </c>
      <c r="AF29" s="194">
        <f>AE29+V29+HB19+P110+P143+P151</f>
        <v>100657880.62748381</v>
      </c>
      <c r="AH29" s="204"/>
      <c r="AJ29" s="4">
        <f>AC29</f>
        <v>5791264.3777563898</v>
      </c>
      <c r="AK29" s="4">
        <f>K29*Simulator2!D10</f>
        <v>5789245.0579999993</v>
      </c>
      <c r="AL29" s="204">
        <f>AJ29/K29</f>
        <v>4.3014998630849934E-2</v>
      </c>
      <c r="CJ29" s="124" t="s">
        <v>30</v>
      </c>
      <c r="CK29" s="131"/>
      <c r="CL29" s="131"/>
      <c r="CM29" s="131">
        <v>28.926823216031032</v>
      </c>
      <c r="CN29" s="131"/>
      <c r="CO29" s="131"/>
      <c r="CP29" s="131"/>
      <c r="CQ29" s="131"/>
      <c r="CR29" s="131"/>
      <c r="CS29" s="131"/>
      <c r="CT29" s="131">
        <v>10.077486339993728</v>
      </c>
      <c r="CU29" s="131">
        <v>18.4945796448972</v>
      </c>
      <c r="CV29" s="131">
        <v>14.13137292017319</v>
      </c>
      <c r="CW29" s="131">
        <v>15.967553528361877</v>
      </c>
      <c r="CX29" s="131">
        <v>14.626126006371658</v>
      </c>
      <c r="CY29" s="131">
        <v>10.367940728580532</v>
      </c>
      <c r="CZ29" s="131"/>
      <c r="DA29" s="131"/>
      <c r="DB29" s="131"/>
      <c r="DC29" s="131"/>
      <c r="DD29" s="131"/>
      <c r="DG29" s="233"/>
      <c r="FH29" t="s">
        <v>12</v>
      </c>
      <c r="FI29" s="194">
        <f>SUM(FM19,FM22)</f>
        <v>5165210.8387038605</v>
      </c>
      <c r="FM29">
        <v>16.280423772266118</v>
      </c>
      <c r="FN29" s="16">
        <f t="shared" ref="FN29:GG31" si="29">FN19*(1+DE19)</f>
        <v>39.775852379323055</v>
      </c>
      <c r="FO29" s="16">
        <f t="shared" si="29"/>
        <v>30.880153762112659</v>
      </c>
      <c r="FP29" s="16">
        <f t="shared" si="29"/>
        <v>26.415966518519792</v>
      </c>
      <c r="FQ29" s="16">
        <f t="shared" si="29"/>
        <v>28.2555412866942</v>
      </c>
      <c r="FR29" s="16">
        <f t="shared" si="29"/>
        <v>26.932342207540607</v>
      </c>
      <c r="FS29" s="16">
        <f t="shared" si="29"/>
        <v>17.05862825600072</v>
      </c>
      <c r="FT29" s="16">
        <f t="shared" si="29"/>
        <v>15.183203044049282</v>
      </c>
      <c r="FU29" s="16">
        <f t="shared" si="29"/>
        <v>14.322983319748673</v>
      </c>
      <c r="FV29" s="16">
        <f t="shared" si="29"/>
        <v>15.447497661365762</v>
      </c>
      <c r="FW29" s="16">
        <f t="shared" si="29"/>
        <v>11.83129331148055</v>
      </c>
      <c r="FX29" s="16">
        <f t="shared" si="29"/>
        <v>18.925041170451312</v>
      </c>
      <c r="FY29" s="16">
        <f t="shared" si="29"/>
        <v>0</v>
      </c>
      <c r="FZ29" s="16">
        <f t="shared" si="29"/>
        <v>0</v>
      </c>
      <c r="GA29" s="16">
        <f t="shared" si="29"/>
        <v>14.123777398502911</v>
      </c>
      <c r="GB29" s="16">
        <f t="shared" si="29"/>
        <v>0</v>
      </c>
      <c r="GC29" s="16">
        <f t="shared" si="29"/>
        <v>0</v>
      </c>
      <c r="GD29" s="16">
        <f t="shared" si="29"/>
        <v>0</v>
      </c>
      <c r="GE29" s="16">
        <f t="shared" si="29"/>
        <v>0</v>
      </c>
      <c r="GF29" s="16">
        <f t="shared" si="29"/>
        <v>0</v>
      </c>
      <c r="GG29" s="16">
        <f t="shared" si="29"/>
        <v>0</v>
      </c>
    </row>
    <row r="30" spans="1:252" ht="15.75" thickBot="1" x14ac:dyDescent="0.3">
      <c r="A30">
        <v>750</v>
      </c>
      <c r="B30">
        <v>13</v>
      </c>
      <c r="C30">
        <f>Simulator2!D25</f>
        <v>15</v>
      </c>
      <c r="D30">
        <f>MAX(C23,Simulator2!E25)</f>
        <v>155</v>
      </c>
      <c r="E30">
        <f t="shared" ref="E30:E31" si="30">IF(MAX(B30:C30)&gt;52,52,MAX(B30:C30))</f>
        <v>15</v>
      </c>
      <c r="F30">
        <f t="shared" ref="F30:F31" si="31">MAX(D30*E30,H37+1)</f>
        <v>2325</v>
      </c>
      <c r="G30" s="124" t="s">
        <v>30</v>
      </c>
      <c r="H30" s="204">
        <v>0.16677894466666668</v>
      </c>
      <c r="I30" s="4">
        <v>22556750</v>
      </c>
      <c r="J30" s="4">
        <v>4868429.3082973203</v>
      </c>
      <c r="K30" s="4">
        <f>Simulator2!E11</f>
        <v>7665660</v>
      </c>
      <c r="L30" s="3">
        <f>Simulator2!E19</f>
        <v>0.18</v>
      </c>
      <c r="M30">
        <f>MIN('Thai input'!F45:G45)*'Thai input'!F42</f>
        <v>2325</v>
      </c>
      <c r="N30">
        <f>'Thai input'!F42*'Thai input'!F45*Calculator_Calculations!P30</f>
        <v>3975.75</v>
      </c>
      <c r="O30" s="210">
        <f t="shared" ref="O30:O31" si="32">J30*1.2</f>
        <v>5842115.1699567838</v>
      </c>
      <c r="P30">
        <v>1.71</v>
      </c>
      <c r="Q30" s="4">
        <v>11558.554357629037</v>
      </c>
      <c r="R30">
        <v>2.81</v>
      </c>
      <c r="S30">
        <v>124</v>
      </c>
      <c r="T30" s="4">
        <v>22556750</v>
      </c>
      <c r="U30">
        <v>1951.5199999999813</v>
      </c>
      <c r="V30" s="194">
        <f t="shared" ref="V30:V31" si="33">N37</f>
        <v>68958551.026785716</v>
      </c>
      <c r="W30" s="19">
        <f t="shared" ref="W30:W31" si="34">IF(V30&lt;0,0,I37-U30)</f>
        <v>4563.3800000000183</v>
      </c>
      <c r="X30" s="194">
        <f t="shared" ref="X30:X31" si="35">K37-J37</f>
        <v>96058.58731922711</v>
      </c>
      <c r="Y30">
        <v>0.1</v>
      </c>
      <c r="Z30" s="230">
        <f>Calculator!AG43</f>
        <v>0.18</v>
      </c>
      <c r="AA30" s="203">
        <f t="shared" ref="AA30:AA31" si="36">(Z30/H30-1)*Y30</f>
        <v>7.927292836489408E-3</v>
      </c>
      <c r="AB30" s="194">
        <f t="shared" ref="AB30:AB31" si="37">AA30*K30</f>
        <v>60767.931604963393</v>
      </c>
      <c r="AC30" s="285">
        <f>X30+AB30+FI30+S157+Q122</f>
        <v>1594442.0955312783</v>
      </c>
      <c r="AD30" s="203">
        <f>Q165/K30</f>
        <v>0.20799801915702998</v>
      </c>
      <c r="AE30">
        <f t="shared" ref="AE30:AE31" si="38">(Z30-H30)*FM30*(K30*(1+AD30))</f>
        <v>2041925.6215425285</v>
      </c>
      <c r="AF30" s="194">
        <f>AE30+V30+HB20+P122+P157</f>
        <v>78113805.528328344</v>
      </c>
      <c r="AH30" s="204"/>
      <c r="AJ30" s="4">
        <f t="shared" ref="AJ30:AJ31" si="39">AC30</f>
        <v>1594442.0955312783</v>
      </c>
      <c r="AK30" s="4">
        <f>K30*Simulator2!D11</f>
        <v>1594457.28</v>
      </c>
      <c r="AL30" s="204">
        <f t="shared" ref="AL30:AL31" si="40">AJ30/K30</f>
        <v>0.20799801915702995</v>
      </c>
      <c r="CJ30" s="124" t="s">
        <v>38</v>
      </c>
      <c r="CK30" s="131"/>
      <c r="CL30" s="131"/>
      <c r="CM30" s="131">
        <v>29.479149059948661</v>
      </c>
      <c r="CN30" s="131">
        <v>29.542317471848889</v>
      </c>
      <c r="CO30" s="131"/>
      <c r="CP30" s="131"/>
      <c r="CQ30" s="131"/>
      <c r="CR30" s="131"/>
      <c r="CS30" s="131"/>
      <c r="CT30" s="131"/>
      <c r="CU30" s="131"/>
      <c r="CV30" s="131"/>
      <c r="CW30" s="131"/>
      <c r="CX30" s="131">
        <v>12.524858109043448</v>
      </c>
      <c r="CY30" s="131"/>
      <c r="CZ30" s="131"/>
      <c r="DA30" s="131">
        <v>14.302068492427839</v>
      </c>
      <c r="DB30" s="131">
        <v>14.132208560096787</v>
      </c>
      <c r="DC30" s="131">
        <v>10.486109047737465</v>
      </c>
      <c r="DD30" s="131">
        <v>10.029355963188261</v>
      </c>
      <c r="FH30" t="s">
        <v>30</v>
      </c>
      <c r="FI30" s="194">
        <f t="shared" ref="FI30:FI31" si="41">SUM(FM20,FM23)</f>
        <v>1372904.921226087</v>
      </c>
      <c r="FM30">
        <v>16.678539613172774</v>
      </c>
      <c r="FN30" s="16">
        <f t="shared" si="29"/>
        <v>0</v>
      </c>
      <c r="FO30" s="16">
        <f t="shared" si="29"/>
        <v>0</v>
      </c>
      <c r="FP30" s="16">
        <f t="shared" si="29"/>
        <v>28.926823216031032</v>
      </c>
      <c r="FQ30" s="16">
        <f t="shared" si="29"/>
        <v>0</v>
      </c>
      <c r="FR30" s="16">
        <f t="shared" si="29"/>
        <v>0</v>
      </c>
      <c r="FS30" s="16">
        <f t="shared" si="29"/>
        <v>0</v>
      </c>
      <c r="FT30" s="16">
        <f t="shared" si="29"/>
        <v>0</v>
      </c>
      <c r="FU30" s="16">
        <f t="shared" si="29"/>
        <v>0</v>
      </c>
      <c r="FV30" s="16">
        <f t="shared" si="29"/>
        <v>15.976377952755904</v>
      </c>
      <c r="FW30" s="16">
        <f t="shared" si="29"/>
        <v>10.077486339993728</v>
      </c>
      <c r="FX30" s="16">
        <f t="shared" si="29"/>
        <v>18.4945796448972</v>
      </c>
      <c r="FY30" s="16">
        <f t="shared" si="29"/>
        <v>14.13137292017319</v>
      </c>
      <c r="FZ30" s="16">
        <f t="shared" si="29"/>
        <v>15.967553528361877</v>
      </c>
      <c r="GA30" s="16">
        <f t="shared" si="29"/>
        <v>14.626126006371658</v>
      </c>
      <c r="GB30" s="16">
        <f t="shared" si="29"/>
        <v>10.367940728580532</v>
      </c>
      <c r="GC30" s="16">
        <f t="shared" si="29"/>
        <v>0</v>
      </c>
      <c r="GD30" s="16">
        <f t="shared" si="29"/>
        <v>0</v>
      </c>
      <c r="GE30" s="16">
        <f t="shared" si="29"/>
        <v>0</v>
      </c>
      <c r="GF30" s="16">
        <f>GF20*(1+DW20)</f>
        <v>0</v>
      </c>
      <c r="GG30" s="16">
        <f>GG20*(1+DX20)</f>
        <v>0</v>
      </c>
    </row>
    <row r="31" spans="1:252" ht="15.75" thickBot="1" x14ac:dyDescent="0.3">
      <c r="A31">
        <v>800</v>
      </c>
      <c r="B31">
        <v>11</v>
      </c>
      <c r="C31">
        <f>Simulator2!D26</f>
        <v>15</v>
      </c>
      <c r="D31">
        <f>MAX(C24,Simulator2!E26)</f>
        <v>120</v>
      </c>
      <c r="E31">
        <f t="shared" si="30"/>
        <v>15</v>
      </c>
      <c r="F31">
        <f t="shared" si="31"/>
        <v>1800</v>
      </c>
      <c r="G31" s="124" t="s">
        <v>38</v>
      </c>
      <c r="H31" s="204">
        <v>0.16734845875000001</v>
      </c>
      <c r="I31" s="4">
        <v>16660625</v>
      </c>
      <c r="J31" s="4">
        <v>30794035.323410086</v>
      </c>
      <c r="K31" s="4">
        <f>Simulator2!E12</f>
        <v>6868436</v>
      </c>
      <c r="L31" s="3">
        <f>Simulator2!E20</f>
        <v>0.2</v>
      </c>
      <c r="M31">
        <f>MIN('Thai input'!F46:G46)*'Thai input'!F43</f>
        <v>1800</v>
      </c>
      <c r="N31">
        <f>'Thai input'!F43*'Thai input'!F46*Calculator_Calculations!P31</f>
        <v>576</v>
      </c>
      <c r="O31" s="210">
        <f t="shared" si="32"/>
        <v>36952842.388092101</v>
      </c>
      <c r="P31">
        <v>0.32</v>
      </c>
      <c r="Q31" s="4">
        <v>13340.559866118985</v>
      </c>
      <c r="R31">
        <v>0.9</v>
      </c>
      <c r="S31">
        <v>25</v>
      </c>
      <c r="T31" s="4">
        <v>16660625</v>
      </c>
      <c r="U31">
        <v>1248.8699999999988</v>
      </c>
      <c r="V31" s="194">
        <f t="shared" si="33"/>
        <v>5882950.8333333358</v>
      </c>
      <c r="W31" s="19">
        <f t="shared" si="34"/>
        <v>551.13000000000125</v>
      </c>
      <c r="X31" s="194">
        <f t="shared" si="35"/>
        <v>30021.910000000036</v>
      </c>
      <c r="Y31">
        <v>7.0000000000000007E-2</v>
      </c>
      <c r="Z31" s="230">
        <f>Calculator!AG67</f>
        <v>0.2</v>
      </c>
      <c r="AA31" s="203">
        <f t="shared" si="36"/>
        <v>1.3657776740653733E-2</v>
      </c>
      <c r="AB31" s="194">
        <f t="shared" si="37"/>
        <v>93807.565445468761</v>
      </c>
      <c r="AC31" s="285">
        <f>X31+AB31+Q134+FI31+Q147</f>
        <v>3502906.9775437163</v>
      </c>
      <c r="AD31" s="327">
        <f>Q166/K31</f>
        <v>0.51000067228459522</v>
      </c>
      <c r="AE31" s="4">
        <f t="shared" si="38"/>
        <v>3956916.7862606202</v>
      </c>
      <c r="AF31" s="194">
        <f>AE31+V31+HB21+P134+P147</f>
        <v>23088635.569593944</v>
      </c>
      <c r="AH31" s="204"/>
      <c r="AJ31" s="4">
        <f t="shared" si="39"/>
        <v>3502906.9775437163</v>
      </c>
      <c r="AK31" s="4">
        <f>K31*Simulator2!D12</f>
        <v>3502902.36</v>
      </c>
      <c r="AL31" s="204">
        <f t="shared" si="40"/>
        <v>0.51000067228459522</v>
      </c>
      <c r="CJ31" s="123" t="s">
        <v>12</v>
      </c>
      <c r="CK31" s="131">
        <v>24</v>
      </c>
      <c r="CL31" s="131">
        <v>36</v>
      </c>
      <c r="CM31" s="131">
        <v>20</v>
      </c>
      <c r="CN31" s="131">
        <v>29</v>
      </c>
      <c r="CO31" s="131">
        <v>39</v>
      </c>
      <c r="CP31" s="131">
        <v>20</v>
      </c>
      <c r="CQ31" s="131">
        <v>17</v>
      </c>
      <c r="CR31" s="131">
        <v>27</v>
      </c>
      <c r="CS31" s="131"/>
      <c r="CT31" s="131">
        <v>46</v>
      </c>
      <c r="CU31" s="131">
        <v>33</v>
      </c>
      <c r="CV31" s="131"/>
      <c r="CW31" s="131"/>
      <c r="CX31" s="131">
        <v>40</v>
      </c>
      <c r="CY31" s="131"/>
      <c r="CZ31" s="131"/>
      <c r="DA31" s="131"/>
      <c r="DB31" s="131"/>
      <c r="DC31" s="131"/>
      <c r="DD31" s="131"/>
      <c r="FH31" t="s">
        <v>38</v>
      </c>
      <c r="FI31" s="194">
        <f t="shared" si="41"/>
        <v>3118715.3127400456</v>
      </c>
      <c r="FM31">
        <v>11.684717973880931</v>
      </c>
      <c r="FN31" s="16">
        <f t="shared" si="29"/>
        <v>0</v>
      </c>
      <c r="FO31" s="16">
        <f t="shared" si="29"/>
        <v>0</v>
      </c>
      <c r="FP31" s="16">
        <f t="shared" si="29"/>
        <v>29.479149059948661</v>
      </c>
      <c r="FQ31" s="16">
        <f t="shared" si="29"/>
        <v>29.542317471848889</v>
      </c>
      <c r="FR31" s="16">
        <f t="shared" si="29"/>
        <v>0</v>
      </c>
      <c r="FS31" s="16">
        <f t="shared" si="29"/>
        <v>0</v>
      </c>
      <c r="FT31" s="16">
        <f t="shared" si="29"/>
        <v>0</v>
      </c>
      <c r="FU31" s="16">
        <f t="shared" si="29"/>
        <v>0</v>
      </c>
      <c r="FV31" s="16">
        <f t="shared" si="29"/>
        <v>0</v>
      </c>
      <c r="FW31" s="16">
        <f t="shared" si="29"/>
        <v>0</v>
      </c>
      <c r="FX31" s="16">
        <f t="shared" si="29"/>
        <v>0</v>
      </c>
      <c r="FY31" s="16">
        <f t="shared" si="29"/>
        <v>0</v>
      </c>
      <c r="FZ31" s="16">
        <f t="shared" si="29"/>
        <v>0</v>
      </c>
      <c r="GA31" s="16">
        <f t="shared" si="29"/>
        <v>12.524858109043448</v>
      </c>
      <c r="GB31" s="16">
        <f t="shared" si="29"/>
        <v>0</v>
      </c>
      <c r="GC31" s="16">
        <f t="shared" si="29"/>
        <v>0</v>
      </c>
      <c r="GD31" s="16">
        <f t="shared" si="29"/>
        <v>14.302068492427839</v>
      </c>
      <c r="GE31" s="16">
        <f t="shared" si="29"/>
        <v>14.132208560096787</v>
      </c>
      <c r="GF31" s="16">
        <f>GF21*(1+DW21)</f>
        <v>10.486109047737465</v>
      </c>
      <c r="GG31" s="16">
        <f t="shared" ref="GG31" si="42">GG21*(1+DX21)</f>
        <v>10.029355963188261</v>
      </c>
    </row>
    <row r="32" spans="1:252" ht="15.75" thickBot="1" x14ac:dyDescent="0.3">
      <c r="AC32" s="3"/>
      <c r="AF32" s="4">
        <f>SUM(AF29:AF31)</f>
        <v>201860321.72540608</v>
      </c>
      <c r="CJ32" s="124" t="s">
        <v>30</v>
      </c>
      <c r="CK32" s="131"/>
      <c r="CL32" s="131"/>
      <c r="CM32" s="131">
        <v>31</v>
      </c>
      <c r="CN32" s="131"/>
      <c r="CO32" s="131"/>
      <c r="CP32" s="131"/>
      <c r="CQ32" s="131"/>
      <c r="CR32" s="131"/>
      <c r="CS32" s="131"/>
      <c r="CT32" s="131">
        <v>7</v>
      </c>
      <c r="CU32" s="131">
        <v>32</v>
      </c>
      <c r="CV32" s="131">
        <v>19</v>
      </c>
      <c r="CW32" s="131">
        <v>16</v>
      </c>
      <c r="CX32" s="131">
        <v>30</v>
      </c>
      <c r="CY32" s="131">
        <v>2</v>
      </c>
      <c r="CZ32" s="131"/>
      <c r="DA32" s="131"/>
      <c r="DB32" s="131"/>
      <c r="DC32" s="131"/>
      <c r="DD32" s="131"/>
    </row>
    <row r="33" spans="7:108" x14ac:dyDescent="0.25">
      <c r="CJ33" s="124" t="s">
        <v>38</v>
      </c>
      <c r="CK33" s="270"/>
      <c r="CL33" s="270"/>
      <c r="CM33" s="270">
        <v>12</v>
      </c>
      <c r="CN33" s="270">
        <v>0</v>
      </c>
      <c r="CO33" s="270"/>
      <c r="CP33" s="270"/>
      <c r="CQ33" s="270"/>
      <c r="CR33" s="270"/>
      <c r="CS33" s="270"/>
      <c r="CT33" s="270"/>
      <c r="CU33" s="270"/>
      <c r="CV33" s="270"/>
      <c r="CW33" s="270"/>
      <c r="CX33" s="270">
        <v>3</v>
      </c>
      <c r="CY33" s="270"/>
      <c r="CZ33" s="270"/>
      <c r="DA33" s="270">
        <v>1</v>
      </c>
      <c r="DB33" s="270">
        <v>21</v>
      </c>
      <c r="DC33" s="270">
        <v>22</v>
      </c>
      <c r="DD33" s="270">
        <v>5</v>
      </c>
    </row>
    <row r="34" spans="7:108" x14ac:dyDescent="0.25">
      <c r="J34" t="s">
        <v>192</v>
      </c>
      <c r="K34" t="s">
        <v>193</v>
      </c>
      <c r="AC34" s="194">
        <f>SUM(AC29:AC30)</f>
        <v>7385706.4732876681</v>
      </c>
      <c r="AE34" t="s">
        <v>347</v>
      </c>
      <c r="AF34" s="194">
        <f>SUM(AF29:AF30)</f>
        <v>178771686.15581214</v>
      </c>
      <c r="CK34" s="271"/>
      <c r="CL34" s="271"/>
      <c r="CM34" s="271"/>
      <c r="CN34" s="271"/>
      <c r="CO34" s="271"/>
      <c r="CP34" s="271"/>
      <c r="CQ34" s="271"/>
      <c r="CR34" s="271"/>
      <c r="CS34" s="271"/>
      <c r="CT34" s="271"/>
      <c r="CU34" s="271"/>
      <c r="CV34" s="271"/>
      <c r="CW34" s="271"/>
      <c r="CX34" s="271"/>
      <c r="CY34" s="271"/>
      <c r="CZ34" s="271"/>
      <c r="DA34" s="271"/>
      <c r="DB34" s="271"/>
      <c r="DC34" s="271"/>
      <c r="DD34" s="271"/>
    </row>
    <row r="35" spans="7:108" ht="15.75" thickBot="1" x14ac:dyDescent="0.3">
      <c r="G35" s="36" t="s">
        <v>52</v>
      </c>
      <c r="H35" s="10" t="s">
        <v>157</v>
      </c>
      <c r="I35" s="223" t="s">
        <v>174</v>
      </c>
      <c r="J35" s="228" t="s">
        <v>194</v>
      </c>
      <c r="K35" s="229" t="s">
        <v>195</v>
      </c>
      <c r="L35" s="39" t="s">
        <v>196</v>
      </c>
      <c r="M35" s="229" t="s">
        <v>197</v>
      </c>
      <c r="N35" s="20" t="s">
        <v>198</v>
      </c>
      <c r="P35" s="225" t="s">
        <v>348</v>
      </c>
      <c r="Q35" t="s">
        <v>344</v>
      </c>
      <c r="R35" t="s">
        <v>345</v>
      </c>
    </row>
    <row r="36" spans="7:108" x14ac:dyDescent="0.25">
      <c r="G36" s="123" t="s">
        <v>12</v>
      </c>
      <c r="H36">
        <v>4644.9300000000239</v>
      </c>
      <c r="I36" s="224">
        <f>J98</f>
        <v>6514.9</v>
      </c>
      <c r="J36" s="220">
        <f>S60</f>
        <v>6326380.964194864</v>
      </c>
      <c r="K36" s="194">
        <f>L98</f>
        <v>6824538.5300460868</v>
      </c>
      <c r="M36" s="194">
        <f>K98</f>
        <v>91515301.026785716</v>
      </c>
      <c r="N36" s="194">
        <f>M36-T29</f>
        <v>18654551.026785716</v>
      </c>
      <c r="P36" s="4">
        <v>72860750</v>
      </c>
      <c r="Q36" s="210">
        <f>P36/H36</f>
        <v>15686.081383357689</v>
      </c>
      <c r="R36" s="194">
        <f>(F29-H36)*Q36</f>
        <v>9491177.2626278605</v>
      </c>
    </row>
    <row r="37" spans="7:108" x14ac:dyDescent="0.25">
      <c r="G37" s="124" t="s">
        <v>30</v>
      </c>
      <c r="H37">
        <v>1951.5199999999813</v>
      </c>
      <c r="I37" s="224">
        <f t="shared" ref="I37:I38" si="43">J99</f>
        <v>6514.9</v>
      </c>
      <c r="J37" s="220">
        <f>S74</f>
        <v>317829.22108278691</v>
      </c>
      <c r="K37" s="194">
        <f t="shared" ref="K37:K38" si="44">L99</f>
        <v>413887.80840201402</v>
      </c>
      <c r="M37" s="194">
        <f t="shared" ref="M37:M38" si="45">K99</f>
        <v>91515301.026785716</v>
      </c>
      <c r="N37" s="194">
        <f t="shared" ref="N37:N38" si="46">M37-T30</f>
        <v>68958551.026785716</v>
      </c>
      <c r="P37" s="4">
        <v>22556750</v>
      </c>
      <c r="Q37" s="210">
        <f t="shared" ref="Q37:Q38" si="47">P37/H37</f>
        <v>11558.554357629037</v>
      </c>
      <c r="R37" s="194">
        <f t="shared" ref="R37:R38" si="48">(F30-H37)*Q37</f>
        <v>4316888.8814875083</v>
      </c>
    </row>
    <row r="38" spans="7:108" x14ac:dyDescent="0.25">
      <c r="G38" s="124" t="s">
        <v>38</v>
      </c>
      <c r="H38">
        <v>1248.8699999999988</v>
      </c>
      <c r="I38" s="224">
        <f t="shared" si="43"/>
        <v>1800</v>
      </c>
      <c r="J38">
        <f t="shared" ref="J38" si="49">H38*S31</f>
        <v>31221.749999999967</v>
      </c>
      <c r="K38" s="194">
        <f t="shared" si="44"/>
        <v>61243.66</v>
      </c>
      <c r="M38" s="194">
        <f t="shared" si="45"/>
        <v>22543575.833333336</v>
      </c>
      <c r="N38" s="194">
        <f t="shared" si="46"/>
        <v>5882950.8333333358</v>
      </c>
      <c r="P38" s="4">
        <v>16660625</v>
      </c>
      <c r="Q38" s="210">
        <f t="shared" si="47"/>
        <v>13340.559866118985</v>
      </c>
      <c r="R38" s="194">
        <f t="shared" si="48"/>
        <v>7352382.7590141725</v>
      </c>
    </row>
    <row r="52" spans="3:31" x14ac:dyDescent="0.25">
      <c r="AA52" t="s">
        <v>172</v>
      </c>
      <c r="AB52" t="s">
        <v>173</v>
      </c>
    </row>
    <row r="53" spans="3:31" x14ac:dyDescent="0.25">
      <c r="C53" t="s">
        <v>309</v>
      </c>
      <c r="D53" t="s">
        <v>310</v>
      </c>
      <c r="F53" t="s">
        <v>73</v>
      </c>
      <c r="G53" s="533" t="s">
        <v>12</v>
      </c>
      <c r="H53" s="211" t="s">
        <v>158</v>
      </c>
      <c r="I53" s="211" t="s">
        <v>159</v>
      </c>
      <c r="J53" s="211" t="s">
        <v>95</v>
      </c>
      <c r="K53" s="211" t="s">
        <v>96</v>
      </c>
      <c r="L53" s="212" t="s">
        <v>160</v>
      </c>
      <c r="M53" s="212" t="s">
        <v>161</v>
      </c>
      <c r="N53" s="213" t="s">
        <v>162</v>
      </c>
      <c r="O53" s="214" t="s">
        <v>163</v>
      </c>
      <c r="P53" s="215" t="s">
        <v>164</v>
      </c>
      <c r="Q53" s="215" t="s">
        <v>165</v>
      </c>
      <c r="R53" s="216" t="s">
        <v>166</v>
      </c>
      <c r="S53" s="217" t="s">
        <v>167</v>
      </c>
      <c r="T53" s="217" t="s">
        <v>168</v>
      </c>
      <c r="U53" s="217" t="s">
        <v>342</v>
      </c>
      <c r="AA53" s="220">
        <f>SUM(S54:S58)</f>
        <v>2201051</v>
      </c>
      <c r="AB53" s="220">
        <f>SUM(R54:R58)</f>
        <v>1980945.9</v>
      </c>
      <c r="AD53" t="s">
        <v>230</v>
      </c>
      <c r="AE53" t="s">
        <v>231</v>
      </c>
    </row>
    <row r="54" spans="3:31" x14ac:dyDescent="0.25">
      <c r="C54" s="3">
        <f>S54*$H$13/J54</f>
        <v>2.2056832952124839</v>
      </c>
      <c r="D54" s="3">
        <f>R54*$AD$12/Q54</f>
        <v>2.2056832952124839</v>
      </c>
      <c r="E54" s="203">
        <f>J54/SUM($J$54:$J$59)</f>
        <v>0.49815572856441909</v>
      </c>
      <c r="F54" s="210">
        <f>I54/L54</f>
        <v>1.4734350892660347E-2</v>
      </c>
      <c r="G54" s="533"/>
      <c r="H54" t="s">
        <v>97</v>
      </c>
      <c r="I54">
        <v>333</v>
      </c>
      <c r="J54">
        <v>36296000</v>
      </c>
      <c r="K54">
        <v>1606</v>
      </c>
      <c r="L54" s="4">
        <f>J54/K54</f>
        <v>22600.249066002492</v>
      </c>
      <c r="M54" s="218">
        <f>K54/SUM($K$54:$K$58)</f>
        <v>0.35366659326139616</v>
      </c>
      <c r="N54" s="219">
        <f>0.9*K54</f>
        <v>1445.4</v>
      </c>
      <c r="O54">
        <f>'Table Format Calculations'!O54</f>
        <v>0</v>
      </c>
      <c r="P54" s="3">
        <f>Calculator!AG19</f>
        <v>1445.4</v>
      </c>
      <c r="Q54" s="210">
        <f>P54*U54</f>
        <v>32666400.000000004</v>
      </c>
      <c r="R54" s="220">
        <f>P54*I54</f>
        <v>481318.2</v>
      </c>
      <c r="S54" s="220">
        <f>K54*I54</f>
        <v>534798</v>
      </c>
      <c r="T54" s="220">
        <f>R54-S54</f>
        <v>-53479.799999999988</v>
      </c>
      <c r="U54">
        <f>Calculator!D29</f>
        <v>22600.249066002492</v>
      </c>
      <c r="AA54" s="203">
        <f>S54/$AA$53</f>
        <v>0.24297392472959509</v>
      </c>
      <c r="AB54" s="203">
        <f>R54/$AB$53</f>
        <v>0.24297392472959511</v>
      </c>
      <c r="AD54" s="210">
        <f>J54/S54</f>
        <v>67.868615813821293</v>
      </c>
      <c r="AE54" s="210">
        <f>Q54/R54</f>
        <v>67.868615813821293</v>
      </c>
    </row>
    <row r="55" spans="3:31" x14ac:dyDescent="0.25">
      <c r="C55" s="3">
        <f t="shared" ref="C55:C60" si="50">S55*$H$13/J55</f>
        <v>3.4180225723869988</v>
      </c>
      <c r="D55" s="3">
        <f t="shared" ref="D55:D60" si="51">R55*$AD$12/Q55</f>
        <v>3.4180225723869988</v>
      </c>
      <c r="E55" s="203">
        <f t="shared" ref="E55:E59" si="52">J55/SUM($J$54:$J$59)</f>
        <v>0.18638292908047199</v>
      </c>
      <c r="F55" s="210">
        <f t="shared" ref="F55:F58" si="53">I55/L55</f>
        <v>2.2832989690721648E-2</v>
      </c>
      <c r="G55" s="533"/>
      <c r="H55" t="s">
        <v>171</v>
      </c>
      <c r="I55">
        <v>392</v>
      </c>
      <c r="J55">
        <v>13580000</v>
      </c>
      <c r="K55">
        <v>791</v>
      </c>
      <c r="L55" s="4">
        <f t="shared" ref="L55:L59" si="54">J55/K55</f>
        <v>17168.141592920354</v>
      </c>
      <c r="M55" s="218">
        <f t="shared" ref="M55:M58" si="55">K55/SUM($K$54:$K$58)</f>
        <v>0.1741907068927549</v>
      </c>
      <c r="N55" s="219">
        <f t="shared" ref="N55:N58" si="56">0.9*K55</f>
        <v>711.9</v>
      </c>
      <c r="O55">
        <f>'Table Format Calculations'!O55</f>
        <v>0</v>
      </c>
      <c r="P55" s="3">
        <f>Calculator!AG20</f>
        <v>711.9</v>
      </c>
      <c r="Q55" s="210">
        <f t="shared" ref="Q55:Q58" si="57">P55*U55</f>
        <v>12222000</v>
      </c>
      <c r="R55" s="220">
        <f t="shared" ref="R55:R58" si="58">P55*I55</f>
        <v>279064.8</v>
      </c>
      <c r="S55" s="220">
        <f t="shared" ref="S55:S58" si="59">K55*I55</f>
        <v>310072</v>
      </c>
      <c r="T55" s="220">
        <f t="shared" ref="T55:T61" si="60">R55-S55</f>
        <v>-31007.200000000012</v>
      </c>
      <c r="U55">
        <f>Calculator!D30</f>
        <v>17168.141592920354</v>
      </c>
      <c r="AA55" s="203">
        <f>S55/$AA$53</f>
        <v>0.14087451858225911</v>
      </c>
      <c r="AB55" s="203">
        <f>R55/$AB$53</f>
        <v>0.14087451858225911</v>
      </c>
      <c r="AD55" s="210">
        <f>J55/S55</f>
        <v>43.79627957377641</v>
      </c>
      <c r="AE55" s="210">
        <f>Q55/R55</f>
        <v>43.796279573776417</v>
      </c>
    </row>
    <row r="56" spans="3:31" x14ac:dyDescent="0.25">
      <c r="C56" s="3">
        <f t="shared" si="50"/>
        <v>7.6225843835135869</v>
      </c>
      <c r="D56" s="3">
        <f t="shared" si="51"/>
        <v>7.622584383513586</v>
      </c>
      <c r="E56" s="203">
        <f t="shared" si="52"/>
        <v>0.13703194106566294</v>
      </c>
      <c r="F56" s="210">
        <f t="shared" si="53"/>
        <v>5.0920199313919424E-2</v>
      </c>
      <c r="G56" s="533"/>
      <c r="H56" t="s">
        <v>100</v>
      </c>
      <c r="I56">
        <v>656</v>
      </c>
      <c r="J56">
        <v>9984250</v>
      </c>
      <c r="K56">
        <v>775</v>
      </c>
      <c r="L56" s="4">
        <f t="shared" si="54"/>
        <v>12882.903225806451</v>
      </c>
      <c r="M56" s="218">
        <f t="shared" si="55"/>
        <v>0.17066725390883064</v>
      </c>
      <c r="N56" s="219">
        <f t="shared" si="56"/>
        <v>697.5</v>
      </c>
      <c r="O56">
        <f>'Table Format Calculations'!O56</f>
        <v>0</v>
      </c>
      <c r="P56" s="3">
        <f>Calculator!AG22</f>
        <v>697.5</v>
      </c>
      <c r="Q56" s="210">
        <f t="shared" si="57"/>
        <v>8985825</v>
      </c>
      <c r="R56" s="220">
        <f t="shared" si="58"/>
        <v>457560</v>
      </c>
      <c r="S56" s="220">
        <f t="shared" si="59"/>
        <v>508400</v>
      </c>
      <c r="T56" s="220">
        <f t="shared" si="60"/>
        <v>-50840</v>
      </c>
      <c r="U56">
        <f>Calculator!D31</f>
        <v>12882.903225806451</v>
      </c>
      <c r="AA56" s="203">
        <f>S56/$AA$53</f>
        <v>0.23098056337631431</v>
      </c>
      <c r="AB56" s="203">
        <f>R56/$AB$53</f>
        <v>0.23098056337631431</v>
      </c>
      <c r="AD56" s="210">
        <f>J56/S56</f>
        <v>19.638571990558614</v>
      </c>
      <c r="AE56" s="210">
        <f>Q56/R56</f>
        <v>19.638571990558614</v>
      </c>
    </row>
    <row r="57" spans="3:31" x14ac:dyDescent="0.25">
      <c r="C57" s="3">
        <f t="shared" si="50"/>
        <v>8.2569226683838686</v>
      </c>
      <c r="D57" s="3">
        <f t="shared" si="51"/>
        <v>8.2569226683838703</v>
      </c>
      <c r="E57" s="203">
        <f t="shared" si="52"/>
        <v>0.11301695357239666</v>
      </c>
      <c r="F57" s="210">
        <f t="shared" si="53"/>
        <v>5.5157690205841277E-2</v>
      </c>
      <c r="G57" s="533"/>
      <c r="H57" t="s">
        <v>114</v>
      </c>
      <c r="I57">
        <v>419</v>
      </c>
      <c r="J57">
        <v>8234500</v>
      </c>
      <c r="K57">
        <v>1084</v>
      </c>
      <c r="L57" s="4">
        <f t="shared" si="54"/>
        <v>7596.4022140221405</v>
      </c>
      <c r="M57" s="218">
        <f t="shared" si="55"/>
        <v>0.23871393966086765</v>
      </c>
      <c r="N57" s="219">
        <f t="shared" si="56"/>
        <v>975.6</v>
      </c>
      <c r="O57">
        <f>'Table Format Calculations'!O57</f>
        <v>0</v>
      </c>
      <c r="P57" s="3">
        <f>Calculator!AG21</f>
        <v>975.6</v>
      </c>
      <c r="Q57" s="210">
        <f t="shared" si="57"/>
        <v>7411050</v>
      </c>
      <c r="R57" s="220">
        <f t="shared" si="58"/>
        <v>408776.4</v>
      </c>
      <c r="S57" s="220">
        <f t="shared" si="59"/>
        <v>454196</v>
      </c>
      <c r="T57" s="220">
        <f t="shared" si="60"/>
        <v>-45419.599999999977</v>
      </c>
      <c r="U57">
        <f>Calculator!D32</f>
        <v>7596.4022140221405</v>
      </c>
      <c r="AA57" s="203">
        <f>S57/$AA$53</f>
        <v>0.20635414626921411</v>
      </c>
      <c r="AB57" s="203">
        <f>R57/$AB$53</f>
        <v>0.20635414626921414</v>
      </c>
      <c r="AD57" s="210">
        <f>J57/S57</f>
        <v>18.129838219623245</v>
      </c>
      <c r="AE57" s="210">
        <f>Q57/R57</f>
        <v>18.129838219623245</v>
      </c>
    </row>
    <row r="58" spans="3:31" x14ac:dyDescent="0.25">
      <c r="C58" s="3">
        <f t="shared" si="50"/>
        <v>14.822230117214312</v>
      </c>
      <c r="D58" s="3">
        <f t="shared" si="51"/>
        <v>14.822230117214314</v>
      </c>
      <c r="E58" s="203">
        <f t="shared" si="52"/>
        <v>5.4556122466485731E-2</v>
      </c>
      <c r="F58" s="210">
        <f t="shared" si="53"/>
        <v>9.9015094339622647E-2</v>
      </c>
      <c r="G58" s="533"/>
      <c r="H58" s="286" t="s">
        <v>118</v>
      </c>
      <c r="I58">
        <v>1381</v>
      </c>
      <c r="J58">
        <v>3975000</v>
      </c>
      <c r="K58">
        <v>285</v>
      </c>
      <c r="L58" s="4">
        <f t="shared" si="54"/>
        <v>13947.368421052632</v>
      </c>
      <c r="M58" s="218">
        <f t="shared" si="55"/>
        <v>6.2761506276150625E-2</v>
      </c>
      <c r="N58" s="219">
        <f t="shared" si="56"/>
        <v>256.5</v>
      </c>
      <c r="O58">
        <f>'Table Format Calculations'!O58</f>
        <v>0</v>
      </c>
      <c r="P58" s="3">
        <f>Calculator!AG23</f>
        <v>256.5</v>
      </c>
      <c r="Q58" s="210">
        <f t="shared" si="57"/>
        <v>3577500</v>
      </c>
      <c r="R58" s="220">
        <f t="shared" si="58"/>
        <v>354226.5</v>
      </c>
      <c r="S58" s="220">
        <f t="shared" si="59"/>
        <v>393585</v>
      </c>
      <c r="T58" s="220">
        <f t="shared" si="60"/>
        <v>-39358.5</v>
      </c>
      <c r="U58">
        <f>Calculator!D33</f>
        <v>13947.368421052632</v>
      </c>
      <c r="AA58" s="203">
        <f>S58/$AA$53</f>
        <v>0.17881684704261736</v>
      </c>
      <c r="AB58" s="203">
        <f>R58/$AB$53</f>
        <v>0.17881684704261738</v>
      </c>
      <c r="AD58" s="210">
        <f>J58/S58</f>
        <v>10.09947025420176</v>
      </c>
      <c r="AE58" s="210">
        <f>Q58/R58</f>
        <v>10.09947025420176</v>
      </c>
    </row>
    <row r="59" spans="3:31" x14ac:dyDescent="0.25">
      <c r="C59" s="3">
        <f t="shared" si="50"/>
        <v>70.446425008512804</v>
      </c>
      <c r="D59" s="3">
        <f t="shared" si="51"/>
        <v>70.446425008512804</v>
      </c>
      <c r="E59" s="203">
        <f t="shared" si="52"/>
        <v>1.0856325250563575E-2</v>
      </c>
      <c r="G59" s="533"/>
      <c r="H59" t="s">
        <v>105</v>
      </c>
      <c r="J59">
        <v>791000</v>
      </c>
      <c r="K59">
        <v>103</v>
      </c>
      <c r="L59" s="4">
        <f t="shared" si="54"/>
        <v>7679.6116504854372</v>
      </c>
      <c r="M59" s="218"/>
      <c r="N59" s="219">
        <v>103</v>
      </c>
      <c r="O59">
        <f>'Table Format Calculations'!O59</f>
        <v>0</v>
      </c>
      <c r="P59" s="3">
        <f>Calculator!AG24</f>
        <v>103</v>
      </c>
      <c r="Q59">
        <f t="shared" ref="Q59" si="61">P59*L59</f>
        <v>791000</v>
      </c>
      <c r="R59" s="220">
        <v>372240.22000001301</v>
      </c>
      <c r="S59" s="220">
        <v>372240.22000001301</v>
      </c>
      <c r="T59" s="220">
        <f t="shared" si="60"/>
        <v>0</v>
      </c>
    </row>
    <row r="60" spans="3:31" x14ac:dyDescent="0.25">
      <c r="C60" s="3">
        <f t="shared" si="50"/>
        <v>9.9252042572689341</v>
      </c>
      <c r="D60" s="3">
        <f t="shared" si="51"/>
        <v>11.163277567573624</v>
      </c>
      <c r="J60" s="194">
        <f>SUM(J54:J59,J61)</f>
        <v>95417500</v>
      </c>
      <c r="K60" s="194">
        <f>SUM(K54:K59,K61)</f>
        <v>6595.5199999999813</v>
      </c>
      <c r="L60" s="4"/>
      <c r="N60" s="3">
        <f t="shared" ref="N60:S60" si="62">SUM(N54:N59,N61)</f>
        <v>5952.9699999999993</v>
      </c>
      <c r="O60">
        <f t="shared" si="62"/>
        <v>561.92999999999984</v>
      </c>
      <c r="P60" s="3">
        <f t="shared" si="62"/>
        <v>6514.9</v>
      </c>
      <c r="Q60" s="3">
        <f t="shared" si="62"/>
        <v>91515301.026785716</v>
      </c>
      <c r="R60" s="4">
        <f t="shared" si="62"/>
        <v>6824538.5300460868</v>
      </c>
      <c r="S60" s="220">
        <f t="shared" si="62"/>
        <v>6326380.964194864</v>
      </c>
      <c r="T60" s="220">
        <f>SUM(T54:T59,T61)</f>
        <v>498157.56585122284</v>
      </c>
    </row>
    <row r="61" spans="3:31" x14ac:dyDescent="0.25">
      <c r="H61" t="s">
        <v>343</v>
      </c>
      <c r="I61" s="437">
        <v>1923.1623269015367</v>
      </c>
      <c r="J61" s="194">
        <f>P37</f>
        <v>22556750</v>
      </c>
      <c r="K61" s="4">
        <f>J61/L61</f>
        <v>1951.5199999999811</v>
      </c>
      <c r="L61" s="4">
        <f>Q37</f>
        <v>11558.554357629037</v>
      </c>
      <c r="N61" s="219">
        <f>SUM(N68:N73)</f>
        <v>1763.0700000000002</v>
      </c>
      <c r="O61">
        <f>SUM(O68:O72)</f>
        <v>561.92999999999984</v>
      </c>
      <c r="P61" s="438">
        <f>SUM(P68:P73)</f>
        <v>2325.0000000000005</v>
      </c>
      <c r="Q61" s="4">
        <f>Q78</f>
        <v>25861526.026785713</v>
      </c>
      <c r="R61" s="220">
        <f t="shared" ref="R61" si="63">P61*I61</f>
        <v>4471352.4100460736</v>
      </c>
      <c r="S61" s="220">
        <f t="shared" ref="S61" si="64">K61*I61</f>
        <v>3753089.7441948508</v>
      </c>
      <c r="T61" s="220">
        <f t="shared" si="60"/>
        <v>718262.66585122282</v>
      </c>
    </row>
    <row r="62" spans="3:31" x14ac:dyDescent="0.25">
      <c r="N62" s="222" t="s">
        <v>169</v>
      </c>
      <c r="O62" s="222" t="s">
        <v>170</v>
      </c>
    </row>
    <row r="63" spans="3:31" x14ac:dyDescent="0.25">
      <c r="N63" s="11">
        <f>SUM(M29+M30)-N60</f>
        <v>1622.0300000000007</v>
      </c>
      <c r="O63" s="19">
        <f>SUM(O54:O59)</f>
        <v>0</v>
      </c>
      <c r="S63" s="220"/>
    </row>
    <row r="64" spans="3:31" x14ac:dyDescent="0.25">
      <c r="I64" t="s">
        <v>12</v>
      </c>
      <c r="J64" s="4">
        <f>SUM(J54:J59)</f>
        <v>72860750</v>
      </c>
      <c r="K64" s="4">
        <f>SUM(K54:K59)</f>
        <v>4644</v>
      </c>
      <c r="P64" s="4">
        <f>SUM(P54:P59)</f>
        <v>4189.8999999999996</v>
      </c>
      <c r="Q64" s="4">
        <f>SUM(Q54:Q59)</f>
        <v>65653775</v>
      </c>
    </row>
    <row r="65" spans="3:31" x14ac:dyDescent="0.25">
      <c r="I65" t="s">
        <v>388</v>
      </c>
      <c r="J65" s="4">
        <f>J61</f>
        <v>22556750</v>
      </c>
      <c r="K65" s="4">
        <f>K61</f>
        <v>1951.5199999999811</v>
      </c>
      <c r="P65" s="4">
        <f>P61</f>
        <v>2325.0000000000005</v>
      </c>
      <c r="Q65" s="4">
        <f>Q61</f>
        <v>25861526.026785713</v>
      </c>
    </row>
    <row r="66" spans="3:31" x14ac:dyDescent="0.25">
      <c r="AA66" t="s">
        <v>172</v>
      </c>
      <c r="AB66" t="s">
        <v>173</v>
      </c>
    </row>
    <row r="67" spans="3:31" x14ac:dyDescent="0.25">
      <c r="C67" t="s">
        <v>309</v>
      </c>
      <c r="D67" t="s">
        <v>310</v>
      </c>
      <c r="F67" t="s">
        <v>73</v>
      </c>
      <c r="G67" s="533" t="s">
        <v>30</v>
      </c>
      <c r="H67" s="211" t="s">
        <v>158</v>
      </c>
      <c r="I67" s="211" t="s">
        <v>159</v>
      </c>
      <c r="J67" s="211" t="s">
        <v>95</v>
      </c>
      <c r="K67" s="211" t="s">
        <v>96</v>
      </c>
      <c r="L67" s="212" t="s">
        <v>160</v>
      </c>
      <c r="M67" s="212" t="s">
        <v>161</v>
      </c>
      <c r="N67" s="213" t="s">
        <v>162</v>
      </c>
      <c r="O67" s="214" t="s">
        <v>163</v>
      </c>
      <c r="P67" s="215" t="s">
        <v>164</v>
      </c>
      <c r="Q67" s="215" t="s">
        <v>165</v>
      </c>
      <c r="R67" s="216" t="s">
        <v>166</v>
      </c>
      <c r="S67" s="217" t="s">
        <v>167</v>
      </c>
      <c r="T67" s="217" t="s">
        <v>168</v>
      </c>
      <c r="U67" s="217" t="s">
        <v>342</v>
      </c>
      <c r="AA67" s="220">
        <f>SUM(S68:S72)</f>
        <v>201364</v>
      </c>
      <c r="AB67" s="220">
        <f>SUM(R68:R72)</f>
        <v>304852.19999999995</v>
      </c>
      <c r="AD67" t="s">
        <v>230</v>
      </c>
      <c r="AE67" t="s">
        <v>231</v>
      </c>
    </row>
    <row r="68" spans="3:31" x14ac:dyDescent="0.25">
      <c r="C68" s="3">
        <f>S68*$H$14/J68</f>
        <v>0.65885151864681557</v>
      </c>
      <c r="D68" s="3">
        <f>R68*$AD$13/Q68</f>
        <v>0.65885151864681546</v>
      </c>
      <c r="E68" s="203">
        <f>J68/SUM($J$68:$J$73)</f>
        <v>0.45140589845611623</v>
      </c>
      <c r="F68" s="210">
        <f>I68/L68</f>
        <v>4.1741265437403325E-3</v>
      </c>
      <c r="G68" s="533"/>
      <c r="H68" t="s">
        <v>97</v>
      </c>
      <c r="I68">
        <v>79</v>
      </c>
      <c r="J68">
        <v>10182250</v>
      </c>
      <c r="K68">
        <v>538</v>
      </c>
      <c r="L68">
        <f>J68/K68</f>
        <v>18926.115241635689</v>
      </c>
      <c r="M68" s="218">
        <f>K68/SUM($K$68:$K$72)</f>
        <v>0.28390501319261213</v>
      </c>
      <c r="N68" s="219">
        <f>0.9*K68</f>
        <v>484.2</v>
      </c>
      <c r="O68">
        <f>'Table Format Calculations'!O68</f>
        <v>0</v>
      </c>
      <c r="P68" s="3">
        <f>Calculator!AG46</f>
        <v>484.2</v>
      </c>
      <c r="Q68">
        <f>P68*U68</f>
        <v>9164025</v>
      </c>
      <c r="R68" s="220">
        <f>P68*I68</f>
        <v>38251.799999999996</v>
      </c>
      <c r="S68" s="220">
        <f>K68*I68</f>
        <v>42502</v>
      </c>
      <c r="T68" s="220">
        <f>R68-S68</f>
        <v>-4250.2000000000044</v>
      </c>
      <c r="U68">
        <f>Calculator!E29</f>
        <v>18926.115241635689</v>
      </c>
      <c r="AA68" s="203">
        <f>S68/$AA$67</f>
        <v>0.21107049919548679</v>
      </c>
      <c r="AB68" s="203">
        <f>R68/$AB$67</f>
        <v>0.1254765424031711</v>
      </c>
      <c r="AD68" s="210">
        <f>J68/S68</f>
        <v>239.57107900804667</v>
      </c>
      <c r="AE68" s="210">
        <f>Q68/R68</f>
        <v>239.57107900804669</v>
      </c>
    </row>
    <row r="69" spans="3:31" x14ac:dyDescent="0.25">
      <c r="C69" s="3">
        <f t="shared" ref="C69:C74" si="65">S69*$H$14/J69</f>
        <v>1.3249660712293043</v>
      </c>
      <c r="D69" s="3">
        <f t="shared" ref="D69:D74" si="66">R69*$AD$13/Q69</f>
        <v>1.3249660712293041</v>
      </c>
      <c r="E69" s="203">
        <f t="shared" ref="E69:E73" si="67">J69/SUM($J$68:$J$73)</f>
        <v>0.1902534717989072</v>
      </c>
      <c r="F69" s="210">
        <f t="shared" ref="F69:F72" si="68">I69/L69</f>
        <v>8.3942677385529536E-3</v>
      </c>
      <c r="G69" s="533"/>
      <c r="H69" t="s">
        <v>171</v>
      </c>
      <c r="I69">
        <v>114</v>
      </c>
      <c r="J69">
        <v>4291500</v>
      </c>
      <c r="K69">
        <v>316</v>
      </c>
      <c r="L69">
        <f t="shared" ref="L69:L74" si="69">J69/K69</f>
        <v>13580.696202531646</v>
      </c>
      <c r="M69" s="218">
        <f t="shared" ref="M69:M72" si="70">K69/SUM($K$68:$K$72)</f>
        <v>0.16675461741424802</v>
      </c>
      <c r="N69" s="219">
        <f t="shared" ref="N69:N72" si="71">0.9*K69</f>
        <v>284.40000000000003</v>
      </c>
      <c r="O69">
        <f>'Table Format Calculations'!O69</f>
        <v>0</v>
      </c>
      <c r="P69" s="3">
        <f>Calculator!AG47</f>
        <v>284.40000000000003</v>
      </c>
      <c r="Q69">
        <f t="shared" ref="Q69:Q72" si="72">P69*U69</f>
        <v>3862350.0000000005</v>
      </c>
      <c r="R69" s="220">
        <f t="shared" ref="R69:R72" si="73">P69*I69</f>
        <v>32421.600000000002</v>
      </c>
      <c r="S69" s="220">
        <f t="shared" ref="S69:S72" si="74">K69*I69</f>
        <v>36024</v>
      </c>
      <c r="T69" s="220">
        <f t="shared" ref="T69:T73" si="75">R69-S69</f>
        <v>-3602.3999999999978</v>
      </c>
      <c r="U69">
        <f>Calculator!E30</f>
        <v>13580.696202531646</v>
      </c>
      <c r="AA69" s="203">
        <f>S69/$AA$67</f>
        <v>0.17889990266383266</v>
      </c>
      <c r="AB69" s="203">
        <f>R69/$AB$67</f>
        <v>0.1063518649365168</v>
      </c>
      <c r="AD69" s="210">
        <f>J69/S69</f>
        <v>119.12891405729513</v>
      </c>
      <c r="AE69" s="210">
        <f>Q69/R69</f>
        <v>119.12891405729515</v>
      </c>
    </row>
    <row r="70" spans="3:31" x14ac:dyDescent="0.25">
      <c r="C70" s="3">
        <f t="shared" si="65"/>
        <v>2.2051729210666648</v>
      </c>
      <c r="D70" s="3">
        <f t="shared" si="66"/>
        <v>2.2051729210666648</v>
      </c>
      <c r="E70" s="203">
        <f t="shared" si="67"/>
        <v>0.13807396898932692</v>
      </c>
      <c r="F70" s="210">
        <f t="shared" si="68"/>
        <v>1.3970781826938512E-2</v>
      </c>
      <c r="G70" s="533"/>
      <c r="H70" t="s">
        <v>100</v>
      </c>
      <c r="I70">
        <v>168</v>
      </c>
      <c r="J70">
        <v>3114500</v>
      </c>
      <c r="K70">
        <v>259</v>
      </c>
      <c r="L70">
        <f t="shared" si="69"/>
        <v>12025.096525096526</v>
      </c>
      <c r="M70" s="218">
        <f t="shared" si="70"/>
        <v>0.13667546174142481</v>
      </c>
      <c r="N70" s="219">
        <f t="shared" si="71"/>
        <v>233.1</v>
      </c>
      <c r="O70">
        <f>'Table Format Calculations'!O70</f>
        <v>0</v>
      </c>
      <c r="P70" s="3">
        <f>Calculator!AG49</f>
        <v>233.1</v>
      </c>
      <c r="Q70">
        <f t="shared" si="72"/>
        <v>2803050</v>
      </c>
      <c r="R70" s="220">
        <f t="shared" si="73"/>
        <v>39160.799999999996</v>
      </c>
      <c r="S70" s="220">
        <f t="shared" si="74"/>
        <v>43512</v>
      </c>
      <c r="T70" s="220">
        <f t="shared" si="75"/>
        <v>-4351.2000000000044</v>
      </c>
      <c r="U70">
        <f>Calculator!E31</f>
        <v>12025.096525096526</v>
      </c>
      <c r="AA70" s="203">
        <f>S70/$AA$67</f>
        <v>0.21608629149202441</v>
      </c>
      <c r="AB70" s="203">
        <f>R70/$AB$67</f>
        <v>0.12845831520979675</v>
      </c>
      <c r="AD70" s="210">
        <f>J70/S70</f>
        <v>71.577955506526934</v>
      </c>
      <c r="AE70" s="210">
        <f>Q70/R70</f>
        <v>71.577955506526948</v>
      </c>
    </row>
    <row r="71" spans="3:31" x14ac:dyDescent="0.25">
      <c r="C71" s="3">
        <f t="shared" si="65"/>
        <v>2.2223743420161139</v>
      </c>
      <c r="D71" s="3">
        <f t="shared" si="66"/>
        <v>2.2223743420161139</v>
      </c>
      <c r="E71" s="203">
        <f t="shared" si="67"/>
        <v>0.13339687676637813</v>
      </c>
      <c r="F71" s="210">
        <f t="shared" si="68"/>
        <v>1.407976071784646E-2</v>
      </c>
      <c r="G71" s="533"/>
      <c r="H71" t="s">
        <v>114</v>
      </c>
      <c r="I71">
        <v>69</v>
      </c>
      <c r="J71">
        <v>3009000</v>
      </c>
      <c r="K71">
        <v>614</v>
      </c>
      <c r="L71">
        <f t="shared" si="69"/>
        <v>4900.651465798046</v>
      </c>
      <c r="M71" s="218">
        <f t="shared" si="70"/>
        <v>0.32401055408970975</v>
      </c>
      <c r="N71" s="219">
        <f t="shared" si="71"/>
        <v>552.6</v>
      </c>
      <c r="O71">
        <f>'Table Format Calculations'!O71</f>
        <v>0</v>
      </c>
      <c r="P71" s="3">
        <f>Calculator!AG48</f>
        <v>552.6</v>
      </c>
      <c r="Q71">
        <f t="shared" si="72"/>
        <v>2708100.0000000005</v>
      </c>
      <c r="R71" s="220">
        <f t="shared" si="73"/>
        <v>38129.4</v>
      </c>
      <c r="S71" s="220">
        <f t="shared" si="74"/>
        <v>42366</v>
      </c>
      <c r="T71" s="220">
        <f t="shared" si="75"/>
        <v>-4236.5999999999985</v>
      </c>
      <c r="U71">
        <f>Calculator!E32</f>
        <v>4900.651465798046</v>
      </c>
      <c r="AA71" s="203">
        <f>S71/$AA$67</f>
        <v>0.21039510538129955</v>
      </c>
      <c r="AB71" s="203">
        <f>R71/$AB$67</f>
        <v>0.12507503636188294</v>
      </c>
      <c r="AD71" s="210">
        <f>J71/S71</f>
        <v>71.023934286928196</v>
      </c>
      <c r="AE71" s="210">
        <f>Q71/R71</f>
        <v>71.02393428692821</v>
      </c>
    </row>
    <row r="72" spans="3:31" x14ac:dyDescent="0.25">
      <c r="C72" s="3">
        <f t="shared" si="65"/>
        <v>3.5287051508714686</v>
      </c>
      <c r="D72" s="3">
        <f t="shared" si="66"/>
        <v>3.5287051508714691</v>
      </c>
      <c r="E72" s="203">
        <f t="shared" si="67"/>
        <v>7.3292916754408327E-2</v>
      </c>
      <c r="F72" s="210">
        <f t="shared" si="68"/>
        <v>2.2355965522455768E-2</v>
      </c>
      <c r="G72" s="533"/>
      <c r="H72" t="s">
        <v>118</v>
      </c>
      <c r="I72">
        <v>220</v>
      </c>
      <c r="J72">
        <v>1653250</v>
      </c>
      <c r="K72">
        <v>168</v>
      </c>
      <c r="L72">
        <f t="shared" si="69"/>
        <v>9840.7738095238092</v>
      </c>
      <c r="M72" s="218">
        <f t="shared" si="70"/>
        <v>8.8654353562005281E-2</v>
      </c>
      <c r="N72" s="219">
        <f t="shared" si="71"/>
        <v>151.20000000000002</v>
      </c>
      <c r="O72">
        <f>'Table Format Calculations'!O72</f>
        <v>561.92999999999984</v>
      </c>
      <c r="P72" s="3">
        <f>Calculator!AG50</f>
        <v>713.12999999999988</v>
      </c>
      <c r="Q72">
        <f t="shared" si="72"/>
        <v>7017751.0267857127</v>
      </c>
      <c r="R72" s="220">
        <f t="shared" si="73"/>
        <v>156888.59999999998</v>
      </c>
      <c r="S72" s="220">
        <f t="shared" si="74"/>
        <v>36960</v>
      </c>
      <c r="T72" s="220">
        <f t="shared" si="75"/>
        <v>119928.59999999998</v>
      </c>
      <c r="U72">
        <f>Calculator!E33</f>
        <v>9840.7738095238092</v>
      </c>
      <c r="AA72" s="203">
        <f>S72/$AA$67</f>
        <v>0.18354820126735663</v>
      </c>
      <c r="AB72" s="203">
        <f>R72/$AB$67</f>
        <v>0.51463824108863243</v>
      </c>
      <c r="AD72" s="210">
        <f>J72/S72</f>
        <v>44.730790043290042</v>
      </c>
      <c r="AE72" s="210">
        <f>Q72/R72</f>
        <v>44.730790043290042</v>
      </c>
    </row>
    <row r="73" spans="3:31" x14ac:dyDescent="0.25">
      <c r="C73" s="3">
        <f t="shared" si="65"/>
        <v>20.937678475529061</v>
      </c>
      <c r="D73" s="3">
        <f t="shared" si="66"/>
        <v>20.937678475529061</v>
      </c>
      <c r="E73" s="203">
        <f t="shared" si="67"/>
        <v>1.3576867234863179E-2</v>
      </c>
      <c r="G73" s="533"/>
      <c r="H73" t="s">
        <v>105</v>
      </c>
      <c r="J73">
        <v>306250</v>
      </c>
      <c r="K73">
        <v>57.569999999999993</v>
      </c>
      <c r="L73">
        <f t="shared" si="69"/>
        <v>5319.6109084592672</v>
      </c>
      <c r="M73" s="218"/>
      <c r="N73" s="219">
        <v>57.569999999999993</v>
      </c>
      <c r="O73">
        <f>'Table Format Calculations'!O73</f>
        <v>0</v>
      </c>
      <c r="P73" s="3">
        <f>Calculator!AG51</f>
        <v>57.569999999999993</v>
      </c>
      <c r="Q73">
        <f t="shared" ref="Q73" si="76">P73*L73</f>
        <v>306250</v>
      </c>
      <c r="R73" s="220">
        <v>40624</v>
      </c>
      <c r="S73" s="220">
        <v>40624</v>
      </c>
      <c r="T73" s="220">
        <f t="shared" si="75"/>
        <v>0</v>
      </c>
    </row>
    <row r="74" spans="3:31" x14ac:dyDescent="0.25">
      <c r="C74" s="3">
        <f t="shared" si="65"/>
        <v>0.52576022813595058</v>
      </c>
      <c r="D74" s="3">
        <f t="shared" si="66"/>
        <v>0.71385640660330241</v>
      </c>
      <c r="J74" s="194">
        <f>SUM(J68:J73,J75)</f>
        <v>95417500</v>
      </c>
      <c r="K74" s="194">
        <f>SUM(K68:K73,K75)</f>
        <v>6597.5000000000236</v>
      </c>
      <c r="L74">
        <f t="shared" si="69"/>
        <v>14462.675255778653</v>
      </c>
      <c r="N74" s="3">
        <f t="shared" ref="N74:S74" si="77">SUM(N68:N73,N75)</f>
        <v>5952.9699999999993</v>
      </c>
      <c r="O74">
        <f t="shared" si="77"/>
        <v>561.92999999999984</v>
      </c>
      <c r="P74" s="3">
        <f t="shared" si="77"/>
        <v>6514.9</v>
      </c>
      <c r="Q74" s="3">
        <f t="shared" si="77"/>
        <v>91515301.026785716</v>
      </c>
      <c r="R74" s="3">
        <f t="shared" si="77"/>
        <v>413887.80840201402</v>
      </c>
      <c r="S74" s="220">
        <f t="shared" si="77"/>
        <v>317829.22108278691</v>
      </c>
      <c r="T74" s="220">
        <f t="shared" ref="T74:T75" si="78">R74-S74</f>
        <v>96058.58731922711</v>
      </c>
    </row>
    <row r="75" spans="3:31" x14ac:dyDescent="0.25">
      <c r="C75" s="3">
        <f>SUM(S68:S73)*$H$14/SUM(J68:J73)</f>
        <v>1.6933208042834071</v>
      </c>
      <c r="D75" s="210">
        <f>SUM(R68:R73)*$AD$13/SUM(Q68:Q73)</f>
        <v>2.108559818851889</v>
      </c>
      <c r="H75" t="s">
        <v>346</v>
      </c>
      <c r="I75" s="437">
        <v>16.327742524168617</v>
      </c>
      <c r="J75" s="194">
        <f>P36</f>
        <v>72860750</v>
      </c>
      <c r="K75" s="4">
        <f>J75/L75</f>
        <v>4644.9300000000239</v>
      </c>
      <c r="L75" s="210">
        <f>Q36</f>
        <v>15686.081383357689</v>
      </c>
      <c r="N75" s="219">
        <f>SUM(N54:N59)</f>
        <v>4189.8999999999996</v>
      </c>
      <c r="O75">
        <f>SUM(O54:O58)</f>
        <v>0</v>
      </c>
      <c r="P75" s="3">
        <f>SUM(P54:P59)</f>
        <v>4189.8999999999996</v>
      </c>
      <c r="Q75" s="4">
        <f>Q64</f>
        <v>65653775</v>
      </c>
      <c r="R75" s="220">
        <f t="shared" ref="R75" si="79">P75*I75</f>
        <v>68411.608402014084</v>
      </c>
      <c r="S75" s="220">
        <f t="shared" ref="S75" si="80">K75*I75</f>
        <v>75841.221082786928</v>
      </c>
      <c r="T75" s="220">
        <f t="shared" si="78"/>
        <v>-7429.6126807728433</v>
      </c>
    </row>
    <row r="76" spans="3:31" x14ac:dyDescent="0.25">
      <c r="N76" s="222" t="s">
        <v>169</v>
      </c>
      <c r="O76" s="222" t="s">
        <v>170</v>
      </c>
    </row>
    <row r="77" spans="3:31" x14ac:dyDescent="0.25">
      <c r="N77" s="11">
        <f>SUM(M30,M29)-N74</f>
        <v>1622.0300000000007</v>
      </c>
      <c r="O77" s="19">
        <f>SUM(O68:O73,O75)</f>
        <v>561.92999999999984</v>
      </c>
      <c r="S77" s="220"/>
    </row>
    <row r="78" spans="3:31" x14ac:dyDescent="0.25">
      <c r="I78" t="s">
        <v>30</v>
      </c>
      <c r="J78" s="4">
        <f>SUM(J68:J73)</f>
        <v>22556750</v>
      </c>
      <c r="K78" s="4">
        <f>SUM(K68:K73)</f>
        <v>1952.57</v>
      </c>
      <c r="P78" s="4">
        <f>SUM(P68:P73)</f>
        <v>2325.0000000000005</v>
      </c>
      <c r="Q78" s="4">
        <f>SUM(Q68:Q73)</f>
        <v>25861526.026785713</v>
      </c>
    </row>
    <row r="79" spans="3:31" x14ac:dyDescent="0.25">
      <c r="I79" t="s">
        <v>388</v>
      </c>
      <c r="J79" s="4">
        <f>J75</f>
        <v>72860750</v>
      </c>
      <c r="K79" s="4">
        <f>K75</f>
        <v>4644.9300000000239</v>
      </c>
      <c r="P79" s="4">
        <f>P75</f>
        <v>4189.8999999999996</v>
      </c>
      <c r="Q79" s="4">
        <f>Q75</f>
        <v>65653775</v>
      </c>
    </row>
    <row r="81" spans="3:31" x14ac:dyDescent="0.25">
      <c r="AA81" t="s">
        <v>172</v>
      </c>
      <c r="AB81" t="s">
        <v>173</v>
      </c>
    </row>
    <row r="82" spans="3:31" x14ac:dyDescent="0.25">
      <c r="C82" t="s">
        <v>309</v>
      </c>
      <c r="D82" t="s">
        <v>310</v>
      </c>
      <c r="F82" t="s">
        <v>73</v>
      </c>
      <c r="G82" s="533" t="s">
        <v>38</v>
      </c>
      <c r="H82" s="211" t="s">
        <v>158</v>
      </c>
      <c r="I82" s="211" t="s">
        <v>159</v>
      </c>
      <c r="J82" s="211" t="s">
        <v>95</v>
      </c>
      <c r="K82" s="211" t="s">
        <v>96</v>
      </c>
      <c r="L82" s="212" t="s">
        <v>160</v>
      </c>
      <c r="M82" s="212" t="s">
        <v>161</v>
      </c>
      <c r="N82" s="213" t="s">
        <v>162</v>
      </c>
      <c r="O82" s="214" t="s">
        <v>163</v>
      </c>
      <c r="P82" s="215" t="s">
        <v>164</v>
      </c>
      <c r="Q82" s="215" t="s">
        <v>165</v>
      </c>
      <c r="R82" s="216" t="s">
        <v>166</v>
      </c>
      <c r="S82" s="217" t="s">
        <v>167</v>
      </c>
      <c r="T82" s="217" t="s">
        <v>168</v>
      </c>
      <c r="U82" s="217" t="s">
        <v>342</v>
      </c>
      <c r="AA82" s="220">
        <f>SUM(S83:S87)</f>
        <v>30896</v>
      </c>
      <c r="AB82" s="220">
        <f>SUM(R83:R87)</f>
        <v>60917.66</v>
      </c>
      <c r="AD82" t="s">
        <v>230</v>
      </c>
      <c r="AE82" t="s">
        <v>231</v>
      </c>
    </row>
    <row r="83" spans="3:31" x14ac:dyDescent="0.25">
      <c r="C83" s="3">
        <f>S83*$H$15/J83</f>
        <v>0.1251707953187057</v>
      </c>
      <c r="D83" s="3">
        <f>R83*$AD$14/Q83</f>
        <v>0.1251707953187057</v>
      </c>
      <c r="E83" s="203">
        <f>J83/SUM($J$83:$J$88)</f>
        <v>0.51689987620512434</v>
      </c>
      <c r="F83" s="309">
        <f>I83/L83</f>
        <v>7.8902677988242976E-4</v>
      </c>
      <c r="G83" s="533"/>
      <c r="H83" t="s">
        <v>97</v>
      </c>
      <c r="I83">
        <v>15</v>
      </c>
      <c r="J83">
        <v>8611875</v>
      </c>
      <c r="K83">
        <v>453</v>
      </c>
      <c r="L83">
        <f>J83/K83</f>
        <v>19010.761589403974</v>
      </c>
      <c r="M83" s="218">
        <f>K83/SUM($K$83:$K$87)</f>
        <v>0.36444086886564764</v>
      </c>
      <c r="N83" s="219">
        <f>0.9*K83</f>
        <v>407.7</v>
      </c>
      <c r="O83">
        <f>'Table Format Calculations'!O83</f>
        <v>0</v>
      </c>
      <c r="P83" s="3">
        <f>Calculator!AG70</f>
        <v>407.7</v>
      </c>
      <c r="Q83">
        <f>P83*U83</f>
        <v>7750687.5</v>
      </c>
      <c r="R83" s="220">
        <f>P83*I83</f>
        <v>6115.5</v>
      </c>
      <c r="S83" s="220">
        <f>K83*I83</f>
        <v>6795</v>
      </c>
      <c r="T83" s="220">
        <f>R83-S83</f>
        <v>-679.5</v>
      </c>
      <c r="U83">
        <f>Calculator!G29</f>
        <v>19010.761589403974</v>
      </c>
      <c r="AA83" s="203">
        <f>S83/$AA$82</f>
        <v>0.21993138270326257</v>
      </c>
      <c r="AB83" s="203">
        <f>R83/$AB$82</f>
        <v>0.10038960787397283</v>
      </c>
      <c r="AD83" s="210">
        <f>J83/S83</f>
        <v>1267.3841059602648</v>
      </c>
      <c r="AE83" s="210">
        <f>Q83/R83</f>
        <v>1267.3841059602648</v>
      </c>
    </row>
    <row r="84" spans="3:31" x14ac:dyDescent="0.25">
      <c r="C84" s="3">
        <f t="shared" ref="C84:C89" si="81">S84*$H$15/J84</f>
        <v>0.27970937918621847</v>
      </c>
      <c r="D84" s="3">
        <f t="shared" ref="D84:D89" si="82">R84*$AD$14/Q84</f>
        <v>0.27970937918621847</v>
      </c>
      <c r="E84" s="203">
        <f t="shared" ref="E84:E87" si="83">J84/SUM($J$83:$J$88)</f>
        <v>0.1708219229470683</v>
      </c>
      <c r="F84" s="309">
        <f t="shared" ref="F84:F87" si="84">I84/L84</f>
        <v>1.76317638791286E-3</v>
      </c>
      <c r="G84" s="533"/>
      <c r="H84" t="s">
        <v>171</v>
      </c>
      <c r="I84">
        <v>26</v>
      </c>
      <c r="J84">
        <v>2846000</v>
      </c>
      <c r="K84">
        <v>193</v>
      </c>
      <c r="L84">
        <f t="shared" ref="L84:L88" si="85">J84/K84</f>
        <v>14746.113989637306</v>
      </c>
      <c r="M84" s="218">
        <f t="shared" ref="M84:M87" si="86">K84/SUM($K$83:$K$87)</f>
        <v>0.15526950925181013</v>
      </c>
      <c r="N84" s="219">
        <f t="shared" ref="N84:N87" si="87">0.9*K84</f>
        <v>173.70000000000002</v>
      </c>
      <c r="O84">
        <f>'Table Format Calculations'!O84</f>
        <v>0</v>
      </c>
      <c r="P84" s="3">
        <f>Calculator!AG71</f>
        <v>173.70000000000002</v>
      </c>
      <c r="Q84">
        <f t="shared" ref="Q84:Q87" si="88">P84*U84</f>
        <v>2561400.0000000005</v>
      </c>
      <c r="R84" s="220">
        <f t="shared" ref="R84:R87" si="89">P84*I84</f>
        <v>4516.2000000000007</v>
      </c>
      <c r="S84" s="220">
        <f t="shared" ref="S84:S87" si="90">K84*I84</f>
        <v>5018</v>
      </c>
      <c r="T84" s="220">
        <f t="shared" ref="T84:T87" si="91">R84-S84</f>
        <v>-501.79999999999927</v>
      </c>
      <c r="U84">
        <f>Calculator!G30</f>
        <v>14746.113989637306</v>
      </c>
      <c r="AA84" s="203">
        <f>S84/$AA$82</f>
        <v>0.16241584671154843</v>
      </c>
      <c r="AB84" s="203">
        <f>R84/$AB$82</f>
        <v>7.4136137205532859E-2</v>
      </c>
      <c r="AD84" s="210">
        <f>J84/S84</f>
        <v>567.15823037066559</v>
      </c>
      <c r="AE84" s="210">
        <f>Q84/R84</f>
        <v>567.15823037066559</v>
      </c>
    </row>
    <row r="85" spans="3:31" x14ac:dyDescent="0.25">
      <c r="C85" s="3">
        <f t="shared" si="81"/>
        <v>0.64992610535694928</v>
      </c>
      <c r="D85" s="3">
        <f t="shared" si="82"/>
        <v>0.64992610535694917</v>
      </c>
      <c r="E85" s="203">
        <f t="shared" si="83"/>
        <v>0.11524177514348952</v>
      </c>
      <c r="F85" s="309">
        <f t="shared" si="84"/>
        <v>4.0968749999999998E-3</v>
      </c>
      <c r="G85" s="533"/>
      <c r="H85" t="s">
        <v>100</v>
      </c>
      <c r="I85">
        <v>46</v>
      </c>
      <c r="J85">
        <v>1920000</v>
      </c>
      <c r="K85">
        <v>171</v>
      </c>
      <c r="L85">
        <f t="shared" si="85"/>
        <v>11228.070175438597</v>
      </c>
      <c r="M85" s="218">
        <f t="shared" si="86"/>
        <v>0.13757039420756234</v>
      </c>
      <c r="N85" s="219">
        <f t="shared" si="87"/>
        <v>153.9</v>
      </c>
      <c r="O85">
        <f>'Table Format Calculations'!O85</f>
        <v>0</v>
      </c>
      <c r="P85" s="3">
        <f>Calculator!AG73</f>
        <v>153.9</v>
      </c>
      <c r="Q85">
        <f t="shared" si="88"/>
        <v>1728000.0000000002</v>
      </c>
      <c r="R85" s="220">
        <f t="shared" si="89"/>
        <v>7079.4000000000005</v>
      </c>
      <c r="S85" s="220">
        <f t="shared" si="90"/>
        <v>7866</v>
      </c>
      <c r="T85" s="220">
        <f t="shared" si="91"/>
        <v>-786.59999999999945</v>
      </c>
      <c r="U85">
        <f>Calculator!G31</f>
        <v>11228.070175438597</v>
      </c>
      <c r="AA85" s="203">
        <f>S85/$AA$82</f>
        <v>0.2545960642154324</v>
      </c>
      <c r="AB85" s="203">
        <f>R85/$AB$82</f>
        <v>0.11621260567132749</v>
      </c>
      <c r="AD85" s="210">
        <f>J85/S85</f>
        <v>244.08848207475211</v>
      </c>
      <c r="AE85" s="210">
        <f>Q85/R85</f>
        <v>244.08848207475211</v>
      </c>
    </row>
    <row r="86" spans="3:31" x14ac:dyDescent="0.25">
      <c r="C86" s="3">
        <f t="shared" si="81"/>
        <v>0.47769364241231549</v>
      </c>
      <c r="D86" s="3">
        <f t="shared" si="82"/>
        <v>0.47769364241231554</v>
      </c>
      <c r="E86" s="203">
        <f t="shared" si="83"/>
        <v>0.13275312300709008</v>
      </c>
      <c r="F86" s="309">
        <f t="shared" si="84"/>
        <v>3.0111902339776198E-3</v>
      </c>
      <c r="G86" s="533"/>
      <c r="H86" t="s">
        <v>114</v>
      </c>
      <c r="I86">
        <v>20</v>
      </c>
      <c r="J86">
        <v>2211750</v>
      </c>
      <c r="K86">
        <v>333</v>
      </c>
      <c r="L86">
        <f t="shared" si="85"/>
        <v>6641.8918918918916</v>
      </c>
      <c r="M86" s="218">
        <f t="shared" si="86"/>
        <v>0.26790024135156876</v>
      </c>
      <c r="N86" s="219">
        <f t="shared" si="87"/>
        <v>299.7</v>
      </c>
      <c r="O86">
        <f>'Table Format Calculations'!O86</f>
        <v>0</v>
      </c>
      <c r="P86" s="3">
        <f>Calculator!AG72</f>
        <v>299.7</v>
      </c>
      <c r="Q86">
        <f t="shared" si="88"/>
        <v>1990574.9999999998</v>
      </c>
      <c r="R86" s="220">
        <f t="shared" si="89"/>
        <v>5994</v>
      </c>
      <c r="S86" s="220">
        <f t="shared" si="90"/>
        <v>6660</v>
      </c>
      <c r="T86" s="220">
        <f t="shared" si="91"/>
        <v>-666</v>
      </c>
      <c r="U86">
        <f>Calculator!G32</f>
        <v>6641.8918918918916</v>
      </c>
      <c r="AA86" s="203">
        <f>S86/$AA$82</f>
        <v>0.2155618850336613</v>
      </c>
      <c r="AB86" s="203">
        <f>R86/$AB$82</f>
        <v>9.839511235329787E-2</v>
      </c>
      <c r="AD86" s="210">
        <f>J86/S86</f>
        <v>332.09459459459458</v>
      </c>
      <c r="AE86" s="210">
        <f>Q86/R86</f>
        <v>332.09459459459458</v>
      </c>
    </row>
    <row r="87" spans="3:31" x14ac:dyDescent="0.25">
      <c r="C87" s="3">
        <f t="shared" si="81"/>
        <v>0.69611949397158124</v>
      </c>
      <c r="D87" s="3">
        <f t="shared" si="82"/>
        <v>0.69611949397158124</v>
      </c>
      <c r="E87" s="203">
        <f t="shared" si="83"/>
        <v>6.2332595565892636E-2</v>
      </c>
      <c r="F87" s="309">
        <f t="shared" si="84"/>
        <v>4.3880597014925374E-3</v>
      </c>
      <c r="G87" s="533"/>
      <c r="H87" t="s">
        <v>118</v>
      </c>
      <c r="I87">
        <v>49</v>
      </c>
      <c r="J87">
        <v>1038500</v>
      </c>
      <c r="K87">
        <v>93</v>
      </c>
      <c r="L87">
        <f t="shared" si="85"/>
        <v>11166.666666666666</v>
      </c>
      <c r="M87" s="218">
        <f t="shared" si="86"/>
        <v>7.4818986323411107E-2</v>
      </c>
      <c r="N87" s="219">
        <f t="shared" si="87"/>
        <v>83.7</v>
      </c>
      <c r="O87">
        <f>'Table Format Calculations'!O87</f>
        <v>675.74</v>
      </c>
      <c r="P87" s="3">
        <f>Calculator!AG74</f>
        <v>759.44</v>
      </c>
      <c r="Q87">
        <f t="shared" si="88"/>
        <v>8480413.333333334</v>
      </c>
      <c r="R87" s="220">
        <f t="shared" si="89"/>
        <v>37212.560000000005</v>
      </c>
      <c r="S87" s="220">
        <f t="shared" si="90"/>
        <v>4557</v>
      </c>
      <c r="T87" s="220">
        <f t="shared" si="91"/>
        <v>32655.560000000005</v>
      </c>
      <c r="U87">
        <f>Calculator!G33</f>
        <v>11166.666666666666</v>
      </c>
      <c r="AA87" s="203">
        <f>S87/$AA$82</f>
        <v>0.14749482133609529</v>
      </c>
      <c r="AB87" s="203">
        <f>R87/$AB$82</f>
        <v>0.61086653689586901</v>
      </c>
      <c r="AD87" s="210">
        <f>J87/S87</f>
        <v>227.89115646258503</v>
      </c>
      <c r="AE87" s="210">
        <f>Q87/R87</f>
        <v>227.89115646258503</v>
      </c>
    </row>
    <row r="88" spans="3:31" x14ac:dyDescent="0.25">
      <c r="C88" s="3">
        <f t="shared" si="81"/>
        <v>1.5912759798354033</v>
      </c>
      <c r="D88" s="3">
        <f t="shared" si="82"/>
        <v>1.5912759798354035</v>
      </c>
      <c r="G88" s="533"/>
      <c r="H88" t="s">
        <v>105</v>
      </c>
      <c r="J88">
        <v>32500</v>
      </c>
      <c r="K88">
        <v>5.56</v>
      </c>
      <c r="L88">
        <f t="shared" si="85"/>
        <v>5845.3237410071943</v>
      </c>
      <c r="M88" s="218"/>
      <c r="N88" s="219">
        <v>5.56</v>
      </c>
      <c r="O88">
        <v>0</v>
      </c>
      <c r="P88" s="3">
        <f>Calculator!AG75</f>
        <v>5.56</v>
      </c>
      <c r="Q88">
        <f t="shared" ref="Q88" si="92">P88*L88</f>
        <v>32499.999999999996</v>
      </c>
      <c r="R88" s="220">
        <v>326</v>
      </c>
      <c r="S88" s="220">
        <v>326</v>
      </c>
      <c r="T88" s="220"/>
    </row>
    <row r="89" spans="3:31" x14ac:dyDescent="0.25">
      <c r="C89" s="3">
        <f t="shared" si="81"/>
        <v>0.2972902718730045</v>
      </c>
      <c r="D89" s="3">
        <f t="shared" si="82"/>
        <v>0.43097254110147792</v>
      </c>
      <c r="J89">
        <f>SUM(J83:J88)</f>
        <v>16660625</v>
      </c>
      <c r="K89">
        <f>SUM(K83:K88)</f>
        <v>1248.56</v>
      </c>
      <c r="N89" s="3">
        <f>SUM(N83:N88)</f>
        <v>1124.26</v>
      </c>
      <c r="O89">
        <f>SUM(O83:O88)</f>
        <v>675.74</v>
      </c>
      <c r="P89" s="3">
        <f>SUM(P83:P88)</f>
        <v>1800</v>
      </c>
      <c r="Q89" s="3">
        <f t="shared" ref="Q89:R89" si="93">SUM(Q83:Q88)</f>
        <v>22543575.833333336</v>
      </c>
      <c r="R89" s="3">
        <f t="shared" si="93"/>
        <v>61243.66</v>
      </c>
      <c r="S89" s="220">
        <f>SUM(S83:S88)</f>
        <v>31222</v>
      </c>
      <c r="T89" s="220"/>
    </row>
    <row r="90" spans="3:31" x14ac:dyDescent="0.25">
      <c r="N90" s="3"/>
      <c r="P90" s="3"/>
      <c r="Q90" s="3"/>
      <c r="R90" s="221"/>
    </row>
    <row r="91" spans="3:31" x14ac:dyDescent="0.25">
      <c r="H91" t="s">
        <v>97</v>
      </c>
      <c r="I91">
        <f>SUM(J83,J68,J54)</f>
        <v>55090125</v>
      </c>
      <c r="J91">
        <f>I91/SUM($I$91:$I$96)</f>
        <v>0.49153324968632373</v>
      </c>
      <c r="N91" s="222" t="s">
        <v>169</v>
      </c>
      <c r="O91" s="222" t="s">
        <v>170</v>
      </c>
    </row>
    <row r="92" spans="3:31" x14ac:dyDescent="0.25">
      <c r="H92" t="s">
        <v>171</v>
      </c>
      <c r="I92">
        <f t="shared" ref="I92:I96" si="94">SUM(J84,J69,J55)</f>
        <v>20717500</v>
      </c>
      <c r="N92" s="11">
        <f>M31-N89</f>
        <v>675.74</v>
      </c>
      <c r="O92" s="19">
        <f>SUM(O83:O88)</f>
        <v>675.74</v>
      </c>
      <c r="S92" s="220"/>
    </row>
    <row r="93" spans="3:31" x14ac:dyDescent="0.25">
      <c r="H93" t="s">
        <v>100</v>
      </c>
      <c r="I93">
        <f t="shared" si="94"/>
        <v>15018750</v>
      </c>
    </row>
    <row r="94" spans="3:31" x14ac:dyDescent="0.25">
      <c r="H94" t="s">
        <v>114</v>
      </c>
      <c r="I94">
        <f t="shared" si="94"/>
        <v>13455250</v>
      </c>
    </row>
    <row r="95" spans="3:31" x14ac:dyDescent="0.25">
      <c r="H95" t="s">
        <v>118</v>
      </c>
      <c r="I95">
        <f t="shared" si="94"/>
        <v>6666750</v>
      </c>
    </row>
    <row r="96" spans="3:31" x14ac:dyDescent="0.25">
      <c r="H96" t="s">
        <v>105</v>
      </c>
      <c r="I96">
        <f t="shared" si="94"/>
        <v>1129750</v>
      </c>
    </row>
    <row r="97" spans="2:28" ht="15.75" thickBot="1" x14ac:dyDescent="0.3">
      <c r="I97" s="36" t="s">
        <v>52</v>
      </c>
      <c r="J97" s="39" t="s">
        <v>175</v>
      </c>
      <c r="K97" s="39" t="s">
        <v>176</v>
      </c>
      <c r="L97" s="39" t="s">
        <v>177</v>
      </c>
    </row>
    <row r="98" spans="2:28" x14ac:dyDescent="0.25">
      <c r="I98" s="123" t="s">
        <v>12</v>
      </c>
      <c r="J98" s="16">
        <f>P60</f>
        <v>6514.9</v>
      </c>
      <c r="K98" s="16">
        <f t="shared" ref="K98:L98" si="95">Q60</f>
        <v>91515301.026785716</v>
      </c>
      <c r="L98" s="16">
        <f t="shared" si="95"/>
        <v>6824538.5300460868</v>
      </c>
    </row>
    <row r="99" spans="2:28" x14ac:dyDescent="0.25">
      <c r="I99" s="124" t="s">
        <v>30</v>
      </c>
      <c r="J99" s="16">
        <f>P74</f>
        <v>6514.9</v>
      </c>
      <c r="K99" s="16">
        <f t="shared" ref="K99:L99" si="96">Q74</f>
        <v>91515301.026785716</v>
      </c>
      <c r="L99" s="16">
        <f t="shared" si="96"/>
        <v>413887.80840201402</v>
      </c>
    </row>
    <row r="100" spans="2:28" x14ac:dyDescent="0.25">
      <c r="I100" s="124" t="s">
        <v>38</v>
      </c>
      <c r="J100" s="16">
        <f>P89</f>
        <v>1800</v>
      </c>
      <c r="K100" s="16">
        <f t="shared" ref="K100:L100" si="97">Q89</f>
        <v>22543575.833333336</v>
      </c>
      <c r="L100" s="16">
        <f t="shared" si="97"/>
        <v>61243.66</v>
      </c>
    </row>
    <row r="101" spans="2:28" x14ac:dyDescent="0.25">
      <c r="I101" s="39"/>
      <c r="J101" s="19"/>
      <c r="K101" s="19"/>
      <c r="L101" s="19"/>
    </row>
    <row r="103" spans="2:28" x14ac:dyDescent="0.25">
      <c r="P103" t="s">
        <v>228</v>
      </c>
      <c r="Q103" s="267">
        <f>Simulator2!E35</f>
        <v>0.3</v>
      </c>
    </row>
    <row r="104" spans="2:28" ht="15.75" thickBot="1" x14ac:dyDescent="0.3">
      <c r="P104" s="272" t="s">
        <v>229</v>
      </c>
      <c r="Q104" s="283">
        <f>(1+Q103)*L111</f>
        <v>49296838.136</v>
      </c>
      <c r="U104" s="194"/>
    </row>
    <row r="105" spans="2:28" x14ac:dyDescent="0.25">
      <c r="B105" t="s">
        <v>227</v>
      </c>
      <c r="E105" s="530" t="s">
        <v>254</v>
      </c>
      <c r="F105" t="s">
        <v>73</v>
      </c>
      <c r="G105" s="533" t="s">
        <v>12</v>
      </c>
      <c r="H105" s="211" t="s">
        <v>203</v>
      </c>
      <c r="I105" s="211" t="s">
        <v>178</v>
      </c>
      <c r="J105" s="211" t="s">
        <v>159</v>
      </c>
      <c r="K105" s="211" t="s">
        <v>206</v>
      </c>
      <c r="L105" s="234" t="s">
        <v>209</v>
      </c>
      <c r="M105" s="214" t="s">
        <v>207</v>
      </c>
      <c r="N105" s="234" t="s">
        <v>208</v>
      </c>
      <c r="O105" s="234" t="s">
        <v>197</v>
      </c>
      <c r="P105" s="234" t="s">
        <v>198</v>
      </c>
      <c r="Q105" s="222" t="s">
        <v>210</v>
      </c>
      <c r="R105" s="234" t="s">
        <v>302</v>
      </c>
      <c r="S105" s="234" t="s">
        <v>256</v>
      </c>
      <c r="U105" s="428" t="s">
        <v>309</v>
      </c>
      <c r="V105" s="428" t="s">
        <v>310</v>
      </c>
      <c r="X105" s="211" t="s">
        <v>203</v>
      </c>
      <c r="Y105" s="275" t="s">
        <v>370</v>
      </c>
      <c r="AA105" s="211" t="s">
        <v>203</v>
      </c>
      <c r="AB105" s="275" t="s">
        <v>368</v>
      </c>
    </row>
    <row r="106" spans="2:28" x14ac:dyDescent="0.25">
      <c r="B106" s="3">
        <f>Simulator2!E37</f>
        <v>2.5319217683916206E-2</v>
      </c>
      <c r="E106" s="531"/>
      <c r="F106" s="210">
        <f>J106/N106</f>
        <v>1.9002735009904476E-2</v>
      </c>
      <c r="G106" s="533"/>
      <c r="H106" s="19" t="s">
        <v>110</v>
      </c>
      <c r="I106" s="11">
        <v>2.940991730265206</v>
      </c>
      <c r="J106" s="403">
        <v>4.81134384305547E-4</v>
      </c>
      <c r="K106" s="16">
        <v>687567610</v>
      </c>
      <c r="L106" s="16">
        <v>17408673.990000002</v>
      </c>
      <c r="M106" s="209">
        <f>O106/N106</f>
        <v>885756940.75198293</v>
      </c>
      <c r="N106" s="3">
        <f>Calculator!E37</f>
        <v>2.5319217683916206E-2</v>
      </c>
      <c r="O106" s="210">
        <f>Calculator!AG26</f>
        <v>22426672.797939125</v>
      </c>
      <c r="P106" s="194">
        <f>O106-L106</f>
        <v>5017998.8079391234</v>
      </c>
      <c r="Q106" s="4">
        <f>IFERROR((M106-K106)*J106,0)</f>
        <v>95355.701627283721</v>
      </c>
      <c r="R106" s="210">
        <f>K106*J106</f>
        <v>330812.41870578646</v>
      </c>
      <c r="S106" s="210">
        <f>M106*J106</f>
        <v>426168.12033307017</v>
      </c>
      <c r="U106" s="210">
        <f>R106*$H$13/L106</f>
        <v>2.8446461931061</v>
      </c>
      <c r="V106" s="210">
        <f>S106*$AD$12/O106</f>
        <v>2.8446461931061</v>
      </c>
      <c r="X106" s="19" t="s">
        <v>110</v>
      </c>
      <c r="Y106">
        <f>R106/K106</f>
        <v>4.81134384305547E-4</v>
      </c>
      <c r="AA106" s="19" t="s">
        <v>110</v>
      </c>
      <c r="AB106">
        <f>Y106/Y119</f>
        <v>1.032158047920261</v>
      </c>
    </row>
    <row r="107" spans="2:28" x14ac:dyDescent="0.25">
      <c r="B107" s="3">
        <f>Simulator2!E39</f>
        <v>9.8614418321418498E-2</v>
      </c>
      <c r="E107" s="531"/>
      <c r="F107" s="210">
        <f t="shared" ref="F107:F109" si="98">J107/N107</f>
        <v>2.3849550449026764E-2</v>
      </c>
      <c r="G107" s="533"/>
      <c r="H107" s="19" t="s">
        <v>204</v>
      </c>
      <c r="I107" s="11">
        <v>3.5672391304371103</v>
      </c>
      <c r="J107" s="403">
        <v>2.3519095447580999E-3</v>
      </c>
      <c r="K107" s="16">
        <v>68508058</v>
      </c>
      <c r="L107" s="16">
        <v>6755882.290000001</v>
      </c>
      <c r="M107" s="209">
        <f t="shared" ref="M107:M109" si="99">O107/N107</f>
        <v>68508058.000225902</v>
      </c>
      <c r="N107" s="3">
        <f>Calculator!E39</f>
        <v>9.8614418321418498E-2</v>
      </c>
      <c r="O107" s="210">
        <f>Calculator!AG27</f>
        <v>6755882.2900222782</v>
      </c>
      <c r="P107" s="194">
        <f t="shared" ref="P107:P109" si="100">O107-L107</f>
        <v>2.2277235984802246E-5</v>
      </c>
      <c r="Q107" s="4">
        <f t="shared" ref="Q107:Q109" si="101">IFERROR((M107-K107)*J107,0)</f>
        <v>5.3130013791520583E-7</v>
      </c>
      <c r="R107" s="210">
        <f t="shared" ref="R107:R109" si="102">K107*J107</f>
        <v>161124.7555030415</v>
      </c>
      <c r="S107" s="210">
        <f t="shared" ref="S107:S109" si="103">M107*J107</f>
        <v>161124.75550357281</v>
      </c>
      <c r="U107" s="210">
        <f t="shared" ref="U107:U109" si="104">R107*$H$13/L107</f>
        <v>3.5701983349636213</v>
      </c>
      <c r="V107" s="210">
        <f t="shared" ref="V107:V110" si="105">S107*$AD$12/O107</f>
        <v>3.5701983349636222</v>
      </c>
      <c r="X107" s="19" t="s">
        <v>204</v>
      </c>
      <c r="Y107">
        <f t="shared" ref="Y107:Y109" si="106">R107/K107</f>
        <v>2.3519095447580999E-3</v>
      </c>
      <c r="AA107" s="19" t="s">
        <v>204</v>
      </c>
      <c r="AB107">
        <f>Y107/Y120</f>
        <v>12.207660418606498</v>
      </c>
    </row>
    <row r="108" spans="2:28" x14ac:dyDescent="0.25">
      <c r="B108" s="3">
        <f>Simulator2!E40</f>
        <v>4.3182938651888207E-2</v>
      </c>
      <c r="E108" s="531"/>
      <c r="F108" s="210">
        <f t="shared" si="98"/>
        <v>0.11326755890231263</v>
      </c>
      <c r="G108" s="533"/>
      <c r="H108" s="19" t="s">
        <v>205</v>
      </c>
      <c r="I108" s="310">
        <v>17.661766907254883</v>
      </c>
      <c r="J108" s="403">
        <v>4.8912260473277002E-3</v>
      </c>
      <c r="K108" s="16">
        <v>44278494</v>
      </c>
      <c r="L108" s="16">
        <v>1912075.4900000002</v>
      </c>
      <c r="M108" s="209">
        <f t="shared" si="99"/>
        <v>44278494</v>
      </c>
      <c r="N108" s="3">
        <f>Calculator!E40</f>
        <v>4.3182938651888207E-2</v>
      </c>
      <c r="O108" s="210">
        <f>Calculator!AG28</f>
        <v>1912075.49</v>
      </c>
      <c r="P108" s="194">
        <f t="shared" si="100"/>
        <v>0</v>
      </c>
      <c r="Q108" s="278">
        <f t="shared" si="101"/>
        <v>0</v>
      </c>
      <c r="R108" s="210">
        <f t="shared" si="102"/>
        <v>216576.12318924328</v>
      </c>
      <c r="S108" s="210">
        <f t="shared" si="103"/>
        <v>216576.12318924328</v>
      </c>
      <c r="U108" s="210">
        <f t="shared" si="104"/>
        <v>16.955776632466144</v>
      </c>
      <c r="V108" s="210">
        <f t="shared" si="105"/>
        <v>16.955776632466144</v>
      </c>
      <c r="X108" s="19" t="s">
        <v>205</v>
      </c>
      <c r="Y108">
        <f t="shared" si="106"/>
        <v>4.8912260473277002E-3</v>
      </c>
      <c r="AA108" s="19" t="s">
        <v>205</v>
      </c>
      <c r="AB108">
        <v>1</v>
      </c>
    </row>
    <row r="109" spans="2:28" x14ac:dyDescent="0.25">
      <c r="B109" s="3">
        <f>Simulator2!E38</f>
        <v>2.5019347143833089E-2</v>
      </c>
      <c r="E109" s="531"/>
      <c r="F109" s="210">
        <f t="shared" si="98"/>
        <v>2.9156059709589177E-2</v>
      </c>
      <c r="G109" s="533"/>
      <c r="H109" s="19" t="s">
        <v>106</v>
      </c>
      <c r="I109" s="11">
        <v>4.499386005183335</v>
      </c>
      <c r="J109" s="403">
        <v>7.2946557922053698E-4</v>
      </c>
      <c r="K109" s="16">
        <v>473394165</v>
      </c>
      <c r="L109" s="16">
        <v>11844012.949999999</v>
      </c>
      <c r="M109" s="209">
        <f t="shared" si="99"/>
        <v>518002536.52626473</v>
      </c>
      <c r="N109" s="3">
        <f>Calculator!E38</f>
        <v>2.5019347143833089E-2</v>
      </c>
      <c r="O109" s="210">
        <f>Calculator!AG29</f>
        <v>12960085.282736696</v>
      </c>
      <c r="P109" s="194">
        <f t="shared" si="100"/>
        <v>1116072.332736697</v>
      </c>
      <c r="Q109" s="4">
        <f t="shared" si="101"/>
        <v>32540.271573491609</v>
      </c>
      <c r="R109" s="210">
        <f t="shared" si="102"/>
        <v>345324.74877134745</v>
      </c>
      <c r="S109" s="210">
        <f t="shared" si="103"/>
        <v>377865.02034483908</v>
      </c>
      <c r="U109" s="210">
        <f t="shared" si="104"/>
        <v>4.3645651121077194</v>
      </c>
      <c r="V109" s="210">
        <f t="shared" si="105"/>
        <v>4.3645651121077194</v>
      </c>
      <c r="X109" s="19" t="s">
        <v>106</v>
      </c>
      <c r="Y109">
        <f t="shared" si="106"/>
        <v>7.2946557922053698E-4</v>
      </c>
      <c r="AA109" s="19" t="s">
        <v>106</v>
      </c>
      <c r="AB109">
        <f>Y109/Y121</f>
        <v>1.9438404244101837</v>
      </c>
    </row>
    <row r="110" spans="2:28" x14ac:dyDescent="0.25">
      <c r="E110" s="531"/>
      <c r="O110" s="276">
        <f>SUM(O106:O109)</f>
        <v>44054715.860698104</v>
      </c>
      <c r="P110" s="237">
        <f t="shared" ref="P110:Q110" si="107">SUM(P106:P109)</f>
        <v>6134071.1406980976</v>
      </c>
      <c r="Q110" s="276">
        <f t="shared" si="107"/>
        <v>127895.97320130664</v>
      </c>
      <c r="R110" s="210">
        <f>SUM(R106:R109)</f>
        <v>1053838.0461694188</v>
      </c>
      <c r="S110" s="210">
        <f>SUM(S106:S109)</f>
        <v>1181734.0193707254</v>
      </c>
      <c r="T110" t="s">
        <v>296</v>
      </c>
      <c r="U110" s="210">
        <f>R110*$H$13/L111</f>
        <v>4.1601626154372573</v>
      </c>
      <c r="V110" s="210">
        <f t="shared" si="105"/>
        <v>4.015498605164872</v>
      </c>
      <c r="AA110" s="19" t="s">
        <v>369</v>
      </c>
      <c r="AB110">
        <v>1</v>
      </c>
    </row>
    <row r="111" spans="2:28" x14ac:dyDescent="0.25">
      <c r="E111" s="531"/>
      <c r="K111" s="194">
        <f>SUM(K106:K109)</f>
        <v>1273748327</v>
      </c>
      <c r="L111" s="284">
        <f>SUM(L106:L109)</f>
        <v>37920644.719999999</v>
      </c>
      <c r="M111" s="194">
        <f>SUM(M106:M109)</f>
        <v>1516546029.2784736</v>
      </c>
      <c r="Q111" s="267"/>
    </row>
    <row r="112" spans="2:28" x14ac:dyDescent="0.25">
      <c r="E112" s="531"/>
      <c r="K112" s="194"/>
      <c r="L112" s="194"/>
      <c r="M112" s="194"/>
      <c r="O112" s="218">
        <f>O110/L111-1</f>
        <v>0.16176072917512641</v>
      </c>
      <c r="Q112" s="267"/>
    </row>
    <row r="113" spans="2:25" x14ac:dyDescent="0.25">
      <c r="E113" s="531"/>
      <c r="K113" s="194"/>
      <c r="L113" s="194"/>
      <c r="M113" s="194"/>
      <c r="Q113" s="267"/>
    </row>
    <row r="114" spans="2:25" x14ac:dyDescent="0.25">
      <c r="E114" s="531"/>
      <c r="K114" s="194"/>
      <c r="L114" s="194"/>
      <c r="M114" s="194"/>
      <c r="Q114" s="267"/>
      <c r="U114" s="194"/>
    </row>
    <row r="115" spans="2:25" x14ac:dyDescent="0.25">
      <c r="E115" s="531"/>
      <c r="K115" s="194"/>
      <c r="L115" s="194"/>
      <c r="M115" s="194"/>
      <c r="P115" t="s">
        <v>228</v>
      </c>
      <c r="Q115" s="267">
        <f>Simulator2!G35</f>
        <v>0.3</v>
      </c>
    </row>
    <row r="116" spans="2:25" x14ac:dyDescent="0.25">
      <c r="E116" s="531"/>
      <c r="P116" s="272" t="s">
        <v>229</v>
      </c>
      <c r="Q116" s="283">
        <f>(1+Q115)*L123</f>
        <v>6328958.4800000014</v>
      </c>
    </row>
    <row r="117" spans="2:25" x14ac:dyDescent="0.25">
      <c r="B117" t="s">
        <v>227</v>
      </c>
      <c r="E117" s="531"/>
      <c r="F117" t="s">
        <v>73</v>
      </c>
      <c r="G117" s="533" t="s">
        <v>30</v>
      </c>
      <c r="H117" s="211" t="s">
        <v>203</v>
      </c>
      <c r="I117" s="211" t="s">
        <v>178</v>
      </c>
      <c r="J117" s="211" t="s">
        <v>159</v>
      </c>
      <c r="K117" s="211" t="s">
        <v>206</v>
      </c>
      <c r="L117" s="234" t="s">
        <v>209</v>
      </c>
      <c r="M117" s="214" t="s">
        <v>207</v>
      </c>
      <c r="N117" s="234" t="s">
        <v>208</v>
      </c>
      <c r="O117" s="234" t="s">
        <v>197</v>
      </c>
      <c r="P117" s="234" t="s">
        <v>198</v>
      </c>
      <c r="Q117" s="222" t="s">
        <v>210</v>
      </c>
      <c r="R117" s="234" t="s">
        <v>302</v>
      </c>
      <c r="S117" s="234" t="s">
        <v>256</v>
      </c>
      <c r="U117" s="428" t="s">
        <v>309</v>
      </c>
      <c r="V117" s="428" t="s">
        <v>310</v>
      </c>
      <c r="X117" s="211" t="s">
        <v>203</v>
      </c>
      <c r="Y117" s="275" t="s">
        <v>371</v>
      </c>
    </row>
    <row r="118" spans="2:25" x14ac:dyDescent="0.25">
      <c r="B118" s="3">
        <f>Simulator2!G42</f>
        <v>0.21610399648286818</v>
      </c>
      <c r="E118" s="531"/>
      <c r="F118" s="309">
        <f>J118/N118</f>
        <v>6.9433079647786677E-3</v>
      </c>
      <c r="G118" s="533"/>
      <c r="H118" s="19" t="s">
        <v>211</v>
      </c>
      <c r="I118" s="11">
        <v>1.0916745999999999</v>
      </c>
      <c r="J118" s="404">
        <v>1.5004765999999999E-3</v>
      </c>
      <c r="K118" s="16">
        <v>3384576</v>
      </c>
      <c r="L118" s="16">
        <v>731420.4</v>
      </c>
      <c r="M118" s="194">
        <f>O118/N118</f>
        <v>3384576</v>
      </c>
      <c r="N118" s="3">
        <f>Calculator!G42</f>
        <v>0.21610399648286818</v>
      </c>
      <c r="O118" s="210">
        <f>Calculator!AG53</f>
        <v>731420.4</v>
      </c>
      <c r="P118" s="194">
        <f>O118-L118</f>
        <v>0</v>
      </c>
      <c r="Q118" s="4">
        <f>IFERROR((M118-K118)*J118,0)</f>
        <v>0</v>
      </c>
      <c r="R118" s="210">
        <f>K118*J118</f>
        <v>5078.4770889215997</v>
      </c>
      <c r="S118" s="210">
        <f>M118*J118</f>
        <v>5078.4770889215997</v>
      </c>
      <c r="U118" s="210">
        <f>R118*$H$14/L118</f>
        <v>1.0959440134576659</v>
      </c>
      <c r="V118" s="210">
        <f>S118*$AD$13/O118</f>
        <v>1.0959440134576659</v>
      </c>
      <c r="X118" s="19" t="s">
        <v>211</v>
      </c>
      <c r="Y118">
        <f>R118/K118</f>
        <v>1.5004765999999999E-3</v>
      </c>
    </row>
    <row r="119" spans="2:25" x14ac:dyDescent="0.25">
      <c r="B119" s="3">
        <f>Simulator2!G37</f>
        <v>1.6018600522454657E-2</v>
      </c>
      <c r="E119" s="531"/>
      <c r="F119" s="309">
        <f t="shared" ref="F119:F121" si="108">J119/N119</f>
        <v>2.910017634477903E-2</v>
      </c>
      <c r="G119" s="533"/>
      <c r="H119" s="19" t="s">
        <v>110</v>
      </c>
      <c r="I119" s="11">
        <v>4.5243149999999996</v>
      </c>
      <c r="J119" s="404">
        <v>4.6614410000000002E-4</v>
      </c>
      <c r="K119" s="16">
        <v>147802300</v>
      </c>
      <c r="L119" s="16">
        <v>2367586</v>
      </c>
      <c r="M119" s="194">
        <f t="shared" ref="M119:M121" si="109">O119/N119</f>
        <v>238979358.69203421</v>
      </c>
      <c r="N119" s="3">
        <f>Calculator!G37</f>
        <v>1.6018600522454657E-2</v>
      </c>
      <c r="O119" s="210">
        <f>Calculator!AG54</f>
        <v>3828114.8800000981</v>
      </c>
      <c r="P119" s="194">
        <f t="shared" ref="P119:P121" si="110">O119-L119</f>
        <v>1460528.8800000981</v>
      </c>
      <c r="Q119" s="4">
        <f t="shared" ref="Q119:Q121" si="111">IFERROR((M119-K119)*J119,0)</f>
        <v>42501.647964645468</v>
      </c>
      <c r="R119" s="210">
        <f t="shared" ref="R119:R121" si="112">K119*J119</f>
        <v>68897.170111430009</v>
      </c>
      <c r="S119" s="210">
        <f t="shared" ref="S119:S121" si="113">M119*J119</f>
        <v>111398.81807607548</v>
      </c>
      <c r="U119" s="210">
        <f t="shared" ref="U119:U121" si="114">R119*$H$14/L119</f>
        <v>4.5932233191156726</v>
      </c>
      <c r="V119" s="210">
        <f t="shared" ref="V119:V122" si="115">S119*$AD$13/O119</f>
        <v>4.5932233191156735</v>
      </c>
      <c r="X119" s="19" t="s">
        <v>110</v>
      </c>
      <c r="Y119">
        <f t="shared" ref="Y119:Y121" si="116">R119/K119</f>
        <v>4.6614410000000008E-4</v>
      </c>
    </row>
    <row r="120" spans="2:25" x14ac:dyDescent="0.25">
      <c r="B120" s="3">
        <f>Simulator2!G39</f>
        <v>0.17696028092771701</v>
      </c>
      <c r="E120" s="531"/>
      <c r="F120" s="309">
        <f t="shared" si="108"/>
        <v>1.0887104099857031E-3</v>
      </c>
      <c r="G120" s="533"/>
      <c r="H120" s="19" t="s">
        <v>212</v>
      </c>
      <c r="I120" s="11">
        <v>0.179089</v>
      </c>
      <c r="J120" s="404">
        <v>1.9265849999999999E-4</v>
      </c>
      <c r="K120" s="16">
        <v>5479559</v>
      </c>
      <c r="L120" s="16">
        <v>969664.3</v>
      </c>
      <c r="M120" s="194">
        <f t="shared" si="109"/>
        <v>5479559</v>
      </c>
      <c r="N120" s="3">
        <f>Calculator!G39</f>
        <v>0.17696028092771701</v>
      </c>
      <c r="O120" s="210">
        <f>Calculator!AG55</f>
        <v>969664.3</v>
      </c>
      <c r="P120" s="194">
        <f t="shared" si="110"/>
        <v>0</v>
      </c>
      <c r="Q120" s="4">
        <f t="shared" si="111"/>
        <v>0</v>
      </c>
      <c r="R120" s="210">
        <f t="shared" si="112"/>
        <v>1055.6836176014999</v>
      </c>
      <c r="S120" s="210">
        <f t="shared" si="113"/>
        <v>1055.6836176014999</v>
      </c>
      <c r="U120" s="210">
        <f t="shared" si="114"/>
        <v>0.17184397728941972</v>
      </c>
      <c r="V120" s="210">
        <f t="shared" si="115"/>
        <v>0.17184397728941972</v>
      </c>
      <c r="X120" s="19" t="s">
        <v>212</v>
      </c>
      <c r="Y120">
        <f t="shared" si="116"/>
        <v>1.9265849999999999E-4</v>
      </c>
    </row>
    <row r="121" spans="2:25" x14ac:dyDescent="0.25">
      <c r="B121" s="3">
        <f>Simulator2!G38</f>
        <v>3.4728323102035219E-2</v>
      </c>
      <c r="E121" s="531"/>
      <c r="F121" s="309">
        <f t="shared" si="108"/>
        <v>1.0805885988143426E-2</v>
      </c>
      <c r="G121" s="533"/>
      <c r="H121" s="19" t="s">
        <v>106</v>
      </c>
      <c r="I121" s="11">
        <v>1.6791027999999999</v>
      </c>
      <c r="J121" s="404">
        <v>3.7527030000000002E-4</v>
      </c>
      <c r="K121" s="16">
        <v>23029010</v>
      </c>
      <c r="L121" s="16">
        <v>799758.9</v>
      </c>
      <c r="M121" s="194">
        <f t="shared" si="109"/>
        <v>23029010</v>
      </c>
      <c r="N121" s="3">
        <f>Calculator!G38</f>
        <v>3.4728323102035219E-2</v>
      </c>
      <c r="O121" s="210">
        <f>Calculator!AG56</f>
        <v>799758.9</v>
      </c>
      <c r="P121" s="194">
        <f t="shared" si="110"/>
        <v>0</v>
      </c>
      <c r="Q121" s="4">
        <f t="shared" si="111"/>
        <v>0</v>
      </c>
      <c r="R121" s="210">
        <f t="shared" si="112"/>
        <v>8642.1034914030006</v>
      </c>
      <c r="S121" s="210">
        <f t="shared" si="113"/>
        <v>8642.1034914030006</v>
      </c>
      <c r="U121" s="210">
        <f t="shared" si="114"/>
        <v>1.7056201624479395</v>
      </c>
      <c r="V121" s="210">
        <f t="shared" si="115"/>
        <v>1.7056201624479395</v>
      </c>
      <c r="X121" s="19" t="s">
        <v>106</v>
      </c>
      <c r="Y121">
        <f t="shared" si="116"/>
        <v>3.7527030000000002E-4</v>
      </c>
    </row>
    <row r="122" spans="2:25" x14ac:dyDescent="0.25">
      <c r="E122" s="531"/>
      <c r="O122" s="276">
        <f>SUM(O118:O121)</f>
        <v>6328958.4800000982</v>
      </c>
      <c r="P122" s="237">
        <f t="shared" ref="P122" si="117">SUM(P118:P121)</f>
        <v>1460528.8800000981</v>
      </c>
      <c r="Q122" s="274">
        <f>SUM(Q118:Q121,Q124)</f>
        <v>64710.65538100079</v>
      </c>
      <c r="R122" s="210">
        <f>SUM(R118:R121)</f>
        <v>83673.434309356118</v>
      </c>
      <c r="S122" s="210">
        <f>SUM(S118:S121)</f>
        <v>126175.08227400159</v>
      </c>
      <c r="T122" t="s">
        <v>296</v>
      </c>
      <c r="U122" s="210">
        <f>R122*$H$14/L123</f>
        <v>2.7128178887083747</v>
      </c>
      <c r="V122" s="210">
        <f t="shared" si="115"/>
        <v>3.146757603417774</v>
      </c>
    </row>
    <row r="123" spans="2:25" x14ac:dyDescent="0.25">
      <c r="E123" s="531"/>
      <c r="K123" s="194">
        <f>SUM(K118:K121)</f>
        <v>179695445</v>
      </c>
      <c r="L123" s="194">
        <f>SUM(L118:L121)</f>
        <v>4868429.6000000006</v>
      </c>
      <c r="M123" s="194">
        <f>SUM(M118:M121)</f>
        <v>270872503.69203424</v>
      </c>
    </row>
    <row r="124" spans="2:25" x14ac:dyDescent="0.25">
      <c r="E124" s="531"/>
      <c r="H124" t="s">
        <v>375</v>
      </c>
      <c r="I124" s="11"/>
      <c r="J124" s="403">
        <v>9.1471242140846103E-5</v>
      </c>
      <c r="K124" s="16">
        <f>SUM(K106:K109)</f>
        <v>1273748327</v>
      </c>
      <c r="L124" s="16">
        <f>L111</f>
        <v>37920644.719999999</v>
      </c>
      <c r="M124" s="16">
        <f>SUM(M106:M109)</f>
        <v>1516546029.2784736</v>
      </c>
      <c r="N124">
        <f t="shared" ref="N124" si="118">L124/K124</f>
        <v>2.977090836249632E-2</v>
      </c>
      <c r="O124" s="210">
        <f>M124*N124</f>
        <v>45148952.865157098</v>
      </c>
      <c r="P124" s="194">
        <f t="shared" ref="P124" si="119">O124-L124</f>
        <v>7228308.1451570988</v>
      </c>
      <c r="Q124" s="4">
        <f t="shared" ref="Q124" si="120">IFERROR((M124-K124)*J124,0)</f>
        <v>22209.007416355322</v>
      </c>
      <c r="R124" s="210">
        <f t="shared" ref="R124" si="121">K124*J124</f>
        <v>116511.34164551462</v>
      </c>
      <c r="S124" s="210">
        <f t="shared" ref="S124" si="122">M124*J124</f>
        <v>138720.34906186996</v>
      </c>
    </row>
    <row r="125" spans="2:25" x14ac:dyDescent="0.25">
      <c r="E125" s="531"/>
      <c r="K125" s="194"/>
      <c r="L125" s="194"/>
      <c r="M125" s="194"/>
    </row>
    <row r="126" spans="2:25" x14ac:dyDescent="0.25">
      <c r="E126" s="531"/>
      <c r="K126" s="194"/>
      <c r="L126" s="194"/>
      <c r="M126" s="194"/>
      <c r="P126" t="s">
        <v>228</v>
      </c>
      <c r="Q126" s="267">
        <f>Simulator2!I35</f>
        <v>0.5</v>
      </c>
    </row>
    <row r="127" spans="2:25" x14ac:dyDescent="0.25">
      <c r="E127" s="531"/>
      <c r="P127" s="272" t="s">
        <v>229</v>
      </c>
      <c r="Q127" s="405">
        <f>(1+Q126)*L135</f>
        <v>39746303.849999994</v>
      </c>
    </row>
    <row r="128" spans="2:25" x14ac:dyDescent="0.25">
      <c r="B128" t="s">
        <v>227</v>
      </c>
      <c r="E128" s="531"/>
      <c r="F128" t="s">
        <v>73</v>
      </c>
      <c r="G128" s="537" t="s">
        <v>38</v>
      </c>
      <c r="H128" s="211" t="s">
        <v>203</v>
      </c>
      <c r="I128" s="211" t="s">
        <v>178</v>
      </c>
      <c r="J128" s="211" t="s">
        <v>159</v>
      </c>
      <c r="K128" s="211" t="s">
        <v>206</v>
      </c>
      <c r="L128" s="234" t="s">
        <v>209</v>
      </c>
      <c r="M128" s="214" t="s">
        <v>207</v>
      </c>
      <c r="N128" s="234" t="s">
        <v>208</v>
      </c>
      <c r="O128" s="234" t="s">
        <v>197</v>
      </c>
      <c r="P128" s="234" t="s">
        <v>198</v>
      </c>
      <c r="Q128" s="222" t="s">
        <v>210</v>
      </c>
      <c r="R128" s="234" t="s">
        <v>302</v>
      </c>
      <c r="S128" s="234" t="s">
        <v>256</v>
      </c>
      <c r="U128" s="428" t="s">
        <v>309</v>
      </c>
      <c r="V128" s="428" t="s">
        <v>310</v>
      </c>
    </row>
    <row r="129" spans="2:22" x14ac:dyDescent="0.25">
      <c r="B129" s="3">
        <f>Simulator2!I41</f>
        <v>2.6290601191449499E-2</v>
      </c>
      <c r="E129" s="531"/>
      <c r="F129" s="309">
        <f>J129/N129</f>
        <v>6.5657434304626098E-3</v>
      </c>
      <c r="G129" s="537"/>
      <c r="H129" s="19" t="s">
        <v>121</v>
      </c>
      <c r="I129" s="11">
        <v>1.1134276677462558</v>
      </c>
      <c r="J129" s="404">
        <v>1.72617342055672E-4</v>
      </c>
      <c r="K129" s="16">
        <v>60153284</v>
      </c>
      <c r="L129" s="16">
        <v>1581466</v>
      </c>
      <c r="M129" s="209">
        <f>O129/N129</f>
        <v>60153283.999999002</v>
      </c>
      <c r="N129" s="3">
        <f>Calculator!I41</f>
        <v>2.6290601191449499E-2</v>
      </c>
      <c r="O129" s="210">
        <f>Calculator!AG77</f>
        <v>1581465.9999999739</v>
      </c>
      <c r="P129" s="194">
        <f>O129-L129</f>
        <v>-2.6077032089233398E-8</v>
      </c>
      <c r="Q129" s="4">
        <f>IFERROR((M129-K129)*J129,0)</f>
        <v>-1.7233732220128214E-10</v>
      </c>
      <c r="R129" s="210">
        <f>K129*J129</f>
        <v>10383.499999999982</v>
      </c>
      <c r="S129" s="210">
        <f>M129*J129</f>
        <v>10383.499999999809</v>
      </c>
      <c r="U129" s="210">
        <f>R129*$H$15/L129</f>
        <v>1.0415861007557077</v>
      </c>
      <c r="V129" s="210">
        <f>S129*$AD$14/O129</f>
        <v>1.0415861007557075</v>
      </c>
    </row>
    <row r="130" spans="2:22" x14ac:dyDescent="0.25">
      <c r="B130" s="3">
        <f>Simulator2!I37</f>
        <v>2.1876040052405701E-2</v>
      </c>
      <c r="E130" s="531"/>
      <c r="F130" s="309">
        <f t="shared" ref="F130:F133" si="123">J130/N130</f>
        <v>8.138655079001687E-3</v>
      </c>
      <c r="G130" s="537"/>
      <c r="H130" s="19" t="s">
        <v>110</v>
      </c>
      <c r="I130" s="11">
        <v>1.4119701846382726</v>
      </c>
      <c r="J130" s="404">
        <v>1.7804154448095599E-4</v>
      </c>
      <c r="K130" s="16">
        <v>489713905</v>
      </c>
      <c r="L130" s="16">
        <v>10713001</v>
      </c>
      <c r="M130" s="209">
        <f t="shared" ref="M130:M133" si="124">O130/N130</f>
        <v>722665763.25082099</v>
      </c>
      <c r="N130" s="3">
        <f>Calculator!I37</f>
        <v>2.1876040052405701E-2</v>
      </c>
      <c r="O130" s="210">
        <f>Calculator!AG78</f>
        <v>15809065.181377295</v>
      </c>
      <c r="P130" s="194">
        <f t="shared" ref="P130:P133" si="125">O130-L130</f>
        <v>5096064.1813772954</v>
      </c>
      <c r="Q130" s="4">
        <f t="shared" ref="Q130:Q133" si="126">IFERROR((M130-K130)*J130,0)</f>
        <v>41475.108632684904</v>
      </c>
      <c r="R130" s="210">
        <f t="shared" ref="R130:R133" si="127">K130*J130</f>
        <v>87189.420000000158</v>
      </c>
      <c r="S130" s="210">
        <f t="shared" ref="S130:S133" si="128">M130*J130</f>
        <v>128664.52863268506</v>
      </c>
      <c r="U130" s="210">
        <f t="shared" ref="U130:U133" si="129">R130*$H$15/L130</f>
        <v>1.2911119812879623</v>
      </c>
      <c r="V130" s="210">
        <f t="shared" ref="V130:V134" si="130">S130*$AD$14/O130</f>
        <v>1.2911119812879623</v>
      </c>
    </row>
    <row r="131" spans="2:22" x14ac:dyDescent="0.25">
      <c r="B131" s="3">
        <f>Simulator2!I39</f>
        <v>0.18407802986902216</v>
      </c>
      <c r="E131" s="531"/>
      <c r="F131" s="309">
        <f t="shared" si="123"/>
        <v>1.0920197702228038E-3</v>
      </c>
      <c r="G131" s="537"/>
      <c r="H131" s="19" t="s">
        <v>212</v>
      </c>
      <c r="I131" s="11">
        <v>0.18727682235223378</v>
      </c>
      <c r="J131" s="404">
        <v>2.01016847880636E-4</v>
      </c>
      <c r="K131" s="16">
        <v>6784889</v>
      </c>
      <c r="L131" s="16">
        <v>1248949</v>
      </c>
      <c r="M131" s="209">
        <f t="shared" si="124"/>
        <v>6784889</v>
      </c>
      <c r="N131" s="3">
        <f>Calculator!I39</f>
        <v>0.18407802986902216</v>
      </c>
      <c r="O131" s="210">
        <f>Calculator!AG79</f>
        <v>1248949</v>
      </c>
      <c r="P131" s="194">
        <f t="shared" si="125"/>
        <v>0</v>
      </c>
      <c r="Q131" s="4">
        <f t="shared" si="126"/>
        <v>0</v>
      </c>
      <c r="R131" s="210">
        <f t="shared" si="127"/>
        <v>1363.8770000000004</v>
      </c>
      <c r="S131" s="210">
        <f t="shared" si="128"/>
        <v>1363.8770000000004</v>
      </c>
      <c r="U131" s="210">
        <f t="shared" si="129"/>
        <v>0.17323744469472402</v>
      </c>
      <c r="V131" s="210">
        <f t="shared" si="130"/>
        <v>0.17323744469472402</v>
      </c>
    </row>
    <row r="132" spans="2:22" x14ac:dyDescent="0.25">
      <c r="B132" s="3">
        <f>Simulator2!I38</f>
        <v>7.8215985700524262E-3</v>
      </c>
      <c r="E132" s="531"/>
      <c r="F132" s="309">
        <f t="shared" si="123"/>
        <v>2.6848403540423893E-2</v>
      </c>
      <c r="G132" s="537"/>
      <c r="H132" s="19" t="s">
        <v>106</v>
      </c>
      <c r="I132" s="11">
        <v>4.6916009920212032</v>
      </c>
      <c r="J132" s="404">
        <v>2.0999743473997E-4</v>
      </c>
      <c r="K132" s="16">
        <v>73961313</v>
      </c>
      <c r="L132" s="16">
        <v>578495.69999999995</v>
      </c>
      <c r="M132" s="209">
        <f t="shared" si="124"/>
        <v>1116293477.6597972</v>
      </c>
      <c r="N132" s="3">
        <f>Calculator!I38</f>
        <v>7.8215985700524262E-3</v>
      </c>
      <c r="O132" s="210">
        <f>Calculator!AG80</f>
        <v>8731199.4686227199</v>
      </c>
      <c r="P132" s="194">
        <f t="shared" si="125"/>
        <v>8152703.7686227197</v>
      </c>
      <c r="Q132" s="4">
        <f t="shared" si="126"/>
        <v>218887.08072551744</v>
      </c>
      <c r="R132" s="210">
        <f t="shared" si="127"/>
        <v>15531.685999999994</v>
      </c>
      <c r="S132" s="210">
        <f t="shared" si="128"/>
        <v>234418.76672551743</v>
      </c>
      <c r="U132" s="210">
        <f t="shared" si="129"/>
        <v>4.2592166829789599</v>
      </c>
      <c r="V132" s="210">
        <f t="shared" si="130"/>
        <v>4.2592166829789599</v>
      </c>
    </row>
    <row r="133" spans="2:22" ht="15.75" thickBot="1" x14ac:dyDescent="0.3">
      <c r="B133" s="3">
        <f>Simulator2!I40</f>
        <v>6.4901662630651141E-2</v>
      </c>
      <c r="E133" s="532"/>
      <c r="F133" s="309">
        <f t="shared" si="123"/>
        <v>2.1430806698218875E-3</v>
      </c>
      <c r="G133" s="537"/>
      <c r="H133" s="19" t="s">
        <v>111</v>
      </c>
      <c r="I133" s="11">
        <v>0.36940788812898834</v>
      </c>
      <c r="J133" s="404">
        <v>1.3908949862305E-4</v>
      </c>
      <c r="K133" s="16">
        <v>190682699</v>
      </c>
      <c r="L133" s="16">
        <v>12375624.199999999</v>
      </c>
      <c r="M133" s="209">
        <f t="shared" si="124"/>
        <v>190682699</v>
      </c>
      <c r="N133" s="3">
        <f>Calculator!I40</f>
        <v>6.4901662630651141E-2</v>
      </c>
      <c r="O133" s="210">
        <f>Calculator!AG81</f>
        <v>12375624.199999999</v>
      </c>
      <c r="P133" s="194">
        <f t="shared" si="125"/>
        <v>0</v>
      </c>
      <c r="Q133" s="4">
        <f t="shared" si="126"/>
        <v>0</v>
      </c>
      <c r="R133" s="210">
        <f t="shared" si="127"/>
        <v>26521.960999999959</v>
      </c>
      <c r="S133" s="210">
        <f t="shared" si="128"/>
        <v>26521.960999999959</v>
      </c>
      <c r="U133" s="210">
        <f t="shared" si="129"/>
        <v>0.33997719559495992</v>
      </c>
      <c r="V133" s="210">
        <f t="shared" si="130"/>
        <v>0.33997719559495992</v>
      </c>
    </row>
    <row r="134" spans="2:22" x14ac:dyDescent="0.25">
      <c r="O134" s="410">
        <f>SUM(O129:O133)</f>
        <v>39746303.849999994</v>
      </c>
      <c r="P134" s="274">
        <f>SUM(P129:P133)</f>
        <v>13248767.949999988</v>
      </c>
      <c r="Q134" s="274">
        <f>SUM(Q129:Q133)</f>
        <v>260362.18935820216</v>
      </c>
      <c r="R134" s="210">
        <f>SUM(R129:R133)</f>
        <v>140990.44400000008</v>
      </c>
      <c r="S134" s="210">
        <f>SUM(S129:S133)</f>
        <v>401352.63335820223</v>
      </c>
      <c r="T134" t="s">
        <v>296</v>
      </c>
      <c r="U134" s="210">
        <f>R134*$H$15/L135</f>
        <v>0.84410302582537078</v>
      </c>
      <c r="V134" s="210">
        <f t="shared" si="130"/>
        <v>1.6019193104115101</v>
      </c>
    </row>
    <row r="135" spans="2:22" x14ac:dyDescent="0.25">
      <c r="K135" s="194">
        <f>SUM(K129:K133)</f>
        <v>821296090</v>
      </c>
      <c r="L135" s="194">
        <f>SUM(L129:L133)</f>
        <v>26497535.899999999</v>
      </c>
      <c r="M135" s="194">
        <f>SUM(M129:M133)</f>
        <v>2096580112.9106174</v>
      </c>
    </row>
    <row r="137" spans="2:22" ht="15.75" thickBot="1" x14ac:dyDescent="0.3"/>
    <row r="138" spans="2:22" x14ac:dyDescent="0.25">
      <c r="E138" s="534" t="s">
        <v>253</v>
      </c>
      <c r="G138" s="533" t="s">
        <v>12</v>
      </c>
      <c r="H138" s="211" t="s">
        <v>203</v>
      </c>
      <c r="I138" s="211" t="s">
        <v>234</v>
      </c>
      <c r="J138" s="211" t="s">
        <v>95</v>
      </c>
      <c r="K138" s="275" t="s">
        <v>244</v>
      </c>
      <c r="L138" s="275" t="s">
        <v>3</v>
      </c>
      <c r="M138" s="214" t="s">
        <v>197</v>
      </c>
      <c r="N138" s="275" t="s">
        <v>262</v>
      </c>
      <c r="O138" s="275" t="s">
        <v>256</v>
      </c>
      <c r="P138" s="275" t="s">
        <v>198</v>
      </c>
      <c r="Q138" s="222" t="s">
        <v>259</v>
      </c>
      <c r="S138" s="428" t="s">
        <v>309</v>
      </c>
      <c r="T138" s="428" t="s">
        <v>310</v>
      </c>
    </row>
    <row r="139" spans="2:22" x14ac:dyDescent="0.25">
      <c r="E139" s="535"/>
      <c r="G139" s="533"/>
      <c r="H139" s="19" t="s">
        <v>232</v>
      </c>
      <c r="I139" s="3">
        <v>8.135261559807951</v>
      </c>
      <c r="J139" s="4">
        <v>8575566.7899999991</v>
      </c>
      <c r="K139" s="4">
        <v>462796.60480715393</v>
      </c>
      <c r="L139">
        <v>1.9231422598667604E-3</v>
      </c>
      <c r="M139" s="210">
        <f>Calculator!AG30</f>
        <v>8575566.7899999991</v>
      </c>
      <c r="N139" s="218">
        <f>(M139/J139-1)*L139</f>
        <v>0</v>
      </c>
      <c r="O139" s="210">
        <f>K139+Q139</f>
        <v>462796.60480715393</v>
      </c>
      <c r="P139" s="210">
        <f>M139-J139</f>
        <v>0</v>
      </c>
      <c r="Q139" s="210">
        <f>N139*$K$29</f>
        <v>0</v>
      </c>
      <c r="S139" s="210">
        <f>K139*$H$13/J139</f>
        <v>8.0786627085537503</v>
      </c>
      <c r="T139" s="210">
        <f>O139*$AD$12/M139</f>
        <v>8.0786627085537503</v>
      </c>
    </row>
    <row r="140" spans="2:22" x14ac:dyDescent="0.25">
      <c r="E140" s="535"/>
      <c r="G140" s="533"/>
      <c r="H140" s="19" t="s">
        <v>119</v>
      </c>
      <c r="I140" s="3">
        <v>5.4868914736001981</v>
      </c>
      <c r="J140" s="4">
        <v>5641800</v>
      </c>
      <c r="K140" s="4">
        <v>209232.98157542368</v>
      </c>
      <c r="L140">
        <v>3.1096608657364662E-3</v>
      </c>
      <c r="M140" s="210">
        <f>Calculator!AG31</f>
        <v>5641800</v>
      </c>
      <c r="N140" s="218">
        <f t="shared" ref="N140:N142" si="131">(M140/J140-1)*L140</f>
        <v>0</v>
      </c>
      <c r="O140" s="210">
        <f t="shared" ref="O140:O142" si="132">K140+Q140</f>
        <v>209232.98157542368</v>
      </c>
      <c r="P140" s="210">
        <f>M140-J140</f>
        <v>0</v>
      </c>
      <c r="Q140" s="210">
        <f t="shared" ref="Q140:Q142" si="133">N140*$K$29</f>
        <v>0</v>
      </c>
      <c r="S140" s="210">
        <f t="shared" ref="S140:S143" si="134">K140*$H$13/J140</f>
        <v>5.551682273386743</v>
      </c>
      <c r="T140" s="210">
        <f t="shared" ref="T140:T143" si="135">O140*$AD$12/M140</f>
        <v>5.551682273386743</v>
      </c>
    </row>
    <row r="141" spans="2:22" x14ac:dyDescent="0.25">
      <c r="E141" s="535"/>
      <c r="G141" s="533"/>
      <c r="H141" s="19" t="s">
        <v>233</v>
      </c>
      <c r="I141" s="3">
        <v>31.294204430135679</v>
      </c>
      <c r="J141" s="4">
        <v>797400</v>
      </c>
      <c r="K141" s="4">
        <v>178758.72722152862</v>
      </c>
      <c r="L141">
        <v>2.1295569514001972E-3</v>
      </c>
      <c r="M141" s="210">
        <f>Calculator!AG32</f>
        <v>797400</v>
      </c>
      <c r="N141" s="218">
        <f t="shared" si="131"/>
        <v>0</v>
      </c>
      <c r="O141" s="210">
        <f t="shared" si="132"/>
        <v>178758.72722152862</v>
      </c>
      <c r="P141" s="210">
        <f>M141-J141</f>
        <v>0</v>
      </c>
      <c r="Q141" s="210">
        <f t="shared" si="133"/>
        <v>0</v>
      </c>
      <c r="S141" s="210">
        <f t="shared" si="134"/>
        <v>33.558548515627095</v>
      </c>
      <c r="T141" s="210">
        <f t="shared" si="135"/>
        <v>33.558548515627095</v>
      </c>
    </row>
    <row r="142" spans="2:22" x14ac:dyDescent="0.25">
      <c r="E142" s="535"/>
      <c r="G142" s="533"/>
      <c r="H142" s="19" t="s">
        <v>120</v>
      </c>
      <c r="I142" s="3">
        <v>6.6205338349455394</v>
      </c>
      <c r="J142" s="4">
        <v>17309220</v>
      </c>
      <c r="K142" s="4">
        <v>747696.2719231433</v>
      </c>
      <c r="L142">
        <v>3.824523467085339E-3</v>
      </c>
      <c r="M142" s="210">
        <f>Calculator!AG33</f>
        <v>17309220</v>
      </c>
      <c r="N142" s="218">
        <f t="shared" si="131"/>
        <v>0</v>
      </c>
      <c r="O142" s="210">
        <f t="shared" si="132"/>
        <v>747696.2719231433</v>
      </c>
      <c r="P142" s="210">
        <f>M142-J142</f>
        <v>0</v>
      </c>
      <c r="Q142" s="210">
        <f t="shared" si="133"/>
        <v>0</v>
      </c>
      <c r="S142" s="210">
        <f t="shared" si="134"/>
        <v>6.4663597609028667</v>
      </c>
      <c r="T142" s="210">
        <f t="shared" si="135"/>
        <v>6.4663597609028667</v>
      </c>
    </row>
    <row r="143" spans="2:22" x14ac:dyDescent="0.25">
      <c r="E143" s="535"/>
      <c r="J143" s="194">
        <f>SUM(J139:J142)</f>
        <v>32323986.789999999</v>
      </c>
      <c r="K143" s="194">
        <f>SUM(K139:K142)</f>
        <v>1598484.5855272496</v>
      </c>
      <c r="M143" s="210">
        <f>SUM(M139:M142)</f>
        <v>32323986.789999999</v>
      </c>
      <c r="O143" s="210">
        <f>SUM(O139:O142)</f>
        <v>1598484.5855272496</v>
      </c>
      <c r="P143" s="210">
        <f>SUM(P139:P142)</f>
        <v>0</v>
      </c>
      <c r="Q143" s="210">
        <f>SUM(Q139:Q142)</f>
        <v>0</v>
      </c>
      <c r="R143" t="s">
        <v>296</v>
      </c>
      <c r="S143" s="210">
        <f t="shared" si="134"/>
        <v>7.4027942321175075</v>
      </c>
      <c r="T143" s="210">
        <f t="shared" si="135"/>
        <v>7.4027942321175075</v>
      </c>
    </row>
    <row r="144" spans="2:22" x14ac:dyDescent="0.25">
      <c r="E144" s="535"/>
      <c r="J144" s="4"/>
      <c r="K144" s="4"/>
    </row>
    <row r="145" spans="2:22" x14ac:dyDescent="0.25">
      <c r="E145" s="535"/>
      <c r="F145" s="204">
        <f>7/134</f>
        <v>5.2238805970149252E-2</v>
      </c>
    </row>
    <row r="146" spans="2:22" x14ac:dyDescent="0.25">
      <c r="E146" s="535"/>
      <c r="G146" s="533" t="s">
        <v>38</v>
      </c>
      <c r="H146" s="211" t="s">
        <v>203</v>
      </c>
      <c r="I146" s="211" t="s">
        <v>234</v>
      </c>
      <c r="J146" s="211" t="s">
        <v>95</v>
      </c>
      <c r="K146" s="275" t="s">
        <v>244</v>
      </c>
      <c r="L146" s="275" t="s">
        <v>3</v>
      </c>
      <c r="M146" s="214" t="s">
        <v>197</v>
      </c>
      <c r="N146" s="275" t="s">
        <v>262</v>
      </c>
      <c r="O146" s="275" t="s">
        <v>256</v>
      </c>
      <c r="P146" s="275" t="s">
        <v>198</v>
      </c>
      <c r="Q146" s="222" t="s">
        <v>259</v>
      </c>
      <c r="S146" s="428" t="s">
        <v>309</v>
      </c>
      <c r="T146" s="428" t="s">
        <v>310</v>
      </c>
    </row>
    <row r="147" spans="2:22" ht="15.75" thickBot="1" x14ac:dyDescent="0.3">
      <c r="E147" s="536"/>
      <c r="G147" s="533"/>
      <c r="H147" s="19" t="s">
        <v>232</v>
      </c>
      <c r="I147">
        <v>1.23</v>
      </c>
      <c r="J147" s="4">
        <v>4296500</v>
      </c>
      <c r="K147" s="4">
        <v>30275.9523420939</v>
      </c>
      <c r="L147">
        <v>1.3527333961133058E-3</v>
      </c>
      <c r="M147" s="210">
        <f>Calculator!AG82</f>
        <v>4296500</v>
      </c>
      <c r="N147" s="218">
        <f>(M147/J147-1)*L147</f>
        <v>0</v>
      </c>
      <c r="O147" s="210">
        <f t="shared" ref="O147" si="136">K147+Q147</f>
        <v>30275.9523420939</v>
      </c>
      <c r="P147" s="210">
        <f>M147-J147</f>
        <v>0</v>
      </c>
      <c r="Q147" s="210">
        <f>N147*$K$31</f>
        <v>0</v>
      </c>
      <c r="S147" s="210">
        <f>K147*$H$15/J147</f>
        <v>1.1178776284448977</v>
      </c>
      <c r="T147" s="210">
        <f>O147*$AD$14/M147</f>
        <v>1.1178776284448977</v>
      </c>
    </row>
    <row r="149" spans="2:22" ht="15.75" thickBot="1" x14ac:dyDescent="0.3"/>
    <row r="150" spans="2:22" x14ac:dyDescent="0.25">
      <c r="B150" t="s">
        <v>250</v>
      </c>
      <c r="E150" s="534" t="s">
        <v>252</v>
      </c>
      <c r="G150" s="533" t="s">
        <v>12</v>
      </c>
      <c r="H150" s="211" t="s">
        <v>246</v>
      </c>
      <c r="I150" s="211" t="s">
        <v>234</v>
      </c>
      <c r="J150" s="211" t="s">
        <v>95</v>
      </c>
      <c r="K150" s="275" t="s">
        <v>244</v>
      </c>
      <c r="L150" s="275" t="s">
        <v>159</v>
      </c>
      <c r="M150" s="214" t="s">
        <v>247</v>
      </c>
      <c r="N150" s="275" t="s">
        <v>248</v>
      </c>
      <c r="O150" s="275" t="s">
        <v>261</v>
      </c>
      <c r="P150" s="234" t="s">
        <v>197</v>
      </c>
      <c r="Q150" s="234" t="s">
        <v>198</v>
      </c>
      <c r="R150" s="275" t="s">
        <v>256</v>
      </c>
      <c r="S150" s="222" t="s">
        <v>249</v>
      </c>
      <c r="U150" s="428" t="s">
        <v>309</v>
      </c>
      <c r="V150" s="428" t="s">
        <v>310</v>
      </c>
    </row>
    <row r="151" spans="2:22" x14ac:dyDescent="0.25">
      <c r="B151" s="3">
        <f>Simulator2!E59</f>
        <v>2.1047994145076597E-2</v>
      </c>
      <c r="E151" s="535"/>
      <c r="G151" s="533"/>
      <c r="H151" s="16">
        <v>3604583787.7499995</v>
      </c>
      <c r="I151" s="3">
        <v>2.4039340356967784</v>
      </c>
      <c r="J151" s="4">
        <v>75869258.460000008</v>
      </c>
      <c r="K151" s="4">
        <v>1184735.0057350455</v>
      </c>
      <c r="L151" s="4">
        <f>K151/(H151/1000000)</f>
        <v>328.67456424825224</v>
      </c>
      <c r="M151" s="210">
        <f>P151/O151</f>
        <v>3604583787.7499995</v>
      </c>
      <c r="N151">
        <f>J151/H151</f>
        <v>2.1047994145076597E-2</v>
      </c>
      <c r="O151">
        <f>Calculator!E59</f>
        <v>2.1047994145076597E-2</v>
      </c>
      <c r="P151" s="4">
        <f>Calculator!AG34</f>
        <v>75869258.460000008</v>
      </c>
      <c r="Q151" s="194">
        <f>P151-J151</f>
        <v>0</v>
      </c>
      <c r="R151" s="4">
        <f>L151*(M151/1000000)</f>
        <v>1184735.0057350455</v>
      </c>
      <c r="S151" s="4">
        <f>R151-K151</f>
        <v>0</v>
      </c>
      <c r="U151" s="210">
        <f>K151*$H$13/J151</f>
        <v>2.3375856224433362</v>
      </c>
      <c r="V151" s="210">
        <f>R151*$AD$12/P151</f>
        <v>2.3375856224433362</v>
      </c>
    </row>
    <row r="152" spans="2:22" x14ac:dyDescent="0.25">
      <c r="E152" s="535"/>
      <c r="K152" s="4"/>
    </row>
    <row r="153" spans="2:22" x14ac:dyDescent="0.25">
      <c r="E153" s="535"/>
      <c r="K153" s="4"/>
    </row>
    <row r="154" spans="2:22" x14ac:dyDescent="0.25">
      <c r="E154" s="535"/>
      <c r="K154" s="4"/>
    </row>
    <row r="155" spans="2:22" x14ac:dyDescent="0.25">
      <c r="E155" s="535"/>
    </row>
    <row r="156" spans="2:22" x14ac:dyDescent="0.25">
      <c r="B156" t="s">
        <v>250</v>
      </c>
      <c r="E156" s="535"/>
      <c r="G156" s="533" t="s">
        <v>30</v>
      </c>
      <c r="H156" s="211" t="s">
        <v>246</v>
      </c>
      <c r="I156" s="211" t="s">
        <v>234</v>
      </c>
      <c r="J156" s="211" t="s">
        <v>95</v>
      </c>
      <c r="K156" s="275" t="s">
        <v>244</v>
      </c>
      <c r="L156" s="275" t="s">
        <v>159</v>
      </c>
      <c r="M156" s="214" t="s">
        <v>247</v>
      </c>
      <c r="N156" s="275" t="s">
        <v>248</v>
      </c>
      <c r="O156" s="275" t="s">
        <v>261</v>
      </c>
      <c r="P156" s="234" t="s">
        <v>197</v>
      </c>
      <c r="Q156" s="234" t="s">
        <v>198</v>
      </c>
      <c r="R156" s="275" t="s">
        <v>256</v>
      </c>
      <c r="S156" s="222" t="s">
        <v>249</v>
      </c>
      <c r="U156" s="428" t="s">
        <v>309</v>
      </c>
      <c r="V156" s="428" t="s">
        <v>310</v>
      </c>
    </row>
    <row r="157" spans="2:22" ht="15.75" thickBot="1" x14ac:dyDescent="0.3">
      <c r="B157" s="3">
        <f>Simulator2!G59</f>
        <v>1.6812770133844624E-2</v>
      </c>
      <c r="E157" s="536"/>
      <c r="G157" s="533"/>
      <c r="H157" s="16">
        <v>336220620.10000002</v>
      </c>
      <c r="I157" s="3">
        <v>2.1121481491387399</v>
      </c>
      <c r="J157" s="4">
        <v>5652800</v>
      </c>
      <c r="K157" s="4">
        <v>74805.796706061883</v>
      </c>
      <c r="L157" s="4">
        <f>K157/(H157/1000000)</f>
        <v>222.49021099245149</v>
      </c>
      <c r="M157" s="210">
        <f>P157/O157</f>
        <v>336220620.10000002</v>
      </c>
      <c r="N157">
        <f>J157/H157</f>
        <v>1.6812770133844624E-2</v>
      </c>
      <c r="O157">
        <f>Calculator!G59</f>
        <v>1.6812770133844624E-2</v>
      </c>
      <c r="P157" s="4">
        <f>Calculator!AG57</f>
        <v>5652800</v>
      </c>
      <c r="Q157" s="194">
        <f>P157-J157</f>
        <v>0</v>
      </c>
      <c r="R157" s="4">
        <f>L157*(M157/1000000)</f>
        <v>74805.796706061883</v>
      </c>
      <c r="S157" s="4">
        <f>R157-K157</f>
        <v>0</v>
      </c>
      <c r="U157" s="210">
        <f>K157*$H$14/J157</f>
        <v>2.0887841955522797</v>
      </c>
      <c r="V157" s="210">
        <f>R157*$AD$13/P157</f>
        <v>2.0887841955522797</v>
      </c>
    </row>
    <row r="158" spans="2:22" x14ac:dyDescent="0.25">
      <c r="K158" s="4"/>
    </row>
    <row r="159" spans="2:22" x14ac:dyDescent="0.25">
      <c r="K159" s="4"/>
    </row>
    <row r="160" spans="2:22" x14ac:dyDescent="0.25">
      <c r="K160" s="4"/>
    </row>
    <row r="161" spans="8:25" x14ac:dyDescent="0.25">
      <c r="O161" t="s">
        <v>374</v>
      </c>
    </row>
    <row r="162" spans="8:25" x14ac:dyDescent="0.25">
      <c r="O162" s="210">
        <f>SUM(O164:O165)</f>
        <v>845586.57807005174</v>
      </c>
    </row>
    <row r="163" spans="8:25" x14ac:dyDescent="0.25">
      <c r="I163" s="175" t="s">
        <v>213</v>
      </c>
      <c r="J163" s="175" t="s">
        <v>214</v>
      </c>
      <c r="K163" s="235" t="s">
        <v>215</v>
      </c>
      <c r="L163" s="175" t="s">
        <v>216</v>
      </c>
      <c r="M163" s="235" t="s">
        <v>215</v>
      </c>
      <c r="N163" s="236" t="s">
        <v>235</v>
      </c>
      <c r="O163" s="235" t="s">
        <v>215</v>
      </c>
      <c r="Q163" s="238" t="s">
        <v>217</v>
      </c>
    </row>
    <row r="164" spans="8:25" x14ac:dyDescent="0.25">
      <c r="H164" t="s">
        <v>12</v>
      </c>
      <c r="I164" s="210">
        <f>K29*Simulator2!D10</f>
        <v>5789245.0579999993</v>
      </c>
      <c r="J164" s="194"/>
      <c r="K164" s="4">
        <f>IF((I164-J164)&gt;0,I164-J164,0)</f>
        <v>5789245.0579999993</v>
      </c>
      <c r="L164" s="4"/>
      <c r="M164" s="4">
        <f>IF((K164-L164)&gt;0,K164-L164,0)</f>
        <v>5789245.0579999993</v>
      </c>
      <c r="N164" s="210">
        <f>FM22</f>
        <v>5165210.8387038605</v>
      </c>
      <c r="O164" s="210">
        <f>I164-N164</f>
        <v>624034.21929613873</v>
      </c>
      <c r="Q164" s="194">
        <f>SUM(J171,L171,N171,P171,R171,T171,V171)</f>
        <v>5791264.3777563898</v>
      </c>
    </row>
    <row r="165" spans="8:25" x14ac:dyDescent="0.25">
      <c r="H165" t="s">
        <v>30</v>
      </c>
      <c r="I165" s="210">
        <f>K30*Simulator2!D11</f>
        <v>1594457.28</v>
      </c>
      <c r="J165" s="194"/>
      <c r="K165" s="4">
        <f t="shared" ref="K165:K166" si="137">IF((I165-J165)&gt;0,I165-J165,0)</f>
        <v>1594457.28</v>
      </c>
      <c r="L165" s="4"/>
      <c r="M165" s="4">
        <f t="shared" ref="M165:M166" si="138">IF((K165-L165)&gt;0,K165-L165,0)</f>
        <v>1594457.28</v>
      </c>
      <c r="N165" s="210">
        <f t="shared" ref="N165:N166" si="139">FM23</f>
        <v>1372904.921226087</v>
      </c>
      <c r="O165" s="210">
        <f t="shared" ref="O165:O166" si="140">I165-N165</f>
        <v>221552.358773913</v>
      </c>
      <c r="Q165" s="194">
        <f t="shared" ref="Q165:Q166" si="141">SUM(J172,L172,N172,P172,R172,T172,V172)</f>
        <v>1594442.0955312785</v>
      </c>
    </row>
    <row r="166" spans="8:25" x14ac:dyDescent="0.25">
      <c r="H166" t="s">
        <v>38</v>
      </c>
      <c r="I166" s="210">
        <f>K31*Simulator2!D12</f>
        <v>3502902.36</v>
      </c>
      <c r="J166" s="194"/>
      <c r="K166" s="4">
        <f t="shared" si="137"/>
        <v>3502902.36</v>
      </c>
      <c r="L166" s="4"/>
      <c r="M166" s="4">
        <f t="shared" si="138"/>
        <v>3502902.36</v>
      </c>
      <c r="N166" s="210">
        <f t="shared" si="139"/>
        <v>3118715.3127400456</v>
      </c>
      <c r="O166" s="210">
        <f t="shared" si="140"/>
        <v>384187.04725995427</v>
      </c>
      <c r="Q166" s="194">
        <f t="shared" si="141"/>
        <v>3502906.9775437163</v>
      </c>
    </row>
    <row r="169" spans="8:25" x14ac:dyDescent="0.25">
      <c r="J169" s="220">
        <f>SUM(T61,T75)</f>
        <v>710833.05317045003</v>
      </c>
      <c r="L169" s="194">
        <f>Q124</f>
        <v>22209.007416355322</v>
      </c>
      <c r="M169" s="220">
        <f>SUM(J169,L169)</f>
        <v>733042.06058680534</v>
      </c>
      <c r="N169" s="194">
        <f>SUM(J173,L173)</f>
        <v>290384.09935820219</v>
      </c>
    </row>
    <row r="170" spans="8:25" x14ac:dyDescent="0.25">
      <c r="I170" s="175" t="s">
        <v>213</v>
      </c>
      <c r="J170" s="175" t="s">
        <v>214</v>
      </c>
      <c r="K170" s="235" t="s">
        <v>215</v>
      </c>
      <c r="L170" s="175" t="s">
        <v>216</v>
      </c>
      <c r="M170" s="235" t="s">
        <v>215</v>
      </c>
      <c r="N170" s="236" t="s">
        <v>235</v>
      </c>
      <c r="O170" s="235" t="s">
        <v>215</v>
      </c>
      <c r="P170" s="175" t="s">
        <v>241</v>
      </c>
      <c r="Q170" s="235" t="s">
        <v>215</v>
      </c>
      <c r="R170" s="175" t="s">
        <v>242</v>
      </c>
      <c r="S170" s="235" t="s">
        <v>215</v>
      </c>
      <c r="T170" s="175" t="s">
        <v>265</v>
      </c>
      <c r="U170" s="235" t="s">
        <v>215</v>
      </c>
      <c r="V170" s="175" t="s">
        <v>266</v>
      </c>
      <c r="W170" s="235" t="s">
        <v>215</v>
      </c>
      <c r="X170" s="175" t="s">
        <v>238</v>
      </c>
      <c r="Y170" s="235" t="s">
        <v>267</v>
      </c>
    </row>
    <row r="171" spans="8:25" x14ac:dyDescent="0.25">
      <c r="H171" t="s">
        <v>12</v>
      </c>
      <c r="I171" s="210">
        <f>I164</f>
        <v>5789245.0579999993</v>
      </c>
      <c r="J171" s="4">
        <f>X29</f>
        <v>498157.56585122272</v>
      </c>
      <c r="K171" s="4">
        <f>IF((I171-J171)&gt;0,I171-J171,0)</f>
        <v>5291087.4921487765</v>
      </c>
      <c r="L171" s="278">
        <f>Q110</f>
        <v>127895.97320130664</v>
      </c>
      <c r="M171" s="326">
        <f>IF((K171-L171)&gt;0,K171-L171,0)</f>
        <v>5163191.51894747</v>
      </c>
      <c r="N171" s="326">
        <f>N164</f>
        <v>5165210.8387038605</v>
      </c>
      <c r="O171" s="326">
        <f>IF((M171-N171)&gt;0,M171-N171,0)</f>
        <v>0</v>
      </c>
      <c r="P171" s="326">
        <f>FM19</f>
        <v>0</v>
      </c>
      <c r="Q171" s="4">
        <f>IF((O171-P171)&gt;0,O171-P171,0)</f>
        <v>0</v>
      </c>
      <c r="R171" s="4">
        <f>AB29</f>
        <v>0</v>
      </c>
      <c r="S171" s="4">
        <f>I171-SUM(J171,L171,N171,P171,R171)</f>
        <v>-2019.3197563905269</v>
      </c>
      <c r="T171" s="210">
        <f>Q143</f>
        <v>0</v>
      </c>
      <c r="U171" s="4">
        <f>K171-SUM(L171,N171,P171,R171,T171)</f>
        <v>-2019.3197563905269</v>
      </c>
      <c r="V171" s="210">
        <f>S151</f>
        <v>0</v>
      </c>
      <c r="W171" s="4">
        <f>M171-SUM(N171,P171,R171,T171,V171)</f>
        <v>-2019.3197563905269</v>
      </c>
      <c r="X171" s="210">
        <f>SUM(J171+L171+N171+P171+R171+T171+V171)</f>
        <v>5791264.3777563898</v>
      </c>
      <c r="Y171" s="194">
        <f>X171-I171</f>
        <v>2019.3197563905269</v>
      </c>
    </row>
    <row r="172" spans="8:25" x14ac:dyDescent="0.25">
      <c r="H172" t="s">
        <v>30</v>
      </c>
      <c r="I172" s="210">
        <f t="shared" ref="I172:I173" si="142">I165</f>
        <v>1594457.28</v>
      </c>
      <c r="J172" s="4">
        <f>X30</f>
        <v>96058.58731922711</v>
      </c>
      <c r="K172" s="4">
        <f t="shared" ref="K172:Q173" si="143">IF((I172-J172)&gt;0,I172-J172,0)</f>
        <v>1498398.6926807729</v>
      </c>
      <c r="L172" s="4">
        <f>Q122</f>
        <v>64710.65538100079</v>
      </c>
      <c r="M172" s="4">
        <f t="shared" si="143"/>
        <v>1433688.037299772</v>
      </c>
      <c r="N172" s="4">
        <f t="shared" ref="N172:N173" si="144">N165</f>
        <v>1372904.921226087</v>
      </c>
      <c r="O172" s="4">
        <f t="shared" si="143"/>
        <v>60783.116073685</v>
      </c>
      <c r="P172" s="4">
        <f t="shared" ref="P172:P173" si="145">FM20</f>
        <v>0</v>
      </c>
      <c r="Q172" s="4">
        <f t="shared" si="143"/>
        <v>60783.116073685</v>
      </c>
      <c r="R172" s="4">
        <f t="shared" ref="R172:R173" si="146">AB30</f>
        <v>60767.931604963393</v>
      </c>
      <c r="S172" s="4">
        <f t="shared" ref="S172:W172" si="147">I172-SUM(J172,L172,N172,P172,R172)</f>
        <v>15.184468721505255</v>
      </c>
      <c r="T172">
        <v>0</v>
      </c>
      <c r="U172" s="4">
        <f t="shared" si="147"/>
        <v>15.184468721505255</v>
      </c>
      <c r="V172" s="194">
        <f>S157</f>
        <v>0</v>
      </c>
      <c r="W172" s="4">
        <f t="shared" si="147"/>
        <v>15.184468721505255</v>
      </c>
      <c r="X172" s="210">
        <f t="shared" ref="X172:X173" si="148">SUM(J172+L172+N172+P172+R172+T172+V172)</f>
        <v>1594442.0955312785</v>
      </c>
      <c r="Y172" s="194">
        <f t="shared" ref="Y172:Y173" si="149">X172-I172</f>
        <v>-15.184468721505255</v>
      </c>
    </row>
    <row r="173" spans="8:25" x14ac:dyDescent="0.25">
      <c r="H173" t="s">
        <v>38</v>
      </c>
      <c r="I173" s="210">
        <f t="shared" si="142"/>
        <v>3502902.36</v>
      </c>
      <c r="J173" s="4">
        <f>X31</f>
        <v>30021.910000000036</v>
      </c>
      <c r="K173" s="4">
        <f t="shared" si="143"/>
        <v>3472880.4499999997</v>
      </c>
      <c r="L173" s="4">
        <f>Q134</f>
        <v>260362.18935820216</v>
      </c>
      <c r="M173" s="4">
        <f t="shared" si="143"/>
        <v>3212518.2606417974</v>
      </c>
      <c r="N173" s="4">
        <f t="shared" si="144"/>
        <v>3118715.3127400456</v>
      </c>
      <c r="O173" s="4">
        <f t="shared" si="143"/>
        <v>93802.947901751846</v>
      </c>
      <c r="P173" s="4">
        <f t="shared" si="145"/>
        <v>0</v>
      </c>
      <c r="Q173" s="4">
        <f>IF((O173-P173)&gt;0,O173-P173,0)</f>
        <v>93802.947901751846</v>
      </c>
      <c r="R173" s="4">
        <f t="shared" si="146"/>
        <v>93807.565445468761</v>
      </c>
      <c r="S173" s="4">
        <f>IF((Q173-R173)&gt;0,Q173-R173,0)</f>
        <v>0</v>
      </c>
      <c r="T173" s="210">
        <f>Q147</f>
        <v>0</v>
      </c>
      <c r="U173" s="4">
        <f>IF((S173-T173)&gt;0,S173-T173,0)</f>
        <v>0</v>
      </c>
      <c r="V173" s="210">
        <v>0</v>
      </c>
      <c r="W173" s="4">
        <f>IF((U173-V173)&gt;0,U173-V173,0)</f>
        <v>0</v>
      </c>
      <c r="X173" s="210">
        <f t="shared" si="148"/>
        <v>3502906.9775437163</v>
      </c>
      <c r="Y173" s="194">
        <f t="shared" si="149"/>
        <v>4.6175437164492905</v>
      </c>
    </row>
    <row r="174" spans="8:25" x14ac:dyDescent="0.25">
      <c r="J174" s="4"/>
      <c r="K174" s="4"/>
      <c r="L174" s="4"/>
      <c r="M174" s="4"/>
      <c r="N174" s="4"/>
      <c r="O174" s="4"/>
      <c r="P174" s="4"/>
      <c r="Q174" s="4"/>
      <c r="R174" s="4"/>
      <c r="S174" s="4"/>
    </row>
    <row r="175" spans="8:25" x14ac:dyDescent="0.25">
      <c r="H175" t="s">
        <v>347</v>
      </c>
      <c r="I175" s="210">
        <f>SUM(I171:I172)</f>
        <v>7383702.3379999995</v>
      </c>
      <c r="J175" s="210">
        <f t="shared" ref="J175:Y175" si="150">SUM(J171:J172)</f>
        <v>594216.15317044989</v>
      </c>
      <c r="K175" s="210">
        <f t="shared" si="150"/>
        <v>6789486.1848295499</v>
      </c>
      <c r="L175" s="210">
        <f t="shared" si="150"/>
        <v>192606.62858230743</v>
      </c>
      <c r="M175" s="210">
        <f t="shared" si="150"/>
        <v>6596879.5562472418</v>
      </c>
      <c r="N175" s="210">
        <f t="shared" si="150"/>
        <v>6538115.7599299476</v>
      </c>
      <c r="O175" s="210">
        <f t="shared" si="150"/>
        <v>60783.116073685</v>
      </c>
      <c r="P175" s="210">
        <f t="shared" si="150"/>
        <v>0</v>
      </c>
      <c r="Q175" s="210">
        <f t="shared" si="150"/>
        <v>60783.116073685</v>
      </c>
      <c r="R175" s="210">
        <f t="shared" si="150"/>
        <v>60767.931604963393</v>
      </c>
      <c r="S175" s="210">
        <f t="shared" si="150"/>
        <v>-2004.1352876690216</v>
      </c>
      <c r="T175" s="210">
        <f t="shared" si="150"/>
        <v>0</v>
      </c>
      <c r="U175" s="210">
        <f t="shared" si="150"/>
        <v>-2004.1352876690216</v>
      </c>
      <c r="V175" s="210">
        <f t="shared" si="150"/>
        <v>0</v>
      </c>
      <c r="W175" s="210">
        <f t="shared" si="150"/>
        <v>-2004.1352876690216</v>
      </c>
      <c r="X175" s="210">
        <f t="shared" si="150"/>
        <v>7385706.4732876681</v>
      </c>
      <c r="Y175" s="210">
        <f t="shared" si="150"/>
        <v>2004.1352876690216</v>
      </c>
    </row>
    <row r="176" spans="8:25" x14ac:dyDescent="0.25">
      <c r="J176" s="218">
        <f>J175/SUM($K$29:$K$30)</f>
        <v>4.1758202264405913E-3</v>
      </c>
      <c r="L176" s="204">
        <f>L175/SUM($K$29:$K$30)</f>
        <v>1.3535321298305744E-3</v>
      </c>
      <c r="M176" s="204">
        <f>M169/SUM($K$29:$K$30)</f>
        <v>5.1514113965057647E-3</v>
      </c>
      <c r="N176" s="204">
        <f>N175/SUM($K$29:$K$30)</f>
        <v>4.594623671446027E-2</v>
      </c>
      <c r="R176" s="218">
        <f>R175/SUM($K$29:$K$30)</f>
        <v>4.2704318379943991E-4</v>
      </c>
    </row>
    <row r="177" spans="8:25" x14ac:dyDescent="0.25"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8:25" x14ac:dyDescent="0.25"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8:25" x14ac:dyDescent="0.25">
      <c r="H179" t="s">
        <v>158</v>
      </c>
      <c r="I179" s="4" t="s">
        <v>318</v>
      </c>
      <c r="J179" s="4" t="s">
        <v>319</v>
      </c>
      <c r="K179" s="4" t="s">
        <v>320</v>
      </c>
      <c r="L179" s="4" t="s">
        <v>321</v>
      </c>
      <c r="M179" s="4" t="s">
        <v>322</v>
      </c>
      <c r="N179" s="4" t="s">
        <v>306</v>
      </c>
      <c r="O179" s="4" t="s">
        <v>323</v>
      </c>
      <c r="P179" s="4" t="s">
        <v>324</v>
      </c>
      <c r="Q179" s="4"/>
      <c r="R179" t="s">
        <v>158</v>
      </c>
      <c r="S179" s="4" t="s">
        <v>333</v>
      </c>
      <c r="T179" s="4" t="s">
        <v>334</v>
      </c>
      <c r="U179" s="4" t="s">
        <v>335</v>
      </c>
      <c r="V179" s="4" t="s">
        <v>336</v>
      </c>
      <c r="W179" s="4" t="s">
        <v>337</v>
      </c>
      <c r="X179" s="4" t="s">
        <v>338</v>
      </c>
      <c r="Y179" s="4"/>
    </row>
    <row r="180" spans="8:25" x14ac:dyDescent="0.25">
      <c r="H180" t="s">
        <v>97</v>
      </c>
      <c r="I180" s="220">
        <f>S54</f>
        <v>534798</v>
      </c>
      <c r="J180" s="220">
        <f>R54</f>
        <v>481318.2</v>
      </c>
      <c r="K180" s="4">
        <f>J54</f>
        <v>36296000</v>
      </c>
      <c r="L180" s="4">
        <f>Q54</f>
        <v>32666400.000000004</v>
      </c>
      <c r="M180" s="194">
        <f>$H$13</f>
        <v>149.69667216973943</v>
      </c>
      <c r="N180" s="194">
        <f>$AD$12</f>
        <v>149.69667216973943</v>
      </c>
      <c r="O180">
        <f>I180*M180</f>
        <v>80057480.883032307</v>
      </c>
      <c r="P180">
        <f>J180*N180</f>
        <v>72051732.794729084</v>
      </c>
      <c r="R180" t="s">
        <v>97</v>
      </c>
      <c r="S180">
        <f t="shared" ref="S180:T185" si="151">O180+O189</f>
        <v>86766071.758773848</v>
      </c>
      <c r="T180">
        <f t="shared" si="151"/>
        <v>78089464.582896471</v>
      </c>
      <c r="U180" s="194">
        <f>SUM(K180,K189,K198)</f>
        <v>55090125</v>
      </c>
      <c r="V180" s="194">
        <f>SUM(L180,L189,L198)</f>
        <v>49581112.5</v>
      </c>
      <c r="W180" s="210">
        <f>S180/U180</f>
        <v>1.5749841148259121</v>
      </c>
      <c r="X180" s="210">
        <f>T180/V180</f>
        <v>1.5749841148259123</v>
      </c>
    </row>
    <row r="181" spans="8:25" x14ac:dyDescent="0.25">
      <c r="H181" t="s">
        <v>171</v>
      </c>
      <c r="I181" s="220">
        <f t="shared" ref="I181:I185" si="152">S55</f>
        <v>310072</v>
      </c>
      <c r="J181" s="220">
        <f t="shared" ref="J181:J185" si="153">R55</f>
        <v>279064.8</v>
      </c>
      <c r="K181" s="4">
        <f t="shared" ref="K181:K185" si="154">J55</f>
        <v>13580000</v>
      </c>
      <c r="L181" s="4">
        <f t="shared" ref="L181:L185" si="155">Q55</f>
        <v>12222000</v>
      </c>
      <c r="M181" s="194">
        <f t="shared" ref="M181:M185" si="156">$H$13</f>
        <v>149.69667216973943</v>
      </c>
      <c r="N181" s="194">
        <f t="shared" ref="N181:N185" si="157">$AD$12</f>
        <v>149.69667216973943</v>
      </c>
      <c r="O181">
        <f t="shared" ref="O181:P185" si="158">I181*M181</f>
        <v>46416746.533015445</v>
      </c>
      <c r="P181">
        <f t="shared" si="158"/>
        <v>41775071.8797139</v>
      </c>
      <c r="R181" t="s">
        <v>171</v>
      </c>
      <c r="S181">
        <f t="shared" si="151"/>
        <v>52102838.427696005</v>
      </c>
      <c r="T181">
        <f t="shared" si="151"/>
        <v>46892554.584926404</v>
      </c>
      <c r="U181" s="194">
        <f t="shared" ref="U181:V185" si="159">SUM(K181,K190,K199)</f>
        <v>20717500</v>
      </c>
      <c r="V181" s="194">
        <f t="shared" si="159"/>
        <v>18645750</v>
      </c>
      <c r="W181" s="210">
        <f t="shared" ref="W181:X186" si="160">S181/U181</f>
        <v>2.5149191952550263</v>
      </c>
      <c r="X181" s="210">
        <f t="shared" si="160"/>
        <v>2.5149191952550263</v>
      </c>
    </row>
    <row r="182" spans="8:25" x14ac:dyDescent="0.25">
      <c r="H182" t="s">
        <v>100</v>
      </c>
      <c r="I182" s="220">
        <f t="shared" si="152"/>
        <v>508400</v>
      </c>
      <c r="J182" s="220">
        <f t="shared" si="153"/>
        <v>457560</v>
      </c>
      <c r="K182" s="4">
        <f t="shared" si="154"/>
        <v>9984250</v>
      </c>
      <c r="L182" s="4">
        <f t="shared" si="155"/>
        <v>8985825</v>
      </c>
      <c r="M182" s="194">
        <f t="shared" si="156"/>
        <v>149.69667216973943</v>
      </c>
      <c r="N182" s="194">
        <f t="shared" si="157"/>
        <v>149.69667216973943</v>
      </c>
      <c r="O182">
        <f t="shared" si="158"/>
        <v>76105788.131095529</v>
      </c>
      <c r="P182">
        <f t="shared" si="158"/>
        <v>68495209.317985967</v>
      </c>
      <c r="R182" t="s">
        <v>100</v>
      </c>
      <c r="S182">
        <f t="shared" si="151"/>
        <v>82973799.193757653</v>
      </c>
      <c r="T182">
        <f t="shared" si="151"/>
        <v>74676419.274381876</v>
      </c>
      <c r="U182" s="194">
        <f t="shared" si="159"/>
        <v>15018750</v>
      </c>
      <c r="V182" s="194">
        <f t="shared" si="159"/>
        <v>13516875</v>
      </c>
      <c r="W182" s="210">
        <f t="shared" si="160"/>
        <v>5.5246807619647207</v>
      </c>
      <c r="X182" s="210">
        <f t="shared" si="160"/>
        <v>5.5246807619647198</v>
      </c>
    </row>
    <row r="183" spans="8:25" x14ac:dyDescent="0.25">
      <c r="H183" t="s">
        <v>114</v>
      </c>
      <c r="I183" s="220">
        <f t="shared" si="152"/>
        <v>454196</v>
      </c>
      <c r="J183" s="220">
        <f t="shared" si="153"/>
        <v>408776.4</v>
      </c>
      <c r="K183" s="4">
        <f t="shared" si="154"/>
        <v>8234500</v>
      </c>
      <c r="L183" s="4">
        <f t="shared" si="155"/>
        <v>7411050</v>
      </c>
      <c r="M183" s="194">
        <f t="shared" si="156"/>
        <v>149.69667216973943</v>
      </c>
      <c r="N183" s="194">
        <f t="shared" si="157"/>
        <v>149.69667216973943</v>
      </c>
      <c r="O183">
        <f t="shared" si="158"/>
        <v>67991629.71280697</v>
      </c>
      <c r="P183">
        <f t="shared" si="158"/>
        <v>61192466.741526276</v>
      </c>
      <c r="R183" t="s">
        <v>114</v>
      </c>
      <c r="S183">
        <f t="shared" si="151"/>
        <v>74678754.107933462</v>
      </c>
      <c r="T183">
        <f t="shared" si="151"/>
        <v>67210878.697140113</v>
      </c>
      <c r="U183" s="194">
        <f t="shared" si="159"/>
        <v>13455250</v>
      </c>
      <c r="V183" s="194">
        <f t="shared" si="159"/>
        <v>12109725</v>
      </c>
      <c r="W183" s="210">
        <f t="shared" si="160"/>
        <v>5.5501573072171428</v>
      </c>
      <c r="X183" s="210">
        <f t="shared" si="160"/>
        <v>5.5501573072171428</v>
      </c>
    </row>
    <row r="184" spans="8:25" x14ac:dyDescent="0.25">
      <c r="H184" t="s">
        <v>118</v>
      </c>
      <c r="I184" s="220">
        <f t="shared" si="152"/>
        <v>393585</v>
      </c>
      <c r="J184" s="220">
        <f t="shared" si="153"/>
        <v>354226.5</v>
      </c>
      <c r="K184" s="4">
        <f t="shared" si="154"/>
        <v>3975000</v>
      </c>
      <c r="L184" s="4">
        <f t="shared" si="155"/>
        <v>3577500</v>
      </c>
      <c r="M184" s="194">
        <f t="shared" si="156"/>
        <v>149.69667216973943</v>
      </c>
      <c r="N184" s="194">
        <f t="shared" si="157"/>
        <v>149.69667216973943</v>
      </c>
      <c r="O184">
        <f t="shared" si="158"/>
        <v>58918364.715926893</v>
      </c>
      <c r="P184">
        <f t="shared" si="158"/>
        <v>53026528.244334206</v>
      </c>
      <c r="R184" t="s">
        <v>118</v>
      </c>
      <c r="S184">
        <f t="shared" si="151"/>
        <v>64752196.506605148</v>
      </c>
      <c r="T184">
        <f t="shared" si="151"/>
        <v>77790102.440086484</v>
      </c>
      <c r="U184" s="194">
        <f t="shared" si="159"/>
        <v>6666750</v>
      </c>
      <c r="V184" s="194">
        <f t="shared" si="159"/>
        <v>19075664.360119045</v>
      </c>
      <c r="W184" s="210">
        <f t="shared" si="160"/>
        <v>9.7127080671399337</v>
      </c>
      <c r="X184" s="210">
        <f t="shared" si="160"/>
        <v>4.0779760521851109</v>
      </c>
    </row>
    <row r="185" spans="8:25" x14ac:dyDescent="0.25">
      <c r="H185" t="s">
        <v>105</v>
      </c>
      <c r="I185" s="220">
        <f t="shared" si="152"/>
        <v>372240.22000001301</v>
      </c>
      <c r="J185" s="220">
        <f t="shared" si="153"/>
        <v>372240.22000001301</v>
      </c>
      <c r="K185" s="4">
        <f t="shared" si="154"/>
        <v>791000</v>
      </c>
      <c r="L185" s="4">
        <f t="shared" si="155"/>
        <v>791000</v>
      </c>
      <c r="M185" s="194">
        <f t="shared" si="156"/>
        <v>149.69667216973943</v>
      </c>
      <c r="N185" s="194">
        <f t="shared" si="157"/>
        <v>149.69667216973943</v>
      </c>
      <c r="O185">
        <f t="shared" si="158"/>
        <v>55723122.181733631</v>
      </c>
      <c r="P185">
        <f t="shared" si="158"/>
        <v>55723122.181733631</v>
      </c>
      <c r="R185" t="s">
        <v>105</v>
      </c>
      <c r="S185">
        <f t="shared" si="151"/>
        <v>62135286.214864403</v>
      </c>
      <c r="T185">
        <f t="shared" si="151"/>
        <v>62135286.214864403</v>
      </c>
      <c r="U185" s="194">
        <f t="shared" si="159"/>
        <v>1129750</v>
      </c>
      <c r="V185" s="194">
        <f t="shared" si="159"/>
        <v>1129750</v>
      </c>
      <c r="W185" s="210">
        <f t="shared" si="160"/>
        <v>54.999146904062314</v>
      </c>
      <c r="X185" s="210">
        <f t="shared" si="160"/>
        <v>54.999146904062314</v>
      </c>
    </row>
    <row r="186" spans="8:25" x14ac:dyDescent="0.25">
      <c r="I186">
        <f>SUM(I180:I185)</f>
        <v>2573291.2200000128</v>
      </c>
      <c r="J186">
        <f>SUM(J180:J185)</f>
        <v>2353186.1200000132</v>
      </c>
      <c r="K186">
        <f>SUM(K180:K185)</f>
        <v>72860750</v>
      </c>
      <c r="L186">
        <f>SUM(L180:L185)</f>
        <v>65653775</v>
      </c>
      <c r="O186">
        <f>SUM(O180:O185)</f>
        <v>385213132.15761077</v>
      </c>
      <c r="P186">
        <f>SUM(P180:P185)</f>
        <v>352264131.16002303</v>
      </c>
      <c r="R186" t="s">
        <v>296</v>
      </c>
      <c r="S186">
        <f>SUM(S180:S185)</f>
        <v>423408946.20963049</v>
      </c>
      <c r="T186">
        <f t="shared" ref="T186:V186" si="161">SUM(T180:T185)</f>
        <v>406794705.79429579</v>
      </c>
      <c r="U186">
        <f t="shared" si="161"/>
        <v>112078125</v>
      </c>
      <c r="V186">
        <f t="shared" si="161"/>
        <v>114058876.86011904</v>
      </c>
      <c r="W186" s="210">
        <f t="shared" si="160"/>
        <v>3.7778018342975535</v>
      </c>
      <c r="X186" s="210">
        <f t="shared" si="160"/>
        <v>3.5665326276462093</v>
      </c>
    </row>
    <row r="188" spans="8:25" x14ac:dyDescent="0.25">
      <c r="H188" t="s">
        <v>158</v>
      </c>
      <c r="I188" s="4" t="s">
        <v>325</v>
      </c>
      <c r="J188" s="4" t="s">
        <v>326</v>
      </c>
      <c r="K188" s="4" t="s">
        <v>327</v>
      </c>
      <c r="L188" s="4" t="s">
        <v>328</v>
      </c>
      <c r="M188" s="4" t="s">
        <v>322</v>
      </c>
      <c r="N188" s="4" t="s">
        <v>306</v>
      </c>
      <c r="O188" s="4" t="s">
        <v>323</v>
      </c>
      <c r="P188" s="4" t="s">
        <v>324</v>
      </c>
    </row>
    <row r="189" spans="8:25" x14ac:dyDescent="0.25">
      <c r="H189" t="s">
        <v>97</v>
      </c>
      <c r="I189" s="220">
        <f>S68</f>
        <v>42502</v>
      </c>
      <c r="J189" s="220">
        <f>R68</f>
        <v>38251.799999999996</v>
      </c>
      <c r="K189">
        <f>J68</f>
        <v>10182250</v>
      </c>
      <c r="L189">
        <f>Q68</f>
        <v>9164025</v>
      </c>
      <c r="M189" s="194">
        <f>$H$14</f>
        <v>157.84176922830778</v>
      </c>
      <c r="N189" s="194">
        <f>$AD$13</f>
        <v>157.84176922830778</v>
      </c>
      <c r="O189">
        <f t="shared" ref="O189:P194" si="162">I189*M189</f>
        <v>6708590.8757415377</v>
      </c>
      <c r="P189">
        <f t="shared" si="162"/>
        <v>6037731.7881673826</v>
      </c>
    </row>
    <row r="190" spans="8:25" x14ac:dyDescent="0.25">
      <c r="H190" t="s">
        <v>171</v>
      </c>
      <c r="I190" s="220">
        <f t="shared" ref="I190:I194" si="163">S69</f>
        <v>36024</v>
      </c>
      <c r="J190" s="220">
        <f t="shared" ref="J190:J194" si="164">R69</f>
        <v>32421.600000000002</v>
      </c>
      <c r="K190">
        <f t="shared" ref="K190:K194" si="165">J69</f>
        <v>4291500</v>
      </c>
      <c r="L190">
        <f t="shared" ref="L190:L194" si="166">Q69</f>
        <v>3862350.0000000005</v>
      </c>
      <c r="M190" s="194">
        <f t="shared" ref="M190:M194" si="167">$H$14</f>
        <v>157.84176922830778</v>
      </c>
      <c r="N190" s="194">
        <f t="shared" ref="N190:N194" si="168">$AD$13</f>
        <v>157.84176922830778</v>
      </c>
      <c r="O190">
        <f t="shared" si="162"/>
        <v>5686091.8946805596</v>
      </c>
      <c r="P190">
        <f t="shared" si="162"/>
        <v>5117482.7052125037</v>
      </c>
    </row>
    <row r="191" spans="8:25" x14ac:dyDescent="0.25">
      <c r="H191" t="s">
        <v>100</v>
      </c>
      <c r="I191" s="220">
        <f t="shared" si="163"/>
        <v>43512</v>
      </c>
      <c r="J191" s="220">
        <f t="shared" si="164"/>
        <v>39160.799999999996</v>
      </c>
      <c r="K191">
        <f t="shared" si="165"/>
        <v>3114500</v>
      </c>
      <c r="L191">
        <f t="shared" si="166"/>
        <v>2803050</v>
      </c>
      <c r="M191" s="194">
        <f t="shared" si="167"/>
        <v>157.84176922830778</v>
      </c>
      <c r="N191" s="194">
        <f t="shared" si="168"/>
        <v>157.84176922830778</v>
      </c>
      <c r="O191">
        <f t="shared" si="162"/>
        <v>6868011.0626621284</v>
      </c>
      <c r="P191">
        <f t="shared" si="162"/>
        <v>6181209.9563959148</v>
      </c>
    </row>
    <row r="192" spans="8:25" x14ac:dyDescent="0.25">
      <c r="H192" t="s">
        <v>114</v>
      </c>
      <c r="I192" s="220">
        <f t="shared" si="163"/>
        <v>42366</v>
      </c>
      <c r="J192" s="220">
        <f t="shared" si="164"/>
        <v>38129.4</v>
      </c>
      <c r="K192">
        <f t="shared" si="165"/>
        <v>3009000</v>
      </c>
      <c r="L192">
        <f t="shared" si="166"/>
        <v>2708100.0000000005</v>
      </c>
      <c r="M192" s="194">
        <f t="shared" si="167"/>
        <v>157.84176922830778</v>
      </c>
      <c r="N192" s="194">
        <f t="shared" si="168"/>
        <v>157.84176922830778</v>
      </c>
      <c r="O192">
        <f t="shared" si="162"/>
        <v>6687124.3951264871</v>
      </c>
      <c r="P192">
        <f t="shared" si="162"/>
        <v>6018411.9556138394</v>
      </c>
    </row>
    <row r="193" spans="8:16" x14ac:dyDescent="0.25">
      <c r="H193" t="s">
        <v>118</v>
      </c>
      <c r="I193" s="220">
        <f t="shared" si="163"/>
        <v>36960</v>
      </c>
      <c r="J193" s="220">
        <f t="shared" si="164"/>
        <v>156888.59999999998</v>
      </c>
      <c r="K193">
        <f t="shared" si="165"/>
        <v>1653250</v>
      </c>
      <c r="L193">
        <f t="shared" si="166"/>
        <v>7017751.0267857127</v>
      </c>
      <c r="M193" s="194">
        <f t="shared" si="167"/>
        <v>157.84176922830778</v>
      </c>
      <c r="N193" s="194">
        <f t="shared" si="168"/>
        <v>157.84176922830778</v>
      </c>
      <c r="O193">
        <f t="shared" si="162"/>
        <v>5833831.7906782553</v>
      </c>
      <c r="P193">
        <f t="shared" si="162"/>
        <v>24763574.195752285</v>
      </c>
    </row>
    <row r="194" spans="8:16" x14ac:dyDescent="0.25">
      <c r="H194" t="s">
        <v>105</v>
      </c>
      <c r="I194" s="220">
        <f t="shared" si="163"/>
        <v>40624</v>
      </c>
      <c r="J194" s="220">
        <f t="shared" si="164"/>
        <v>40624</v>
      </c>
      <c r="K194">
        <f t="shared" si="165"/>
        <v>306250</v>
      </c>
      <c r="L194">
        <f t="shared" si="166"/>
        <v>306250</v>
      </c>
      <c r="M194" s="194">
        <f t="shared" si="167"/>
        <v>157.84176922830778</v>
      </c>
      <c r="N194" s="194">
        <f t="shared" si="168"/>
        <v>157.84176922830778</v>
      </c>
      <c r="O194">
        <f t="shared" si="162"/>
        <v>6412164.0331307752</v>
      </c>
      <c r="P194">
        <f t="shared" si="162"/>
        <v>6412164.0331307752</v>
      </c>
    </row>
    <row r="195" spans="8:16" x14ac:dyDescent="0.25">
      <c r="I195">
        <f>SUM(I189:I194)</f>
        <v>241988</v>
      </c>
      <c r="J195">
        <f>SUM(J189:J194)</f>
        <v>345476.19999999995</v>
      </c>
      <c r="K195">
        <f>SUM(K189:K194)</f>
        <v>22556750</v>
      </c>
      <c r="L195">
        <f>SUM(L189:L194)</f>
        <v>25861526.026785713</v>
      </c>
      <c r="O195">
        <f>SUM(O189:O194)</f>
        <v>38195814.052019745</v>
      </c>
      <c r="P195">
        <f>SUM(P189:P194)</f>
        <v>54530574.634272702</v>
      </c>
    </row>
    <row r="197" spans="8:16" x14ac:dyDescent="0.25">
      <c r="H197" t="s">
        <v>158</v>
      </c>
      <c r="I197" s="4" t="s">
        <v>329</v>
      </c>
      <c r="J197" s="4" t="s">
        <v>330</v>
      </c>
      <c r="K197" s="4" t="s">
        <v>331</v>
      </c>
      <c r="L197" s="4" t="s">
        <v>332</v>
      </c>
      <c r="M197" s="4" t="s">
        <v>322</v>
      </c>
      <c r="N197" s="4" t="s">
        <v>306</v>
      </c>
      <c r="O197" s="4" t="s">
        <v>323</v>
      </c>
      <c r="P197" s="4" t="s">
        <v>324</v>
      </c>
    </row>
    <row r="198" spans="8:16" x14ac:dyDescent="0.25">
      <c r="H198" t="s">
        <v>97</v>
      </c>
      <c r="I198" s="220">
        <f>S83</f>
        <v>6795</v>
      </c>
      <c r="J198" s="220">
        <f>R83</f>
        <v>6115.5</v>
      </c>
      <c r="K198">
        <f>J83</f>
        <v>8611875</v>
      </c>
      <c r="L198">
        <f>Q83</f>
        <v>7750687.5</v>
      </c>
      <c r="M198" s="194">
        <f>$H$15</f>
        <v>158.63947651733315</v>
      </c>
      <c r="N198" s="194">
        <f>$AD$14</f>
        <v>158.63947651733315</v>
      </c>
      <c r="O198">
        <f t="shared" ref="O198:P203" si="169">I198*M198</f>
        <v>1077955.2429352787</v>
      </c>
      <c r="P198">
        <f t="shared" si="169"/>
        <v>970159.71864175086</v>
      </c>
    </row>
    <row r="199" spans="8:16" x14ac:dyDescent="0.25">
      <c r="H199" t="s">
        <v>171</v>
      </c>
      <c r="I199" s="220">
        <f t="shared" ref="I199:I203" si="170">S84</f>
        <v>5018</v>
      </c>
      <c r="J199" s="220">
        <f t="shared" ref="J199:J203" si="171">R84</f>
        <v>4516.2000000000007</v>
      </c>
      <c r="K199">
        <f t="shared" ref="K199:K203" si="172">J84</f>
        <v>2846000</v>
      </c>
      <c r="L199">
        <f t="shared" ref="L199:L203" si="173">Q84</f>
        <v>2561400.0000000005</v>
      </c>
      <c r="M199" s="194">
        <f t="shared" ref="M199:M203" si="174">$H$15</f>
        <v>158.63947651733315</v>
      </c>
      <c r="N199" s="194">
        <f t="shared" ref="N199:N203" si="175">$AD$14</f>
        <v>158.63947651733315</v>
      </c>
      <c r="O199">
        <f t="shared" si="169"/>
        <v>796052.89316397777</v>
      </c>
      <c r="P199">
        <f t="shared" si="169"/>
        <v>716447.60384758015</v>
      </c>
    </row>
    <row r="200" spans="8:16" x14ac:dyDescent="0.25">
      <c r="H200" t="s">
        <v>100</v>
      </c>
      <c r="I200" s="220">
        <f t="shared" si="170"/>
        <v>7866</v>
      </c>
      <c r="J200" s="220">
        <f t="shared" si="171"/>
        <v>7079.4000000000005</v>
      </c>
      <c r="K200">
        <f t="shared" si="172"/>
        <v>1920000</v>
      </c>
      <c r="L200">
        <f t="shared" si="173"/>
        <v>1728000.0000000002</v>
      </c>
      <c r="M200" s="194">
        <f t="shared" si="174"/>
        <v>158.63947651733315</v>
      </c>
      <c r="N200" s="194">
        <f t="shared" si="175"/>
        <v>158.63947651733315</v>
      </c>
      <c r="O200">
        <f t="shared" si="169"/>
        <v>1247858.1222853425</v>
      </c>
      <c r="P200">
        <f t="shared" si="169"/>
        <v>1123072.3100568084</v>
      </c>
    </row>
    <row r="201" spans="8:16" x14ac:dyDescent="0.25">
      <c r="H201" t="s">
        <v>114</v>
      </c>
      <c r="I201" s="220">
        <f t="shared" si="170"/>
        <v>6660</v>
      </c>
      <c r="J201" s="220">
        <f t="shared" si="171"/>
        <v>5994</v>
      </c>
      <c r="K201">
        <f t="shared" si="172"/>
        <v>2211750</v>
      </c>
      <c r="L201">
        <f t="shared" si="173"/>
        <v>1990574.9999999998</v>
      </c>
      <c r="M201" s="194">
        <f t="shared" si="174"/>
        <v>158.63947651733315</v>
      </c>
      <c r="N201" s="194">
        <f t="shared" si="175"/>
        <v>158.63947651733315</v>
      </c>
      <c r="O201">
        <f t="shared" si="169"/>
        <v>1056538.9136054388</v>
      </c>
      <c r="P201">
        <f t="shared" si="169"/>
        <v>950885.02224489488</v>
      </c>
    </row>
    <row r="202" spans="8:16" x14ac:dyDescent="0.25">
      <c r="H202" t="s">
        <v>118</v>
      </c>
      <c r="I202" s="220">
        <f t="shared" si="170"/>
        <v>4557</v>
      </c>
      <c r="J202" s="220">
        <f t="shared" si="171"/>
        <v>37212.560000000005</v>
      </c>
      <c r="K202">
        <f t="shared" si="172"/>
        <v>1038500</v>
      </c>
      <c r="L202">
        <f t="shared" si="173"/>
        <v>8480413.333333334</v>
      </c>
      <c r="M202" s="194">
        <f t="shared" si="174"/>
        <v>158.63947651733315</v>
      </c>
      <c r="N202" s="194">
        <f t="shared" si="175"/>
        <v>158.63947651733315</v>
      </c>
      <c r="O202">
        <f t="shared" si="169"/>
        <v>722920.09448948712</v>
      </c>
      <c r="P202">
        <f t="shared" si="169"/>
        <v>5903381.0382698514</v>
      </c>
    </row>
    <row r="203" spans="8:16" x14ac:dyDescent="0.25">
      <c r="H203" t="s">
        <v>105</v>
      </c>
      <c r="I203" s="220">
        <f t="shared" si="170"/>
        <v>326</v>
      </c>
      <c r="J203" s="220">
        <f t="shared" si="171"/>
        <v>326</v>
      </c>
      <c r="K203">
        <f t="shared" si="172"/>
        <v>32500</v>
      </c>
      <c r="L203">
        <f t="shared" si="173"/>
        <v>32499.999999999996</v>
      </c>
      <c r="M203" s="194">
        <f t="shared" si="174"/>
        <v>158.63947651733315</v>
      </c>
      <c r="N203" s="194">
        <f t="shared" si="175"/>
        <v>158.63947651733315</v>
      </c>
      <c r="O203">
        <f t="shared" si="169"/>
        <v>51716.469344650606</v>
      </c>
      <c r="P203">
        <f t="shared" si="169"/>
        <v>51716.469344650606</v>
      </c>
    </row>
    <row r="204" spans="8:16" x14ac:dyDescent="0.25">
      <c r="I204">
        <f>SUM(I198:I203)</f>
        <v>31222</v>
      </c>
      <c r="J204">
        <f>SUM(J198:J203)</f>
        <v>61243.66</v>
      </c>
      <c r="K204">
        <f>SUM(K198:K203)</f>
        <v>16660625</v>
      </c>
      <c r="L204">
        <f>SUM(L198:L203)</f>
        <v>22543575.833333336</v>
      </c>
      <c r="M204" s="194"/>
      <c r="N204" s="194"/>
      <c r="O204">
        <f>SUM(O198:O203)</f>
        <v>4953041.7358241752</v>
      </c>
      <c r="P204">
        <f>SUM(P198:P203)</f>
        <v>9715662.1624055374</v>
      </c>
    </row>
    <row r="210" spans="8:24" x14ac:dyDescent="0.25">
      <c r="H210" t="s">
        <v>203</v>
      </c>
      <c r="I210" s="4" t="s">
        <v>318</v>
      </c>
      <c r="J210" s="4" t="s">
        <v>319</v>
      </c>
      <c r="K210" s="4" t="s">
        <v>320</v>
      </c>
      <c r="L210" s="4" t="s">
        <v>321</v>
      </c>
      <c r="M210" s="4" t="s">
        <v>322</v>
      </c>
      <c r="N210" s="4" t="s">
        <v>306</v>
      </c>
      <c r="O210" s="4" t="s">
        <v>323</v>
      </c>
      <c r="P210" s="4" t="s">
        <v>324</v>
      </c>
      <c r="R210" t="s">
        <v>203</v>
      </c>
      <c r="S210" s="4" t="s">
        <v>333</v>
      </c>
      <c r="T210" s="4" t="s">
        <v>334</v>
      </c>
      <c r="U210" s="4" t="s">
        <v>335</v>
      </c>
      <c r="V210" s="4" t="s">
        <v>336</v>
      </c>
      <c r="W210" s="4" t="s">
        <v>337</v>
      </c>
      <c r="X210" s="4" t="s">
        <v>338</v>
      </c>
    </row>
    <row r="211" spans="8:24" x14ac:dyDescent="0.25">
      <c r="H211" s="380" t="s">
        <v>104</v>
      </c>
      <c r="I211" s="210">
        <f>R106</f>
        <v>330812.41870578646</v>
      </c>
      <c r="J211" s="210">
        <f>S106</f>
        <v>426168.12033307017</v>
      </c>
      <c r="K211" s="210">
        <f>L106</f>
        <v>17408673.990000002</v>
      </c>
      <c r="L211" s="210">
        <f>O106</f>
        <v>22426672.797939125</v>
      </c>
      <c r="M211" s="194">
        <f>$H$13</f>
        <v>149.69667216973943</v>
      </c>
      <c r="N211" s="194">
        <f>$AD$12</f>
        <v>149.69667216973943</v>
      </c>
      <c r="O211">
        <f t="shared" ref="O211:P214" si="176">I211*M211</f>
        <v>49521518.19267869</v>
      </c>
      <c r="P211">
        <f t="shared" si="176"/>
        <v>63795949.398693666</v>
      </c>
      <c r="R211" s="380" t="s">
        <v>104</v>
      </c>
      <c r="S211">
        <f>SUM(O211,O222,O233)</f>
        <v>74228053.364540413</v>
      </c>
      <c r="T211">
        <f>SUM(P211,P222,P233)</f>
        <v>101790609.4024024</v>
      </c>
      <c r="U211" s="210">
        <f>SUM(K211,K222,K233)</f>
        <v>30489260.990000002</v>
      </c>
      <c r="V211" s="210">
        <f>SUM(L211,L222,L233)</f>
        <v>42063852.85931652</v>
      </c>
      <c r="W211" s="210">
        <f>S211/U211</f>
        <v>2.4345638744371683</v>
      </c>
      <c r="X211" s="210">
        <f>T211/V211</f>
        <v>2.4199069386925474</v>
      </c>
    </row>
    <row r="212" spans="8:24" x14ac:dyDescent="0.25">
      <c r="H212" s="380" t="s">
        <v>106</v>
      </c>
      <c r="I212" s="210">
        <f>R109</f>
        <v>345324.74877134745</v>
      </c>
      <c r="J212" s="210">
        <f>S109</f>
        <v>377865.02034483908</v>
      </c>
      <c r="K212" s="210">
        <f>L109</f>
        <v>11844012.949999999</v>
      </c>
      <c r="L212" s="210">
        <f>O109</f>
        <v>12960085.282736696</v>
      </c>
      <c r="M212" s="194">
        <f t="shared" ref="M212:M214" si="177">$H$13</f>
        <v>149.69667216973943</v>
      </c>
      <c r="N212" s="194">
        <f t="shared" ref="N212:N214" si="178">$AD$12</f>
        <v>149.69667216973943</v>
      </c>
      <c r="O212">
        <f t="shared" si="176"/>
        <v>51693965.708922029</v>
      </c>
      <c r="P212">
        <f t="shared" si="176"/>
        <v>56565136.074973293</v>
      </c>
      <c r="R212" s="380" t="s">
        <v>106</v>
      </c>
      <c r="S212">
        <f t="shared" ref="S212:T216" si="179">SUM(O212,O223,O234)</f>
        <v>55521989.150330804</v>
      </c>
      <c r="T212">
        <f t="shared" si="179"/>
        <v>95117291.419085398</v>
      </c>
      <c r="U212" s="210">
        <f t="shared" ref="U212:V216" si="180">SUM(K212,K223,K234)</f>
        <v>13222267.549999999</v>
      </c>
      <c r="V212" s="210">
        <f t="shared" si="180"/>
        <v>22491043.651359417</v>
      </c>
      <c r="W212" s="210">
        <f t="shared" ref="W212:X217" si="181">S212/U212</f>
        <v>4.1991276413349246</v>
      </c>
      <c r="X212" s="210">
        <f t="shared" si="181"/>
        <v>4.2291186168826922</v>
      </c>
    </row>
    <row r="213" spans="8:24" x14ac:dyDescent="0.25">
      <c r="H213" s="380" t="s">
        <v>109</v>
      </c>
      <c r="I213" s="210">
        <f>R107</f>
        <v>161124.7555030415</v>
      </c>
      <c r="J213" s="210">
        <f>S107</f>
        <v>161124.75550357281</v>
      </c>
      <c r="K213" s="210">
        <f>L107</f>
        <v>6755882.290000001</v>
      </c>
      <c r="L213" s="210">
        <f>O107</f>
        <v>6755882.2900222782</v>
      </c>
      <c r="M213" s="194">
        <f t="shared" si="177"/>
        <v>149.69667216973943</v>
      </c>
      <c r="N213" s="194">
        <f t="shared" si="178"/>
        <v>149.69667216973943</v>
      </c>
      <c r="O213">
        <f t="shared" si="176"/>
        <v>24119839.702968221</v>
      </c>
      <c r="P213">
        <f t="shared" si="176"/>
        <v>24119839.70304776</v>
      </c>
      <c r="R213" s="380" t="s">
        <v>109</v>
      </c>
      <c r="S213">
        <f t="shared" si="179"/>
        <v>24502835.406229813</v>
      </c>
      <c r="T213">
        <f t="shared" si="179"/>
        <v>24502835.406309351</v>
      </c>
      <c r="U213" s="210">
        <f t="shared" si="180"/>
        <v>8974495.5899999999</v>
      </c>
      <c r="V213" s="210">
        <f t="shared" si="180"/>
        <v>8974495.5900222771</v>
      </c>
      <c r="W213" s="210">
        <f t="shared" si="181"/>
        <v>2.7302743826107125</v>
      </c>
      <c r="X213" s="210">
        <f t="shared" si="181"/>
        <v>2.730274382612798</v>
      </c>
    </row>
    <row r="214" spans="8:24" x14ac:dyDescent="0.25">
      <c r="H214" s="380" t="s">
        <v>111</v>
      </c>
      <c r="I214" s="210">
        <f>R108</f>
        <v>216576.12318924328</v>
      </c>
      <c r="J214" s="210">
        <f>S108</f>
        <v>216576.12318924328</v>
      </c>
      <c r="K214" s="210">
        <f>L108</f>
        <v>1912075.4900000002</v>
      </c>
      <c r="L214" s="210">
        <f>O108</f>
        <v>1912075.49</v>
      </c>
      <c r="M214" s="194">
        <f t="shared" si="177"/>
        <v>149.69667216973943</v>
      </c>
      <c r="N214" s="194">
        <f t="shared" si="178"/>
        <v>149.69667216973943</v>
      </c>
      <c r="O214">
        <f t="shared" si="176"/>
        <v>32420724.912853252</v>
      </c>
      <c r="P214">
        <f t="shared" si="176"/>
        <v>32420724.912853252</v>
      </c>
      <c r="R214" s="380" t="s">
        <v>111</v>
      </c>
      <c r="S214">
        <f t="shared" si="179"/>
        <v>36628154.92210637</v>
      </c>
      <c r="T214">
        <f t="shared" si="179"/>
        <v>36628154.92210637</v>
      </c>
      <c r="U214" s="210">
        <f t="shared" si="180"/>
        <v>14287699.689999999</v>
      </c>
      <c r="V214" s="210">
        <f t="shared" si="180"/>
        <v>14287699.689999999</v>
      </c>
      <c r="W214" s="210">
        <f t="shared" si="181"/>
        <v>2.5636145577543541</v>
      </c>
      <c r="X214" s="210">
        <f t="shared" si="181"/>
        <v>2.5636145577543541</v>
      </c>
    </row>
    <row r="215" spans="8:24" x14ac:dyDescent="0.25">
      <c r="H215" s="380" t="s">
        <v>121</v>
      </c>
      <c r="R215" s="380" t="s">
        <v>121</v>
      </c>
      <c r="S215">
        <f t="shared" si="179"/>
        <v>1647233.0044177258</v>
      </c>
      <c r="T215">
        <f t="shared" si="179"/>
        <v>1647233.0044176984</v>
      </c>
      <c r="U215" s="210">
        <f t="shared" si="180"/>
        <v>1581466</v>
      </c>
      <c r="V215" s="210">
        <f t="shared" si="180"/>
        <v>1581465.9999999739</v>
      </c>
      <c r="W215" s="210">
        <f t="shared" si="181"/>
        <v>1.0415861007557077</v>
      </c>
      <c r="X215" s="210">
        <f t="shared" si="181"/>
        <v>1.0415861007557075</v>
      </c>
    </row>
    <row r="216" spans="8:24" x14ac:dyDescent="0.25">
      <c r="H216" s="380" t="s">
        <v>211</v>
      </c>
      <c r="R216" s="380" t="s">
        <v>211</v>
      </c>
      <c r="S216">
        <f t="shared" si="179"/>
        <v>801595.80870081147</v>
      </c>
      <c r="T216">
        <f t="shared" si="179"/>
        <v>801595.80870081147</v>
      </c>
      <c r="U216" s="210">
        <f t="shared" si="180"/>
        <v>731420.4</v>
      </c>
      <c r="V216" s="210">
        <f t="shared" si="180"/>
        <v>731420.4</v>
      </c>
      <c r="W216" s="210">
        <f t="shared" si="181"/>
        <v>1.0959440134576659</v>
      </c>
      <c r="X216" s="210">
        <f t="shared" si="181"/>
        <v>1.0959440134576659</v>
      </c>
    </row>
    <row r="217" spans="8:24" x14ac:dyDescent="0.25">
      <c r="I217" s="210">
        <f>SUM(I211:I216)</f>
        <v>1053838.0461694186</v>
      </c>
      <c r="J217" s="210">
        <f t="shared" ref="J217:L217" si="182">SUM(J211:J216)</f>
        <v>1181734.0193707254</v>
      </c>
      <c r="K217" s="210">
        <f t="shared" si="182"/>
        <v>37920644.720000006</v>
      </c>
      <c r="L217" s="210">
        <f t="shared" si="182"/>
        <v>44054715.860698104</v>
      </c>
      <c r="O217">
        <f>SUM(O211:O216)</f>
        <v>157756048.5174222</v>
      </c>
      <c r="P217">
        <f>SUM(P211:P216)</f>
        <v>176901650.08956796</v>
      </c>
      <c r="S217">
        <f>SUM(S211:S216)</f>
        <v>193329861.65632594</v>
      </c>
      <c r="T217">
        <f t="shared" ref="T217:V217" si="183">SUM(T211:T216)</f>
        <v>260487719.96302202</v>
      </c>
      <c r="U217">
        <f t="shared" si="183"/>
        <v>69286610.219999999</v>
      </c>
      <c r="V217">
        <f t="shared" si="183"/>
        <v>90129978.190698192</v>
      </c>
      <c r="W217" s="210">
        <f t="shared" si="181"/>
        <v>2.7902918189021189</v>
      </c>
      <c r="X217" s="210">
        <f t="shared" si="181"/>
        <v>2.8901340618531903</v>
      </c>
    </row>
    <row r="221" spans="8:24" x14ac:dyDescent="0.25">
      <c r="H221" t="s">
        <v>203</v>
      </c>
      <c r="I221" s="4" t="s">
        <v>325</v>
      </c>
      <c r="J221" s="4" t="s">
        <v>326</v>
      </c>
      <c r="K221" s="4" t="s">
        <v>327</v>
      </c>
      <c r="L221" s="4" t="s">
        <v>328</v>
      </c>
      <c r="M221" s="4" t="s">
        <v>322</v>
      </c>
      <c r="N221" s="4" t="s">
        <v>306</v>
      </c>
      <c r="O221" s="4" t="s">
        <v>323</v>
      </c>
      <c r="P221" s="4" t="s">
        <v>324</v>
      </c>
    </row>
    <row r="222" spans="8:24" x14ac:dyDescent="0.25">
      <c r="H222" s="380" t="s">
        <v>104</v>
      </c>
      <c r="I222" s="210">
        <f>R119</f>
        <v>68897.170111430009</v>
      </c>
      <c r="J222" s="210">
        <f>S119</f>
        <v>111398.81807607548</v>
      </c>
      <c r="K222" s="210">
        <f>L119</f>
        <v>2367586</v>
      </c>
      <c r="L222" s="210">
        <f>O119</f>
        <v>3828114.8800000981</v>
      </c>
      <c r="M222" s="194">
        <f t="shared" ref="M222:M227" si="184">$H$14</f>
        <v>157.84176922830778</v>
      </c>
      <c r="N222" s="194">
        <f t="shared" ref="N222:N227" si="185">$AD$13</f>
        <v>157.84176922830778</v>
      </c>
      <c r="O222">
        <f t="shared" ref="O222:P227" si="186">I222*M222</f>
        <v>10874851.225211799</v>
      </c>
      <c r="P222">
        <f t="shared" si="186"/>
        <v>17583386.535070147</v>
      </c>
    </row>
    <row r="223" spans="8:24" x14ac:dyDescent="0.25">
      <c r="H223" s="380" t="s">
        <v>106</v>
      </c>
      <c r="I223" s="210">
        <f>R121</f>
        <v>8642.1034914030006</v>
      </c>
      <c r="J223" s="210">
        <f>S121</f>
        <v>8642.1034914030006</v>
      </c>
      <c r="K223" s="210">
        <f>L121</f>
        <v>799758.9</v>
      </c>
      <c r="L223" s="210">
        <f>O121</f>
        <v>799758.9</v>
      </c>
      <c r="M223" s="194">
        <f t="shared" si="184"/>
        <v>157.84176922830778</v>
      </c>
      <c r="N223" s="194">
        <f t="shared" si="185"/>
        <v>157.84176922830778</v>
      </c>
      <c r="O223">
        <f t="shared" si="186"/>
        <v>1364084.9049371853</v>
      </c>
      <c r="P223">
        <f t="shared" si="186"/>
        <v>1364084.9049371853</v>
      </c>
    </row>
    <row r="224" spans="8:24" x14ac:dyDescent="0.25">
      <c r="H224" s="380" t="s">
        <v>109</v>
      </c>
      <c r="I224" s="210">
        <f>R120</f>
        <v>1055.6836176014999</v>
      </c>
      <c r="J224" s="210">
        <f>S120</f>
        <v>1055.6836176014999</v>
      </c>
      <c r="K224" s="210">
        <f>L120</f>
        <v>969664.3</v>
      </c>
      <c r="L224" s="210">
        <f>O120</f>
        <v>969664.3</v>
      </c>
      <c r="M224" s="194">
        <f t="shared" si="184"/>
        <v>157.84176922830778</v>
      </c>
      <c r="N224" s="194">
        <f t="shared" si="185"/>
        <v>157.84176922830778</v>
      </c>
      <c r="O224">
        <f t="shared" si="186"/>
        <v>166630.96994756107</v>
      </c>
      <c r="P224">
        <f t="shared" si="186"/>
        <v>166630.96994756107</v>
      </c>
    </row>
    <row r="225" spans="8:16" x14ac:dyDescent="0.25">
      <c r="H225" s="380" t="s">
        <v>111</v>
      </c>
      <c r="M225" s="194">
        <f t="shared" si="184"/>
        <v>157.84176922830778</v>
      </c>
      <c r="N225" s="194">
        <f t="shared" si="185"/>
        <v>157.84176922830778</v>
      </c>
      <c r="O225">
        <f t="shared" si="186"/>
        <v>0</v>
      </c>
      <c r="P225">
        <f t="shared" si="186"/>
        <v>0</v>
      </c>
    </row>
    <row r="226" spans="8:16" x14ac:dyDescent="0.25">
      <c r="H226" s="380" t="s">
        <v>121</v>
      </c>
      <c r="M226" s="194">
        <f t="shared" si="184"/>
        <v>157.84176922830778</v>
      </c>
      <c r="N226" s="194">
        <f t="shared" si="185"/>
        <v>157.84176922830778</v>
      </c>
      <c r="O226">
        <f t="shared" si="186"/>
        <v>0</v>
      </c>
      <c r="P226">
        <f t="shared" si="186"/>
        <v>0</v>
      </c>
    </row>
    <row r="227" spans="8:16" x14ac:dyDescent="0.25">
      <c r="H227" s="380" t="s">
        <v>211</v>
      </c>
      <c r="I227" s="210">
        <f>R118</f>
        <v>5078.4770889215997</v>
      </c>
      <c r="J227" s="210">
        <f>S118</f>
        <v>5078.4770889215997</v>
      </c>
      <c r="K227" s="210">
        <f>L118</f>
        <v>731420.4</v>
      </c>
      <c r="L227" s="210">
        <f>O118</f>
        <v>731420.4</v>
      </c>
      <c r="M227" s="194">
        <f t="shared" si="184"/>
        <v>157.84176922830778</v>
      </c>
      <c r="N227" s="194">
        <f t="shared" si="185"/>
        <v>157.84176922830778</v>
      </c>
      <c r="O227">
        <f t="shared" si="186"/>
        <v>801595.80870081147</v>
      </c>
      <c r="P227">
        <f t="shared" si="186"/>
        <v>801595.80870081147</v>
      </c>
    </row>
    <row r="228" spans="8:16" x14ac:dyDescent="0.25">
      <c r="I228" s="210">
        <f>SUM(I222:I227)</f>
        <v>83673.434309356118</v>
      </c>
      <c r="J228" s="210">
        <f t="shared" ref="J228:L228" si="187">SUM(J222:J227)</f>
        <v>126175.08227400159</v>
      </c>
      <c r="K228" s="210">
        <f t="shared" si="187"/>
        <v>4868429.6000000006</v>
      </c>
      <c r="L228" s="210">
        <f t="shared" si="187"/>
        <v>6328958.4800000982</v>
      </c>
      <c r="M228" s="194"/>
      <c r="N228" s="194"/>
      <c r="O228">
        <f>SUM(O222:O227)</f>
        <v>13207162.908797357</v>
      </c>
      <c r="P228">
        <f>SUM(P222:P227)</f>
        <v>19915698.218655705</v>
      </c>
    </row>
    <row r="232" spans="8:16" x14ac:dyDescent="0.25">
      <c r="H232" t="s">
        <v>203</v>
      </c>
      <c r="I232" s="4" t="s">
        <v>329</v>
      </c>
      <c r="J232" s="4" t="s">
        <v>330</v>
      </c>
      <c r="K232" s="4" t="s">
        <v>331</v>
      </c>
      <c r="L232" s="4" t="s">
        <v>332</v>
      </c>
      <c r="M232" s="4" t="s">
        <v>322</v>
      </c>
      <c r="N232" s="4" t="s">
        <v>306</v>
      </c>
      <c r="O232" s="4" t="s">
        <v>323</v>
      </c>
      <c r="P232" s="4" t="s">
        <v>324</v>
      </c>
    </row>
    <row r="233" spans="8:16" x14ac:dyDescent="0.25">
      <c r="H233" s="380" t="s">
        <v>104</v>
      </c>
      <c r="I233" s="210">
        <f>R130</f>
        <v>87189.420000000158</v>
      </c>
      <c r="J233" s="210">
        <f>S130</f>
        <v>128664.52863268506</v>
      </c>
      <c r="K233" s="210">
        <f>L130</f>
        <v>10713001</v>
      </c>
      <c r="L233" s="210">
        <f>O130</f>
        <v>15809065.181377295</v>
      </c>
      <c r="M233" s="194">
        <f t="shared" ref="M233:M237" si="188">$H$15</f>
        <v>158.63947651733315</v>
      </c>
      <c r="N233" s="194">
        <f t="shared" ref="N233:N237" si="189">$AD$14</f>
        <v>158.63947651733315</v>
      </c>
      <c r="O233">
        <f t="shared" ref="O233:P237" si="190">I233*M233</f>
        <v>13831683.946649922</v>
      </c>
      <c r="P233">
        <f t="shared" si="190"/>
        <v>20411273.46863858</v>
      </c>
    </row>
    <row r="234" spans="8:16" x14ac:dyDescent="0.25">
      <c r="H234" s="380" t="s">
        <v>106</v>
      </c>
      <c r="I234" s="210">
        <f>R132</f>
        <v>15531.685999999994</v>
      </c>
      <c r="J234" s="210">
        <f>S132</f>
        <v>234418.76672551743</v>
      </c>
      <c r="K234" s="210">
        <f>L132</f>
        <v>578495.69999999995</v>
      </c>
      <c r="L234" s="210">
        <f>O132</f>
        <v>8731199.4686227199</v>
      </c>
      <c r="M234" s="194">
        <f t="shared" si="188"/>
        <v>158.63947651733315</v>
      </c>
      <c r="N234" s="194">
        <f t="shared" si="189"/>
        <v>158.63947651733315</v>
      </c>
      <c r="O234">
        <f t="shared" si="190"/>
        <v>2463938.5364715913</v>
      </c>
      <c r="P234">
        <f t="shared" si="190"/>
        <v>37188070.43917492</v>
      </c>
    </row>
    <row r="235" spans="8:16" x14ac:dyDescent="0.25">
      <c r="H235" s="380" t="s">
        <v>109</v>
      </c>
      <c r="I235" s="210">
        <f>R131</f>
        <v>1363.8770000000004</v>
      </c>
      <c r="J235" s="210">
        <f>S131</f>
        <v>1363.8770000000004</v>
      </c>
      <c r="K235" s="210">
        <f>L131</f>
        <v>1248949</v>
      </c>
      <c r="L235" s="210">
        <f>O131</f>
        <v>1248949</v>
      </c>
      <c r="M235" s="194">
        <f t="shared" si="188"/>
        <v>158.63947651733315</v>
      </c>
      <c r="N235" s="194">
        <f t="shared" si="189"/>
        <v>158.63947651733315</v>
      </c>
      <c r="O235">
        <f t="shared" si="190"/>
        <v>216364.73331403086</v>
      </c>
      <c r="P235">
        <f t="shared" si="190"/>
        <v>216364.73331403086</v>
      </c>
    </row>
    <row r="236" spans="8:16" x14ac:dyDescent="0.25">
      <c r="H236" s="380" t="s">
        <v>111</v>
      </c>
      <c r="I236" s="210">
        <f>R133</f>
        <v>26521.960999999959</v>
      </c>
      <c r="J236" s="210">
        <f>S133</f>
        <v>26521.960999999959</v>
      </c>
      <c r="K236" s="210">
        <f>L133</f>
        <v>12375624.199999999</v>
      </c>
      <c r="L236" s="210">
        <f>O133</f>
        <v>12375624.199999999</v>
      </c>
      <c r="M236" s="194">
        <f t="shared" si="188"/>
        <v>158.63947651733315</v>
      </c>
      <c r="N236" s="194">
        <f t="shared" si="189"/>
        <v>158.63947651733315</v>
      </c>
      <c r="O236">
        <f t="shared" si="190"/>
        <v>4207430.0092531191</v>
      </c>
      <c r="P236">
        <f t="shared" si="190"/>
        <v>4207430.0092531191</v>
      </c>
    </row>
    <row r="237" spans="8:16" x14ac:dyDescent="0.25">
      <c r="H237" s="380" t="s">
        <v>121</v>
      </c>
      <c r="I237" s="210">
        <f>R129</f>
        <v>10383.499999999982</v>
      </c>
      <c r="J237" s="210">
        <f>S129</f>
        <v>10383.499999999809</v>
      </c>
      <c r="K237" s="210">
        <f>L129</f>
        <v>1581466</v>
      </c>
      <c r="L237" s="210">
        <f>O129</f>
        <v>1581465.9999999739</v>
      </c>
      <c r="M237" s="194">
        <f t="shared" si="188"/>
        <v>158.63947651733315</v>
      </c>
      <c r="N237" s="194">
        <f t="shared" si="189"/>
        <v>158.63947651733315</v>
      </c>
      <c r="O237">
        <f t="shared" si="190"/>
        <v>1647233.0044177258</v>
      </c>
      <c r="P237">
        <f t="shared" si="190"/>
        <v>1647233.0044176984</v>
      </c>
    </row>
    <row r="238" spans="8:16" x14ac:dyDescent="0.25">
      <c r="H238" s="380" t="s">
        <v>211</v>
      </c>
      <c r="K238" s="210"/>
    </row>
    <row r="239" spans="8:16" x14ac:dyDescent="0.25">
      <c r="I239" s="210">
        <f>SUM(I233:I238)</f>
        <v>140990.44400000008</v>
      </c>
      <c r="J239" s="210">
        <f t="shared" ref="J239:L239" si="191">SUM(J233:J238)</f>
        <v>401352.63335820223</v>
      </c>
      <c r="K239" s="210">
        <f t="shared" si="191"/>
        <v>26497535.899999999</v>
      </c>
      <c r="L239" s="210">
        <f t="shared" si="191"/>
        <v>39746303.849999979</v>
      </c>
      <c r="M239" s="194"/>
      <c r="N239" s="194"/>
      <c r="O239">
        <f>SUM(O233:O238)</f>
        <v>22366650.230106391</v>
      </c>
      <c r="P239">
        <f>SUM(P233:P238)</f>
        <v>63670371.654798351</v>
      </c>
    </row>
    <row r="243" spans="8:24" x14ac:dyDescent="0.25">
      <c r="H243" s="211" t="s">
        <v>253</v>
      </c>
      <c r="I243" s="4" t="s">
        <v>318</v>
      </c>
      <c r="J243" s="4" t="s">
        <v>319</v>
      </c>
      <c r="K243" s="4" t="s">
        <v>320</v>
      </c>
      <c r="L243" s="4" t="s">
        <v>321</v>
      </c>
      <c r="M243" s="4" t="s">
        <v>322</v>
      </c>
      <c r="N243" s="4" t="s">
        <v>306</v>
      </c>
      <c r="O243" s="4" t="s">
        <v>323</v>
      </c>
      <c r="P243" s="4" t="s">
        <v>324</v>
      </c>
      <c r="R243" t="s">
        <v>203</v>
      </c>
      <c r="S243" s="4" t="s">
        <v>333</v>
      </c>
      <c r="T243" s="4" t="s">
        <v>334</v>
      </c>
      <c r="U243" s="4" t="s">
        <v>335</v>
      </c>
      <c r="V243" s="4" t="s">
        <v>336</v>
      </c>
      <c r="W243" s="4" t="s">
        <v>337</v>
      </c>
      <c r="X243" s="4" t="s">
        <v>338</v>
      </c>
    </row>
    <row r="244" spans="8:24" x14ac:dyDescent="0.25">
      <c r="H244" s="19" t="s">
        <v>232</v>
      </c>
      <c r="I244" s="194">
        <f>K139</f>
        <v>462796.60480715393</v>
      </c>
      <c r="J244" s="194">
        <f>O139</f>
        <v>462796.60480715393</v>
      </c>
      <c r="K244" s="194">
        <f>J139</f>
        <v>8575566.7899999991</v>
      </c>
      <c r="L244" s="194">
        <f>M139</f>
        <v>8575566.7899999991</v>
      </c>
      <c r="M244" s="194">
        <f>$H$13</f>
        <v>149.69667216973943</v>
      </c>
      <c r="N244" s="194">
        <f>$AD$12</f>
        <v>149.69667216973943</v>
      </c>
      <c r="O244">
        <f>I244*M244</f>
        <v>69279111.631084979</v>
      </c>
      <c r="P244">
        <f>J244*N244</f>
        <v>69279111.631084979</v>
      </c>
      <c r="R244" t="str">
        <f>H244</f>
        <v>KOL &amp; Advert</v>
      </c>
      <c r="S244" s="194">
        <f>SUM(O244,O252)</f>
        <v>74082072.861698478</v>
      </c>
      <c r="T244" s="194">
        <f>SUM(P244,P252)</f>
        <v>74082072.861698478</v>
      </c>
      <c r="U244" s="194">
        <f>SUM(K244,K252)</f>
        <v>12872066.789999999</v>
      </c>
      <c r="V244" s="194">
        <f>SUM(L244,L252)</f>
        <v>12872066.789999999</v>
      </c>
      <c r="W244" s="3">
        <f>S244/U244</f>
        <v>5.7552585820368076</v>
      </c>
      <c r="X244" s="3">
        <f>T244/V244</f>
        <v>5.7552585820368076</v>
      </c>
    </row>
    <row r="245" spans="8:24" x14ac:dyDescent="0.25">
      <c r="H245" s="19" t="s">
        <v>119</v>
      </c>
      <c r="I245" s="194">
        <f t="shared" ref="I245:I247" si="192">K140</f>
        <v>209232.98157542368</v>
      </c>
      <c r="J245" s="194">
        <f t="shared" ref="J245:J247" si="193">O140</f>
        <v>209232.98157542368</v>
      </c>
      <c r="K245" s="194">
        <f t="shared" ref="K245:K247" si="194">J140</f>
        <v>5641800</v>
      </c>
      <c r="L245" s="194">
        <f t="shared" ref="L245:L247" si="195">M140</f>
        <v>5641800</v>
      </c>
      <c r="M245" s="194">
        <f t="shared" ref="M245:M247" si="196">$H$13</f>
        <v>149.69667216973943</v>
      </c>
      <c r="N245" s="194">
        <f t="shared" ref="N245:N247" si="197">$AD$12</f>
        <v>149.69667216973943</v>
      </c>
      <c r="O245">
        <f t="shared" ref="O245:P247" si="198">I245*M245</f>
        <v>31321481.049993329</v>
      </c>
      <c r="P245">
        <f t="shared" si="198"/>
        <v>31321481.049993329</v>
      </c>
      <c r="R245" t="str">
        <f t="shared" ref="R245:R247" si="199">H245</f>
        <v>Line</v>
      </c>
      <c r="S245">
        <f>O245</f>
        <v>31321481.049993329</v>
      </c>
      <c r="T245">
        <f>P245</f>
        <v>31321481.049993329</v>
      </c>
      <c r="U245" s="194">
        <f>K245</f>
        <v>5641800</v>
      </c>
      <c r="V245" s="194">
        <f>L245</f>
        <v>5641800</v>
      </c>
      <c r="W245" s="3">
        <f t="shared" ref="W245:X248" si="200">S245/U245</f>
        <v>5.551682273386743</v>
      </c>
      <c r="X245" s="3">
        <f t="shared" si="200"/>
        <v>5.551682273386743</v>
      </c>
    </row>
    <row r="246" spans="8:24" x14ac:dyDescent="0.25">
      <c r="H246" s="19" t="s">
        <v>233</v>
      </c>
      <c r="I246" s="194">
        <f t="shared" si="192"/>
        <v>178758.72722152862</v>
      </c>
      <c r="J246" s="194">
        <f t="shared" si="193"/>
        <v>178758.72722152862</v>
      </c>
      <c r="K246" s="194">
        <f t="shared" si="194"/>
        <v>797400</v>
      </c>
      <c r="L246" s="194">
        <f t="shared" si="195"/>
        <v>797400</v>
      </c>
      <c r="M246" s="194">
        <f t="shared" si="196"/>
        <v>149.69667216973943</v>
      </c>
      <c r="N246" s="194">
        <f t="shared" si="197"/>
        <v>149.69667216973943</v>
      </c>
      <c r="O246">
        <f t="shared" si="198"/>
        <v>26759586.586361047</v>
      </c>
      <c r="P246">
        <f t="shared" si="198"/>
        <v>26759586.586361047</v>
      </c>
      <c r="R246" t="str">
        <f t="shared" si="199"/>
        <v>Other Displays</v>
      </c>
      <c r="S246">
        <f t="shared" ref="S246:T247" si="201">O246</f>
        <v>26759586.586361047</v>
      </c>
      <c r="T246">
        <f t="shared" si="201"/>
        <v>26759586.586361047</v>
      </c>
      <c r="U246" s="194">
        <f t="shared" ref="U246:V247" si="202">K246</f>
        <v>797400</v>
      </c>
      <c r="V246" s="194">
        <f t="shared" si="202"/>
        <v>797400</v>
      </c>
      <c r="W246" s="3">
        <f t="shared" si="200"/>
        <v>33.558548515627095</v>
      </c>
      <c r="X246" s="3">
        <f t="shared" si="200"/>
        <v>33.558548515627095</v>
      </c>
    </row>
    <row r="247" spans="8:24" x14ac:dyDescent="0.25">
      <c r="H247" s="19" t="s">
        <v>120</v>
      </c>
      <c r="I247" s="194">
        <f t="shared" si="192"/>
        <v>747696.2719231433</v>
      </c>
      <c r="J247" s="194">
        <f t="shared" si="193"/>
        <v>747696.2719231433</v>
      </c>
      <c r="K247" s="194">
        <f t="shared" si="194"/>
        <v>17309220</v>
      </c>
      <c r="L247" s="194">
        <f t="shared" si="195"/>
        <v>17309220</v>
      </c>
      <c r="M247" s="194">
        <f t="shared" si="196"/>
        <v>149.69667216973943</v>
      </c>
      <c r="N247" s="194">
        <f t="shared" si="197"/>
        <v>149.69667216973943</v>
      </c>
      <c r="O247">
        <f t="shared" si="198"/>
        <v>111927643.70061512</v>
      </c>
      <c r="P247">
        <f t="shared" si="198"/>
        <v>111927643.70061512</v>
      </c>
      <c r="R247" t="str">
        <f t="shared" si="199"/>
        <v>Partnership</v>
      </c>
      <c r="S247">
        <f t="shared" si="201"/>
        <v>111927643.70061512</v>
      </c>
      <c r="T247">
        <f t="shared" si="201"/>
        <v>111927643.70061512</v>
      </c>
      <c r="U247" s="194">
        <f t="shared" si="202"/>
        <v>17309220</v>
      </c>
      <c r="V247" s="194">
        <f t="shared" si="202"/>
        <v>17309220</v>
      </c>
      <c r="W247" s="3">
        <f t="shared" si="200"/>
        <v>6.4663597609028667</v>
      </c>
      <c r="X247" s="3">
        <f t="shared" si="200"/>
        <v>6.4663597609028667</v>
      </c>
    </row>
    <row r="248" spans="8:24" x14ac:dyDescent="0.25">
      <c r="S248" s="194">
        <f>SUM(S244:S247)</f>
        <v>244090784.198668</v>
      </c>
      <c r="T248" s="194">
        <f t="shared" ref="T248:V248" si="203">SUM(T244:T247)</f>
        <v>244090784.198668</v>
      </c>
      <c r="U248" s="194">
        <f t="shared" si="203"/>
        <v>36620486.789999999</v>
      </c>
      <c r="V248" s="194">
        <f t="shared" si="203"/>
        <v>36620486.789999999</v>
      </c>
      <c r="W248" s="3">
        <f t="shared" si="200"/>
        <v>6.6654161534882208</v>
      </c>
      <c r="X248" s="3">
        <f t="shared" si="200"/>
        <v>6.6654161534882208</v>
      </c>
    </row>
    <row r="251" spans="8:24" x14ac:dyDescent="0.25">
      <c r="H251" s="211" t="s">
        <v>253</v>
      </c>
      <c r="I251" s="4" t="s">
        <v>329</v>
      </c>
      <c r="J251" s="4" t="s">
        <v>330</v>
      </c>
      <c r="K251" s="4" t="s">
        <v>331</v>
      </c>
      <c r="L251" s="4" t="s">
        <v>332</v>
      </c>
      <c r="M251" s="4" t="s">
        <v>322</v>
      </c>
      <c r="N251" s="4" t="s">
        <v>306</v>
      </c>
      <c r="O251" s="4" t="s">
        <v>323</v>
      </c>
      <c r="P251" s="4" t="s">
        <v>324</v>
      </c>
    </row>
    <row r="252" spans="8:24" x14ac:dyDescent="0.25">
      <c r="H252" s="19" t="s">
        <v>232</v>
      </c>
      <c r="I252" s="194">
        <f t="shared" ref="I252" si="204">K147</f>
        <v>30275.9523420939</v>
      </c>
      <c r="J252" s="194">
        <f t="shared" ref="J252" si="205">O147</f>
        <v>30275.9523420939</v>
      </c>
      <c r="K252" s="194">
        <f t="shared" ref="K252" si="206">J147</f>
        <v>4296500</v>
      </c>
      <c r="L252" s="194">
        <f t="shared" ref="L252" si="207">M147</f>
        <v>4296500</v>
      </c>
      <c r="M252" s="194">
        <f t="shared" ref="M252" si="208">$H$15</f>
        <v>158.63947651733315</v>
      </c>
      <c r="N252" s="194">
        <f t="shared" ref="N252" si="209">$AD$14</f>
        <v>158.63947651733315</v>
      </c>
      <c r="O252">
        <f t="shared" ref="O252:P252" si="210">I252*M252</f>
        <v>4802961.2306135027</v>
      </c>
      <c r="P252">
        <f t="shared" si="210"/>
        <v>4802961.2306135027</v>
      </c>
    </row>
    <row r="255" spans="8:24" x14ac:dyDescent="0.25">
      <c r="H255" s="211" t="s">
        <v>252</v>
      </c>
      <c r="I255" s="4" t="s">
        <v>318</v>
      </c>
      <c r="J255" s="4" t="s">
        <v>319</v>
      </c>
      <c r="K255" s="4" t="s">
        <v>320</v>
      </c>
      <c r="L255" s="4" t="s">
        <v>321</v>
      </c>
      <c r="M255" s="4" t="s">
        <v>322</v>
      </c>
      <c r="N255" s="4" t="s">
        <v>306</v>
      </c>
      <c r="O255" s="4" t="s">
        <v>323</v>
      </c>
      <c r="P255" s="4" t="s">
        <v>324</v>
      </c>
      <c r="R255" t="s">
        <v>252</v>
      </c>
      <c r="S255" s="4" t="s">
        <v>333</v>
      </c>
      <c r="T255" s="4" t="s">
        <v>334</v>
      </c>
      <c r="U255" s="4" t="s">
        <v>335</v>
      </c>
      <c r="V255" s="4" t="s">
        <v>336</v>
      </c>
      <c r="W255" s="4" t="s">
        <v>337</v>
      </c>
      <c r="X255" s="4" t="s">
        <v>338</v>
      </c>
    </row>
    <row r="256" spans="8:24" x14ac:dyDescent="0.25">
      <c r="H256" s="19" t="s">
        <v>252</v>
      </c>
      <c r="I256" s="194">
        <f>K151</f>
        <v>1184735.0057350455</v>
      </c>
      <c r="J256" s="194">
        <f>R151</f>
        <v>1184735.0057350455</v>
      </c>
      <c r="K256" s="194">
        <f>J151</f>
        <v>75869258.460000008</v>
      </c>
      <c r="L256" s="194">
        <f>P151</f>
        <v>75869258.460000008</v>
      </c>
      <c r="M256" s="194">
        <f t="shared" ref="M256" si="211">$H$13</f>
        <v>149.69667216973943</v>
      </c>
      <c r="N256" s="194">
        <f t="shared" ref="N256" si="212">$AD$12</f>
        <v>149.69667216973943</v>
      </c>
      <c r="O256">
        <f t="shared" ref="O256:P256" si="213">I256*M256</f>
        <v>177350887.76153347</v>
      </c>
      <c r="P256">
        <f t="shared" si="213"/>
        <v>177350887.76153347</v>
      </c>
      <c r="R256" t="s">
        <v>252</v>
      </c>
      <c r="S256">
        <f>O256+O259</f>
        <v>189158367.0621514</v>
      </c>
      <c r="T256">
        <f>P256+P259</f>
        <v>189158367.0621514</v>
      </c>
      <c r="U256" s="194">
        <f>SUM(K256,K259)</f>
        <v>81522058.460000008</v>
      </c>
      <c r="V256" s="194">
        <f>SUM(L256,L259)</f>
        <v>81522058.460000008</v>
      </c>
      <c r="W256" s="3">
        <f t="shared" ref="W256:X256" si="214">S256/U256</f>
        <v>2.3203335469621971</v>
      </c>
      <c r="X256" s="3">
        <f t="shared" si="214"/>
        <v>2.3203335469621971</v>
      </c>
    </row>
    <row r="258" spans="7:30" x14ac:dyDescent="0.25">
      <c r="H258" s="211" t="s">
        <v>252</v>
      </c>
      <c r="I258" s="4" t="s">
        <v>325</v>
      </c>
      <c r="J258" s="4" t="s">
        <v>326</v>
      </c>
      <c r="K258" s="4" t="s">
        <v>327</v>
      </c>
      <c r="L258" s="4" t="s">
        <v>328</v>
      </c>
      <c r="M258" s="4" t="s">
        <v>322</v>
      </c>
      <c r="N258" s="4" t="s">
        <v>306</v>
      </c>
      <c r="O258" s="4" t="s">
        <v>323</v>
      </c>
      <c r="P258" s="4" t="s">
        <v>324</v>
      </c>
    </row>
    <row r="259" spans="7:30" x14ac:dyDescent="0.25">
      <c r="H259" s="19" t="s">
        <v>252</v>
      </c>
      <c r="I259" s="194">
        <f>K157</f>
        <v>74805.796706061883</v>
      </c>
      <c r="J259" s="194">
        <f>R157</f>
        <v>74805.796706061883</v>
      </c>
      <c r="K259" s="194">
        <f>J157</f>
        <v>5652800</v>
      </c>
      <c r="L259" s="194">
        <f>P157</f>
        <v>5652800</v>
      </c>
      <c r="M259" s="194">
        <f t="shared" ref="M259" si="215">$H$14</f>
        <v>157.84176922830778</v>
      </c>
      <c r="N259" s="194">
        <f t="shared" ref="N259" si="216">$AD$13</f>
        <v>157.84176922830778</v>
      </c>
      <c r="O259">
        <f t="shared" ref="O259:P259" si="217">I259*M259</f>
        <v>11807479.300617926</v>
      </c>
      <c r="P259">
        <f t="shared" si="217"/>
        <v>11807479.300617926</v>
      </c>
    </row>
    <row r="260" spans="7:30" x14ac:dyDescent="0.25">
      <c r="X260" t="s">
        <v>350</v>
      </c>
      <c r="AA260" t="s">
        <v>351</v>
      </c>
    </row>
    <row r="261" spans="7:30" x14ac:dyDescent="0.25">
      <c r="W261" t="s">
        <v>352</v>
      </c>
      <c r="X261" s="4">
        <v>75841.221082786535</v>
      </c>
      <c r="Y261" t="s">
        <v>353</v>
      </c>
    </row>
    <row r="262" spans="7:30" x14ac:dyDescent="0.25">
      <c r="W262" t="s">
        <v>354</v>
      </c>
      <c r="X262" s="4">
        <v>9335780.6421275157</v>
      </c>
      <c r="Y262" t="s">
        <v>355</v>
      </c>
      <c r="AA262" s="194">
        <f>X262/K74</f>
        <v>1415.0482216184134</v>
      </c>
    </row>
    <row r="263" spans="7:30" x14ac:dyDescent="0.25">
      <c r="S263" t="s">
        <v>356</v>
      </c>
      <c r="X263" s="4">
        <f>SUM(X261:X262)</f>
        <v>9411621.8632103018</v>
      </c>
      <c r="Y263" s="204">
        <f>1/(Simulator2!E10/'Table Format Calculations'!X263)</f>
        <v>6.9905442948696633E-2</v>
      </c>
    </row>
    <row r="264" spans="7:30" x14ac:dyDescent="0.25">
      <c r="G264" s="533" t="s">
        <v>347</v>
      </c>
      <c r="H264" s="211" t="s">
        <v>158</v>
      </c>
      <c r="I264" s="211" t="s">
        <v>159</v>
      </c>
      <c r="J264" s="211" t="s">
        <v>95</v>
      </c>
      <c r="K264" s="211" t="s">
        <v>96</v>
      </c>
      <c r="L264" s="212" t="s">
        <v>160</v>
      </c>
      <c r="M264" s="212" t="s">
        <v>161</v>
      </c>
      <c r="N264" s="213" t="s">
        <v>162</v>
      </c>
      <c r="O264" s="214" t="s">
        <v>163</v>
      </c>
      <c r="P264" s="215" t="s">
        <v>164</v>
      </c>
      <c r="Q264" s="215" t="s">
        <v>165</v>
      </c>
      <c r="R264" s="439" t="s">
        <v>166</v>
      </c>
      <c r="S264" s="217" t="s">
        <v>167</v>
      </c>
      <c r="T264" s="217" t="s">
        <v>168</v>
      </c>
      <c r="U264" s="217" t="s">
        <v>342</v>
      </c>
      <c r="V264" s="217" t="s">
        <v>357</v>
      </c>
      <c r="Z264" t="s">
        <v>358</v>
      </c>
      <c r="AA264" t="s">
        <v>359</v>
      </c>
      <c r="AC264" t="s">
        <v>360</v>
      </c>
      <c r="AD264" t="s">
        <v>361</v>
      </c>
    </row>
    <row r="265" spans="7:30" x14ac:dyDescent="0.25">
      <c r="G265" s="533"/>
      <c r="H265" t="s">
        <v>97</v>
      </c>
      <c r="I265" s="4">
        <f>V265/K265</f>
        <v>1324.1191522756183</v>
      </c>
      <c r="J265">
        <f>SUM(J54,J68)</f>
        <v>46478250</v>
      </c>
      <c r="K265" s="409">
        <v>2144</v>
      </c>
      <c r="L265" s="4">
        <f>J265/K265</f>
        <v>21678.288246268658</v>
      </c>
      <c r="M265" s="218">
        <f>K265/SUM($K$54:$K$58)</f>
        <v>0.47214269984584895</v>
      </c>
      <c r="N265" s="219">
        <f>0.9*K265</f>
        <v>1929.6000000000001</v>
      </c>
      <c r="O265">
        <v>0</v>
      </c>
      <c r="P265" s="3">
        <f>N265+O265</f>
        <v>1929.6000000000001</v>
      </c>
      <c r="Q265" s="210">
        <f>P265*U265</f>
        <v>43609440.597758412</v>
      </c>
      <c r="R265" s="440">
        <f>P265*I265</f>
        <v>2555020.3162310333</v>
      </c>
      <c r="S265" s="220">
        <v>577300</v>
      </c>
      <c r="T265" s="220">
        <f>R265-V265</f>
        <v>-283891.14624789217</v>
      </c>
      <c r="U265">
        <f>Simulator2!D29</f>
        <v>22600.249066002492</v>
      </c>
      <c r="V265" s="194">
        <f>S265+X265</f>
        <v>2838911.4624789255</v>
      </c>
      <c r="W265" s="203">
        <f>S265/SUM($S$265:$S$269)</f>
        <v>0.24029986492758329</v>
      </c>
      <c r="X265" s="4">
        <f>W265*$X$263</f>
        <v>2261611.4624789255</v>
      </c>
      <c r="Z265" s="4">
        <f>R265-AA265</f>
        <v>0</v>
      </c>
      <c r="AA265" s="4">
        <f>R265/(1+AB265)</f>
        <v>2555020.3162310333</v>
      </c>
      <c r="AB265" s="3">
        <f>X54</f>
        <v>0</v>
      </c>
      <c r="AC265" s="210">
        <f>$Q265*J275</f>
        <v>34055676.707626455</v>
      </c>
      <c r="AD265" s="210">
        <f>$Q265*K275</f>
        <v>9553763.890131956</v>
      </c>
    </row>
    <row r="266" spans="7:30" x14ac:dyDescent="0.25">
      <c r="G266" s="533"/>
      <c r="H266" t="s">
        <v>171</v>
      </c>
      <c r="I266" s="4">
        <f t="shared" ref="I266:I269" si="218">V266/K266</f>
        <v>1537.443801664801</v>
      </c>
      <c r="J266">
        <f t="shared" ref="J266:J270" si="219">SUM(J55,J69)</f>
        <v>17871500</v>
      </c>
      <c r="K266" s="409">
        <v>1107</v>
      </c>
      <c r="L266" s="4">
        <f t="shared" ref="L266:L270" si="220">J266/K266</f>
        <v>16144.083107497741</v>
      </c>
      <c r="M266" s="218">
        <f t="shared" ref="M266:M269" si="221">K266/SUM($K$54:$K$58)</f>
        <v>0.24377890332525876</v>
      </c>
      <c r="N266" s="219">
        <f t="shared" ref="N266:N269" si="222">0.9*K266</f>
        <v>996.30000000000007</v>
      </c>
      <c r="O266">
        <v>0</v>
      </c>
      <c r="P266" s="3">
        <f t="shared" ref="P266:P269" si="223">N266+O266</f>
        <v>996.30000000000007</v>
      </c>
      <c r="Q266" s="210">
        <f t="shared" ref="Q266:Q269" si="224">P266*U266</f>
        <v>17104619.469026551</v>
      </c>
      <c r="R266" s="440">
        <f t="shared" ref="R266:R269" si="225">P266*I266</f>
        <v>1531755.2595986412</v>
      </c>
      <c r="S266" s="220">
        <v>346096</v>
      </c>
      <c r="T266" s="220">
        <f t="shared" ref="T266:T270" si="226">R266-V266</f>
        <v>-170195.02884429344</v>
      </c>
      <c r="U266">
        <f>Simulator2!D30</f>
        <v>17168.141592920354</v>
      </c>
      <c r="V266" s="194">
        <f t="shared" ref="V266:V270" si="227">S266+X266</f>
        <v>1701950.2884429346</v>
      </c>
      <c r="W266" s="203">
        <f t="shared" ref="W266:W269" si="228">S266/SUM($S$265:$S$269)</f>
        <v>0.14406170457643663</v>
      </c>
      <c r="X266" s="4">
        <f t="shared" ref="X266:X269" si="229">W266*$X$263</f>
        <v>1355854.2884429346</v>
      </c>
      <c r="Z266" s="4">
        <f t="shared" ref="Z266:Z271" si="230">R266-AA266</f>
        <v>0</v>
      </c>
      <c r="AA266" s="4">
        <f t="shared" ref="AA266:AA271" si="231">R266/(1+AB266)</f>
        <v>1531755.2595986412</v>
      </c>
      <c r="AB266" s="3">
        <f t="shared" ref="AB266:AB271" si="232">X55</f>
        <v>0</v>
      </c>
      <c r="AC266" s="210">
        <f t="shared" ref="AC266:AD270" si="233">$Q266*J276</f>
        <v>12997271.207754277</v>
      </c>
      <c r="AD266" s="210">
        <f t="shared" si="233"/>
        <v>4107348.2612722735</v>
      </c>
    </row>
    <row r="267" spans="7:30" x14ac:dyDescent="0.25">
      <c r="G267" s="533"/>
      <c r="H267" t="s">
        <v>100</v>
      </c>
      <c r="I267" s="4">
        <f t="shared" si="218"/>
        <v>2624.8203771905373</v>
      </c>
      <c r="J267">
        <f t="shared" si="219"/>
        <v>13098750</v>
      </c>
      <c r="K267" s="409">
        <v>1034</v>
      </c>
      <c r="L267" s="4">
        <f t="shared" si="220"/>
        <v>12668.036750483559</v>
      </c>
      <c r="M267" s="218">
        <f t="shared" si="221"/>
        <v>0.22770314908610439</v>
      </c>
      <c r="N267" s="219">
        <f t="shared" si="222"/>
        <v>930.6</v>
      </c>
      <c r="O267">
        <v>0</v>
      </c>
      <c r="P267" s="3">
        <f t="shared" si="223"/>
        <v>930.6</v>
      </c>
      <c r="Q267" s="210">
        <f t="shared" si="224"/>
        <v>11988829.741935484</v>
      </c>
      <c r="R267" s="440">
        <f t="shared" si="225"/>
        <v>2442657.8430135143</v>
      </c>
      <c r="S267" s="220">
        <v>551912</v>
      </c>
      <c r="T267" s="220">
        <f t="shared" si="226"/>
        <v>-271406.42700150143</v>
      </c>
      <c r="U267">
        <f>Simulator2!D31</f>
        <v>12882.903225806451</v>
      </c>
      <c r="V267" s="194">
        <f t="shared" si="227"/>
        <v>2714064.2700150157</v>
      </c>
      <c r="W267" s="203">
        <f t="shared" si="228"/>
        <v>0.22973216534195798</v>
      </c>
      <c r="X267" s="4">
        <f t="shared" si="229"/>
        <v>2162152.2700150157</v>
      </c>
      <c r="Z267" s="4">
        <f t="shared" si="230"/>
        <v>0</v>
      </c>
      <c r="AA267" s="4">
        <f t="shared" si="231"/>
        <v>2442657.8430135143</v>
      </c>
      <c r="AB267" s="3">
        <f t="shared" si="232"/>
        <v>0</v>
      </c>
      <c r="AC267" s="210">
        <f t="shared" si="233"/>
        <v>9138236.3470498603</v>
      </c>
      <c r="AD267" s="210">
        <f t="shared" si="233"/>
        <v>2850593.3948856238</v>
      </c>
    </row>
    <row r="268" spans="7:30" x14ac:dyDescent="0.25">
      <c r="G268" s="533"/>
      <c r="H268" t="s">
        <v>114</v>
      </c>
      <c r="I268" s="4">
        <f t="shared" si="218"/>
        <v>1438.0900667636824</v>
      </c>
      <c r="J268">
        <f t="shared" si="219"/>
        <v>11243500</v>
      </c>
      <c r="K268" s="409">
        <v>1698</v>
      </c>
      <c r="L268" s="4">
        <f t="shared" si="220"/>
        <v>6621.6136631330974</v>
      </c>
      <c r="M268" s="218">
        <f t="shared" si="221"/>
        <v>0.37392644791896057</v>
      </c>
      <c r="N268" s="219">
        <f t="shared" si="222"/>
        <v>1528.2</v>
      </c>
      <c r="O268">
        <v>0</v>
      </c>
      <c r="P268" s="3">
        <f t="shared" si="223"/>
        <v>1528.2</v>
      </c>
      <c r="Q268" s="210">
        <f t="shared" si="224"/>
        <v>11608821.863468636</v>
      </c>
      <c r="R268" s="440">
        <f t="shared" si="225"/>
        <v>2197689.2400282593</v>
      </c>
      <c r="S268" s="220">
        <v>496562</v>
      </c>
      <c r="T268" s="220">
        <f t="shared" si="226"/>
        <v>-244187.69333647331</v>
      </c>
      <c r="U268">
        <f>Simulator2!D32</f>
        <v>7596.4022140221405</v>
      </c>
      <c r="V268" s="194">
        <f t="shared" si="227"/>
        <v>2441876.9333647327</v>
      </c>
      <c r="W268" s="203">
        <f t="shared" si="228"/>
        <v>0.20669284865437487</v>
      </c>
      <c r="X268" s="4">
        <f t="shared" si="229"/>
        <v>1945314.9333647327</v>
      </c>
      <c r="Z268" s="4">
        <f t="shared" si="230"/>
        <v>0</v>
      </c>
      <c r="AA268" s="4">
        <f t="shared" si="231"/>
        <v>2197689.2400282593</v>
      </c>
      <c r="AB268" s="3">
        <f t="shared" si="232"/>
        <v>0</v>
      </c>
      <c r="AC268" s="210">
        <f t="shared" si="233"/>
        <v>8502053.9542609043</v>
      </c>
      <c r="AD268" s="210">
        <f t="shared" si="233"/>
        <v>3106767.909207731</v>
      </c>
    </row>
    <row r="269" spans="7:30" x14ac:dyDescent="0.25">
      <c r="G269" s="533"/>
      <c r="H269" s="286" t="s">
        <v>118</v>
      </c>
      <c r="I269" s="4">
        <f t="shared" si="218"/>
        <v>4673.8055384297868</v>
      </c>
      <c r="J269">
        <f t="shared" si="219"/>
        <v>5628250</v>
      </c>
      <c r="K269" s="409">
        <v>453</v>
      </c>
      <c r="L269" s="4">
        <f t="shared" si="220"/>
        <v>12424.39293598234</v>
      </c>
      <c r="M269" s="218">
        <f t="shared" si="221"/>
        <v>9.9757762607355208E-2</v>
      </c>
      <c r="N269" s="219">
        <f t="shared" si="222"/>
        <v>407.7</v>
      </c>
      <c r="O269">
        <v>0</v>
      </c>
      <c r="P269" s="3">
        <f t="shared" si="223"/>
        <v>407.7</v>
      </c>
      <c r="Q269" s="210">
        <f t="shared" si="224"/>
        <v>5686342.1052631577</v>
      </c>
      <c r="R269" s="440">
        <f t="shared" si="225"/>
        <v>1905510.518017824</v>
      </c>
      <c r="S269" s="220">
        <v>430545</v>
      </c>
      <c r="T269" s="220">
        <f t="shared" si="226"/>
        <v>-211723.39089086954</v>
      </c>
      <c r="U269">
        <f>Simulator2!D33</f>
        <v>13947.368421052632</v>
      </c>
      <c r="V269" s="194">
        <f t="shared" si="227"/>
        <v>2117233.9089086936</v>
      </c>
      <c r="W269" s="203">
        <f t="shared" si="228"/>
        <v>0.17921341649964723</v>
      </c>
      <c r="X269" s="4">
        <f t="shared" si="229"/>
        <v>1686688.9089086936</v>
      </c>
      <c r="Z269" s="4">
        <f t="shared" si="230"/>
        <v>0</v>
      </c>
      <c r="AA269" s="4">
        <f t="shared" si="231"/>
        <v>1905510.518017824</v>
      </c>
      <c r="AB269" s="3">
        <f t="shared" si="232"/>
        <v>0</v>
      </c>
      <c r="AC269" s="210">
        <f t="shared" si="233"/>
        <v>4016028.0492908191</v>
      </c>
      <c r="AD269" s="210">
        <f t="shared" si="233"/>
        <v>1670314.0559723389</v>
      </c>
    </row>
    <row r="270" spans="7:30" x14ac:dyDescent="0.25">
      <c r="G270" s="533"/>
      <c r="H270" t="s">
        <v>105</v>
      </c>
      <c r="I270" s="4"/>
      <c r="J270">
        <f t="shared" si="219"/>
        <v>1097250</v>
      </c>
      <c r="K270" s="409">
        <v>160.57</v>
      </c>
      <c r="L270" s="4">
        <f t="shared" si="220"/>
        <v>6833.4682692906526</v>
      </c>
      <c r="M270" s="218"/>
      <c r="N270" s="219">
        <v>103</v>
      </c>
      <c r="O270">
        <v>103</v>
      </c>
      <c r="P270" s="3">
        <v>103</v>
      </c>
      <c r="Q270">
        <f t="shared" ref="Q270" si="234">P270*L270</f>
        <v>703847.23173693719</v>
      </c>
      <c r="R270" s="440">
        <v>372240.22000001301</v>
      </c>
      <c r="S270" s="220">
        <v>412864.22000001301</v>
      </c>
      <c r="T270" s="220">
        <f t="shared" si="226"/>
        <v>-40624</v>
      </c>
      <c r="U270">
        <f>Simulator2!D34</f>
        <v>0</v>
      </c>
      <c r="V270" s="194">
        <f t="shared" si="227"/>
        <v>412864.22000001301</v>
      </c>
      <c r="W270" s="203"/>
      <c r="X270" s="4"/>
      <c r="Z270" s="4">
        <f t="shared" si="230"/>
        <v>0</v>
      </c>
      <c r="AA270" s="4">
        <f t="shared" si="231"/>
        <v>372240.22000001301</v>
      </c>
      <c r="AB270" s="3">
        <f t="shared" si="232"/>
        <v>0</v>
      </c>
      <c r="AC270" s="210">
        <f t="shared" si="233"/>
        <v>507398.64233667561</v>
      </c>
      <c r="AD270" s="210">
        <f t="shared" si="233"/>
        <v>196448.58940026158</v>
      </c>
    </row>
    <row r="271" spans="7:30" x14ac:dyDescent="0.25">
      <c r="J271">
        <f>SUM(J265:J270)</f>
        <v>95417500</v>
      </c>
      <c r="K271">
        <f>SUM(K265:K270)</f>
        <v>6596.57</v>
      </c>
      <c r="L271" s="4"/>
      <c r="N271" s="3">
        <f>SUM(N265:N270)</f>
        <v>5895.4</v>
      </c>
      <c r="O271">
        <f>SUM(O265:O270)</f>
        <v>103</v>
      </c>
      <c r="P271" s="3">
        <f>SUM(P265:P270)</f>
        <v>5895.4</v>
      </c>
      <c r="Q271" s="3">
        <f t="shared" ref="Q271:R271" si="235">SUM(Q265:Q270)</f>
        <v>90701901.009189174</v>
      </c>
      <c r="R271" s="441">
        <f t="shared" si="235"/>
        <v>11004873.396889288</v>
      </c>
      <c r="S271" s="442">
        <f>SUM(S265:S270)</f>
        <v>2815279.2200000128</v>
      </c>
      <c r="T271" s="220"/>
      <c r="V271" s="194">
        <f>SUM(V265:V270)</f>
        <v>12226901.083210316</v>
      </c>
      <c r="Z271" s="4">
        <f t="shared" si="230"/>
        <v>0</v>
      </c>
      <c r="AA271" s="4">
        <f t="shared" si="231"/>
        <v>11004873.396889288</v>
      </c>
      <c r="AB271" s="3">
        <f t="shared" si="232"/>
        <v>0</v>
      </c>
      <c r="AC271" s="210">
        <f>SUM(AC265:AC270)</f>
        <v>69216664.908318996</v>
      </c>
      <c r="AD271" s="210">
        <f>SUM(AD265:AD270)</f>
        <v>21485236.100870185</v>
      </c>
    </row>
    <row r="272" spans="7:30" x14ac:dyDescent="0.25">
      <c r="N272" s="3"/>
      <c r="P272" s="3"/>
      <c r="Q272" s="3"/>
      <c r="R272" s="221"/>
      <c r="V272" s="210">
        <f>V271/K271</f>
        <v>1853.5240410107549</v>
      </c>
    </row>
    <row r="273" spans="3:30" x14ac:dyDescent="0.25">
      <c r="N273" s="222" t="s">
        <v>169</v>
      </c>
      <c r="O273" s="222" t="s">
        <v>170</v>
      </c>
      <c r="Q273" s="211" t="s">
        <v>158</v>
      </c>
    </row>
    <row r="274" spans="3:30" x14ac:dyDescent="0.25">
      <c r="G274" s="211" t="s">
        <v>158</v>
      </c>
      <c r="H274" s="211" t="s">
        <v>360</v>
      </c>
      <c r="I274" s="211" t="s">
        <v>361</v>
      </c>
      <c r="J274" s="275" t="s">
        <v>362</v>
      </c>
      <c r="K274" s="275" t="s">
        <v>363</v>
      </c>
      <c r="N274" s="11">
        <f>SUM(M29:M30)-SUM(H36:H37)</f>
        <v>978.54999999999472</v>
      </c>
      <c r="O274" s="19">
        <f>SUM(O265:O270)</f>
        <v>103</v>
      </c>
      <c r="Q274" t="s">
        <v>97</v>
      </c>
      <c r="S274" s="220"/>
    </row>
    <row r="275" spans="3:30" x14ac:dyDescent="0.25">
      <c r="G275" t="s">
        <v>97</v>
      </c>
      <c r="H275">
        <v>36296000</v>
      </c>
      <c r="I275">
        <v>10182250</v>
      </c>
      <c r="J275" s="203">
        <f>H275/SUM($H275:$I275)</f>
        <v>0.78092441088035802</v>
      </c>
      <c r="K275" s="203">
        <f>I275/SUM($H275:$I275)</f>
        <v>0.21907558911964198</v>
      </c>
      <c r="Q275" t="s">
        <v>171</v>
      </c>
    </row>
    <row r="276" spans="3:30" x14ac:dyDescent="0.25">
      <c r="G276" t="s">
        <v>171</v>
      </c>
      <c r="H276">
        <v>13580000</v>
      </c>
      <c r="I276">
        <v>4291500</v>
      </c>
      <c r="J276" s="203">
        <f t="shared" ref="J276:K280" si="236">H276/SUM($H276:$I276)</f>
        <v>0.75986906527152165</v>
      </c>
      <c r="K276" s="203">
        <f t="shared" si="236"/>
        <v>0.2401309347284783</v>
      </c>
      <c r="Q276" t="s">
        <v>100</v>
      </c>
    </row>
    <row r="277" spans="3:30" x14ac:dyDescent="0.25">
      <c r="G277" t="s">
        <v>100</v>
      </c>
      <c r="H277">
        <v>9984250</v>
      </c>
      <c r="I277">
        <v>3114500</v>
      </c>
      <c r="J277" s="203">
        <f t="shared" si="236"/>
        <v>0.76222922034545282</v>
      </c>
      <c r="K277" s="203">
        <f t="shared" si="236"/>
        <v>0.23777077965454718</v>
      </c>
      <c r="Q277" t="s">
        <v>114</v>
      </c>
    </row>
    <row r="278" spans="3:30" x14ac:dyDescent="0.25">
      <c r="G278" t="s">
        <v>114</v>
      </c>
      <c r="H278">
        <v>8234500</v>
      </c>
      <c r="I278">
        <v>3009000</v>
      </c>
      <c r="J278" s="203">
        <f t="shared" si="236"/>
        <v>0.73237870769778091</v>
      </c>
      <c r="K278" s="203">
        <f t="shared" si="236"/>
        <v>0.26762129230221904</v>
      </c>
      <c r="Q278" s="286" t="s">
        <v>118</v>
      </c>
      <c r="W278" t="s">
        <v>364</v>
      </c>
    </row>
    <row r="279" spans="3:30" x14ac:dyDescent="0.25">
      <c r="G279" s="286" t="s">
        <v>118</v>
      </c>
      <c r="H279">
        <v>3975000</v>
      </c>
      <c r="I279">
        <v>1653250</v>
      </c>
      <c r="J279" s="203">
        <f t="shared" si="236"/>
        <v>0.70625860613867542</v>
      </c>
      <c r="K279" s="203">
        <f t="shared" si="236"/>
        <v>0.29374139386132458</v>
      </c>
      <c r="Q279" t="s">
        <v>105</v>
      </c>
      <c r="V279" t="s">
        <v>365</v>
      </c>
      <c r="W279" s="4">
        <v>116990.15929640616</v>
      </c>
    </row>
    <row r="280" spans="3:30" x14ac:dyDescent="0.25">
      <c r="G280" t="s">
        <v>105</v>
      </c>
      <c r="H280">
        <v>791000</v>
      </c>
      <c r="I280">
        <v>306250</v>
      </c>
      <c r="J280" s="203">
        <f t="shared" si="236"/>
        <v>0.72089314194577347</v>
      </c>
      <c r="K280" s="203">
        <f t="shared" si="236"/>
        <v>0.27910685805422647</v>
      </c>
      <c r="P280" t="s">
        <v>228</v>
      </c>
      <c r="Q280" s="267">
        <f>Simulator2!E35</f>
        <v>0.3</v>
      </c>
      <c r="V280" t="s">
        <v>366</v>
      </c>
      <c r="W280" s="4">
        <v>0</v>
      </c>
    </row>
    <row r="281" spans="3:30" x14ac:dyDescent="0.25">
      <c r="P281" s="272" t="s">
        <v>229</v>
      </c>
      <c r="Q281" s="283">
        <f>(1+Q280)*L288</f>
        <v>55625796.616000004</v>
      </c>
      <c r="W281">
        <f>SUM(W279:W280)</f>
        <v>116990.15929640616</v>
      </c>
    </row>
    <row r="282" spans="3:30" x14ac:dyDescent="0.25">
      <c r="C282" t="s">
        <v>227</v>
      </c>
      <c r="G282" s="537" t="s">
        <v>347</v>
      </c>
      <c r="H282" s="211" t="s">
        <v>203</v>
      </c>
      <c r="I282" s="211" t="s">
        <v>178</v>
      </c>
      <c r="J282" s="211" t="s">
        <v>159</v>
      </c>
      <c r="K282" s="211" t="s">
        <v>206</v>
      </c>
      <c r="L282" s="234" t="s">
        <v>209</v>
      </c>
      <c r="M282" s="214" t="s">
        <v>207</v>
      </c>
      <c r="N282" s="234" t="s">
        <v>208</v>
      </c>
      <c r="O282" s="234" t="s">
        <v>197</v>
      </c>
      <c r="P282" s="234" t="s">
        <v>198</v>
      </c>
      <c r="Q282" s="222" t="s">
        <v>210</v>
      </c>
      <c r="R282" s="234" t="s">
        <v>302</v>
      </c>
      <c r="S282" s="234" t="s">
        <v>256</v>
      </c>
      <c r="T282" s="234" t="s">
        <v>367</v>
      </c>
      <c r="Z282" t="s">
        <v>358</v>
      </c>
      <c r="AA282" t="s">
        <v>359</v>
      </c>
      <c r="AB282" s="275" t="s">
        <v>368</v>
      </c>
      <c r="AC282" t="s">
        <v>360</v>
      </c>
      <c r="AD282" t="s">
        <v>361</v>
      </c>
    </row>
    <row r="283" spans="3:30" x14ac:dyDescent="0.25">
      <c r="C283" s="3">
        <f>Simulator2!E37</f>
        <v>2.5319217683916206E-2</v>
      </c>
      <c r="G283" s="537"/>
      <c r="H283" s="19" t="s">
        <v>110</v>
      </c>
      <c r="J283" s="443">
        <f>T283/K283</f>
        <v>5.2769281842774578E-4</v>
      </c>
      <c r="K283" s="194">
        <f>SUM(K119,K106)</f>
        <v>835369910</v>
      </c>
      <c r="L283" s="194">
        <f>SUM(L119,L106)</f>
        <v>19776259.990000002</v>
      </c>
      <c r="M283" s="4">
        <v>847585281.28795171</v>
      </c>
      <c r="N283">
        <f>L283/K283</f>
        <v>2.3673656129175161E-2</v>
      </c>
      <c r="O283">
        <f>M283*C283</f>
        <v>21460196.242612999</v>
      </c>
      <c r="P283" s="194">
        <f>O283-L283</f>
        <v>1683936.2526129968</v>
      </c>
      <c r="Q283" s="4">
        <f>IFERROR((M283-K283)*J283,0)</f>
        <v>6445.9637030805998</v>
      </c>
      <c r="R283" s="194">
        <f>SUM(R119,R106)</f>
        <v>399709.58881721646</v>
      </c>
      <c r="S283" s="210">
        <f>M283*J283</f>
        <v>447264.66594071296</v>
      </c>
      <c r="T283" s="194">
        <f>R283+W283</f>
        <v>440818.70223763236</v>
      </c>
      <c r="V283" s="203">
        <f>R283/SUM($R$283:$R$287)</f>
        <v>0.3513894986351962</v>
      </c>
      <c r="W283">
        <f>V283*$W$281</f>
        <v>41109.113420415895</v>
      </c>
      <c r="Z283" s="210">
        <f>Q283-AA283</f>
        <v>3273.9841861933728</v>
      </c>
      <c r="AA283" s="4">
        <f>Q283/(1+AB283)</f>
        <v>3171.979516887227</v>
      </c>
      <c r="AB283">
        <f>AB106</f>
        <v>1.032158047920261</v>
      </c>
      <c r="AC283">
        <f>$O283*K292</f>
        <v>18891011.76552001</v>
      </c>
      <c r="AD283">
        <f>$O283*L292</f>
        <v>2569184.4770929883</v>
      </c>
    </row>
    <row r="284" spans="3:30" x14ac:dyDescent="0.25">
      <c r="C284" s="3">
        <f>Simulator2!E39</f>
        <v>9.8614418321418498E-2</v>
      </c>
      <c r="G284" s="537"/>
      <c r="H284" s="19" t="s">
        <v>204</v>
      </c>
      <c r="J284" s="443">
        <f t="shared" ref="J284:J287" si="237">T284/K284</f>
        <v>2.4174353976089574E-3</v>
      </c>
      <c r="K284" s="194">
        <f>SUM(K107,K120)</f>
        <v>73987617</v>
      </c>
      <c r="L284" s="194">
        <f>SUM(L107,L120)</f>
        <v>7725546.5900000008</v>
      </c>
      <c r="M284" s="4">
        <v>77343702.357713133</v>
      </c>
      <c r="N284">
        <f t="shared" ref="N284:N287" si="238">L284/K284</f>
        <v>0.10441675111660915</v>
      </c>
      <c r="O284">
        <f t="shared" ref="O284:O287" si="239">M284*C284</f>
        <v>7627204.2188308053</v>
      </c>
      <c r="P284" s="194">
        <f t="shared" ref="P284:P288" si="240">O284-L284</f>
        <v>-98342.37116919551</v>
      </c>
      <c r="Q284" s="4">
        <f t="shared" ref="Q284:Q287" si="241">IFERROR((M284-K284)*J284,0)</f>
        <v>8113.1195411328481</v>
      </c>
      <c r="R284" s="194">
        <f>SUM(R107,R120)</f>
        <v>162180.43912064299</v>
      </c>
      <c r="S284" s="210">
        <f t="shared" ref="S284:S287" si="242">M284*J284</f>
        <v>186973.40386166709</v>
      </c>
      <c r="T284" s="194">
        <f t="shared" ref="T284:T287" si="243">R284+W284</f>
        <v>178860.28432053427</v>
      </c>
      <c r="V284" s="203">
        <f t="shared" ref="V284:V287" si="244">R284/SUM($R$283:$R$287)</f>
        <v>0.14257477124747944</v>
      </c>
      <c r="W284">
        <f t="shared" ref="W284:W287" si="245">V284*$W$281</f>
        <v>16679.84519989129</v>
      </c>
      <c r="Z284" s="210">
        <f t="shared" ref="Z284:Z286" si="246">Q284-AA284</f>
        <v>7498.8457572836387</v>
      </c>
      <c r="AA284" s="4">
        <f>Q284/(1+AB284)</f>
        <v>614.27378384920951</v>
      </c>
      <c r="AB284">
        <f t="shared" ref="AB284:AB287" si="247">AB107</f>
        <v>12.207660418606498</v>
      </c>
      <c r="AC284">
        <f t="shared" ref="AC284:AD287" si="248">$O284*K293</f>
        <v>6669883.2637824174</v>
      </c>
      <c r="AD284">
        <f t="shared" si="248"/>
        <v>957320.95504838834</v>
      </c>
    </row>
    <row r="285" spans="3:30" x14ac:dyDescent="0.25">
      <c r="C285" s="3">
        <f>Simulator2!E40</f>
        <v>4.3182938651888207E-2</v>
      </c>
      <c r="G285" s="537"/>
      <c r="H285" s="19" t="s">
        <v>205</v>
      </c>
      <c r="J285" s="443">
        <f t="shared" si="237"/>
        <v>5.3942761916574529E-3</v>
      </c>
      <c r="K285" s="194">
        <f>K108</f>
        <v>44278494</v>
      </c>
      <c r="L285" s="194">
        <f>L108</f>
        <v>1912075.4900000002</v>
      </c>
      <c r="M285" s="4">
        <v>311841592.86130846</v>
      </c>
      <c r="N285">
        <f t="shared" si="238"/>
        <v>4.3182938651888207E-2</v>
      </c>
      <c r="O285">
        <f t="shared" si="239"/>
        <v>13466236.373636983</v>
      </c>
      <c r="P285" s="194">
        <f t="shared" si="240"/>
        <v>11554160.883636983</v>
      </c>
      <c r="Q285" s="4">
        <f t="shared" si="241"/>
        <v>1443309.2539536455</v>
      </c>
      <c r="R285" s="194">
        <f>R108</f>
        <v>216576.12318924328</v>
      </c>
      <c r="S285" s="210">
        <f t="shared" si="242"/>
        <v>1682159.6799402928</v>
      </c>
      <c r="T285" s="194">
        <f t="shared" si="243"/>
        <v>238850.42598664737</v>
      </c>
      <c r="V285" s="203">
        <f t="shared" si="244"/>
        <v>0.19039467021298731</v>
      </c>
      <c r="W285">
        <f t="shared" si="245"/>
        <v>22274.302797404103</v>
      </c>
      <c r="Z285" s="210">
        <f t="shared" si="246"/>
        <v>1443309.2539536455</v>
      </c>
      <c r="AA285" s="4"/>
      <c r="AB285">
        <f t="shared" si="247"/>
        <v>1</v>
      </c>
      <c r="AC285">
        <f t="shared" si="248"/>
        <v>13466236.373636983</v>
      </c>
      <c r="AD285">
        <f t="shared" si="248"/>
        <v>0</v>
      </c>
    </row>
    <row r="286" spans="3:30" x14ac:dyDescent="0.25">
      <c r="C286" s="3">
        <f>Simulator2!E38</f>
        <v>2.5019347143833089E-2</v>
      </c>
      <c r="G286" s="537"/>
      <c r="H286" s="19" t="s">
        <v>106</v>
      </c>
      <c r="J286" s="443">
        <f t="shared" si="237"/>
        <v>7.8636828690419036E-4</v>
      </c>
      <c r="K286" s="194">
        <f>SUM(K109,K121)</f>
        <v>496423175</v>
      </c>
      <c r="L286" s="194">
        <f>SUM(L109,L121)</f>
        <v>12643771.85</v>
      </c>
      <c r="M286" s="4">
        <v>521666332.62523299</v>
      </c>
      <c r="N286">
        <f t="shared" si="238"/>
        <v>2.5469745343778522E-2</v>
      </c>
      <c r="O286">
        <f t="shared" si="239"/>
        <v>13051751.069201006</v>
      </c>
      <c r="P286" s="194">
        <f t="shared" si="240"/>
        <v>407979.219201006</v>
      </c>
      <c r="Q286" s="4">
        <f t="shared" si="241"/>
        <v>19850.418617806921</v>
      </c>
      <c r="R286" s="194">
        <f>SUM(R109,R121)</f>
        <v>353966.85226275044</v>
      </c>
      <c r="S286" s="210">
        <f t="shared" si="242"/>
        <v>410221.86032209604</v>
      </c>
      <c r="T286" s="194">
        <f t="shared" si="243"/>
        <v>390371.44170428911</v>
      </c>
      <c r="V286" s="203">
        <f t="shared" si="244"/>
        <v>0.31117650972082234</v>
      </c>
      <c r="W286">
        <f t="shared" si="245"/>
        <v>36404.589441538687</v>
      </c>
      <c r="Z286" s="210">
        <f t="shared" si="246"/>
        <v>13107.383753142314</v>
      </c>
      <c r="AA286" s="4">
        <f>Q286/(1+AB286)</f>
        <v>6743.0348646646071</v>
      </c>
      <c r="AB286">
        <f t="shared" si="247"/>
        <v>1.9438404244101837</v>
      </c>
      <c r="AC286">
        <f t="shared" si="248"/>
        <v>12226186.182234302</v>
      </c>
      <c r="AD286">
        <f t="shared" si="248"/>
        <v>825564.88696670218</v>
      </c>
    </row>
    <row r="287" spans="3:30" x14ac:dyDescent="0.25">
      <c r="C287" s="3">
        <f>Simulator2!E42</f>
        <v>0.21610399648286818</v>
      </c>
      <c r="G287" s="537"/>
      <c r="H287" s="19" t="s">
        <v>369</v>
      </c>
      <c r="J287" s="443">
        <f t="shared" si="237"/>
        <v>1.6547967976129905E-3</v>
      </c>
      <c r="K287" s="194">
        <f>K118</f>
        <v>3384576</v>
      </c>
      <c r="L287" s="194">
        <f>L118</f>
        <v>731420.4</v>
      </c>
      <c r="M287" s="4">
        <v>3384576.0081026116</v>
      </c>
      <c r="N287">
        <f t="shared" si="238"/>
        <v>0.21610399648286818</v>
      </c>
      <c r="O287">
        <f t="shared" si="239"/>
        <v>731420.40175100684</v>
      </c>
      <c r="P287" s="194">
        <f t="shared" si="240"/>
        <v>1.7510068137198687E-3</v>
      </c>
      <c r="Q287" s="4">
        <f t="shared" si="241"/>
        <v>1.3408175791866282E-5</v>
      </c>
      <c r="R287" s="194">
        <f>R118</f>
        <v>5078.4770889215997</v>
      </c>
      <c r="S287" s="210">
        <f t="shared" si="242"/>
        <v>5600.7855394859607</v>
      </c>
      <c r="T287" s="194">
        <f t="shared" si="243"/>
        <v>5600.7855260777851</v>
      </c>
      <c r="V287" s="203">
        <f t="shared" si="244"/>
        <v>4.4645501835147072E-3</v>
      </c>
      <c r="W287">
        <f t="shared" si="245"/>
        <v>522.30843715618494</v>
      </c>
      <c r="AA287" s="4">
        <f>Q287/(1+AB287)</f>
        <v>6.7040878959331412E-6</v>
      </c>
      <c r="AB287">
        <f t="shared" si="247"/>
        <v>1</v>
      </c>
      <c r="AC287">
        <f t="shared" si="248"/>
        <v>0</v>
      </c>
      <c r="AD287">
        <f t="shared" si="248"/>
        <v>731420.40175100684</v>
      </c>
    </row>
    <row r="288" spans="3:30" x14ac:dyDescent="0.25">
      <c r="L288" s="194">
        <f>SUM(L283:L287)</f>
        <v>42789074.32</v>
      </c>
      <c r="O288" s="4">
        <f>SUM(O283:O287)</f>
        <v>56336808.306032799</v>
      </c>
      <c r="P288" s="194">
        <f t="shared" si="240"/>
        <v>13547733.986032799</v>
      </c>
      <c r="Q288" s="194">
        <f>SUM(Q283:Q287)</f>
        <v>1477718.755829074</v>
      </c>
    </row>
    <row r="289" spans="7:30" x14ac:dyDescent="0.25">
      <c r="Z289" s="210">
        <f>SUM(Z283:Z288)</f>
        <v>1467189.4676502647</v>
      </c>
      <c r="AA289" s="210">
        <f>SUM(AA283:AA287)</f>
        <v>10529.288172105131</v>
      </c>
      <c r="AC289" s="210">
        <f>SUM(AC283:AC288)-SUM(L106:L109)</f>
        <v>13332672.865173712</v>
      </c>
      <c r="AD289" s="210">
        <f>SUM(AD283:AD288)-SUM(L118:L121)</f>
        <v>215061.12085908558</v>
      </c>
    </row>
    <row r="291" spans="7:30" x14ac:dyDescent="0.25">
      <c r="G291" s="537" t="s">
        <v>347</v>
      </c>
      <c r="H291" s="211" t="s">
        <v>203</v>
      </c>
      <c r="I291" t="s">
        <v>372</v>
      </c>
      <c r="J291" t="s">
        <v>373</v>
      </c>
      <c r="K291" s="275" t="s">
        <v>362</v>
      </c>
      <c r="L291" s="275" t="s">
        <v>363</v>
      </c>
    </row>
    <row r="292" spans="7:30" x14ac:dyDescent="0.25">
      <c r="G292" s="537"/>
      <c r="H292" s="19" t="s">
        <v>110</v>
      </c>
      <c r="I292" s="194">
        <f>L106</f>
        <v>17408673.990000002</v>
      </c>
      <c r="J292" s="194">
        <f>L119</f>
        <v>2367586</v>
      </c>
      <c r="K292" s="203">
        <f>I292/SUM($I292:$J292)</f>
        <v>0.8802814080520186</v>
      </c>
      <c r="L292" s="203">
        <f>J292/SUM($I292:$J292)</f>
        <v>0.11971859194798135</v>
      </c>
    </row>
    <row r="293" spans="7:30" x14ac:dyDescent="0.25">
      <c r="G293" s="537"/>
      <c r="H293" s="19" t="s">
        <v>204</v>
      </c>
      <c r="I293" s="194">
        <f t="shared" ref="I293:I295" si="249">L107</f>
        <v>6755882.290000001</v>
      </c>
      <c r="J293" s="194">
        <f>L120</f>
        <v>969664.3</v>
      </c>
      <c r="K293" s="203">
        <f t="shared" ref="K293:L296" si="250">I293/SUM($I293:$J293)</f>
        <v>0.8744859941359826</v>
      </c>
      <c r="L293" s="203">
        <f t="shared" si="250"/>
        <v>0.12551400586401745</v>
      </c>
    </row>
    <row r="294" spans="7:30" x14ac:dyDescent="0.25">
      <c r="G294" s="537"/>
      <c r="H294" s="19" t="s">
        <v>205</v>
      </c>
      <c r="I294" s="194">
        <f t="shared" si="249"/>
        <v>1912075.4900000002</v>
      </c>
      <c r="K294" s="203">
        <f t="shared" si="250"/>
        <v>1</v>
      </c>
      <c r="L294" s="203">
        <f t="shared" si="250"/>
        <v>0</v>
      </c>
    </row>
    <row r="295" spans="7:30" x14ac:dyDescent="0.25">
      <c r="G295" s="537"/>
      <c r="H295" s="19" t="s">
        <v>106</v>
      </c>
      <c r="I295" s="194">
        <f t="shared" si="249"/>
        <v>11844012.949999999</v>
      </c>
      <c r="J295" s="194">
        <f>L121</f>
        <v>799758.9</v>
      </c>
      <c r="K295" s="203">
        <f t="shared" si="250"/>
        <v>0.93674681024871542</v>
      </c>
      <c r="L295" s="203">
        <f t="shared" si="250"/>
        <v>6.325318975128455E-2</v>
      </c>
    </row>
    <row r="296" spans="7:30" x14ac:dyDescent="0.25">
      <c r="G296" s="537"/>
      <c r="H296" s="19" t="s">
        <v>369</v>
      </c>
      <c r="J296" s="194">
        <f>L118</f>
        <v>731420.4</v>
      </c>
      <c r="K296" s="203">
        <f t="shared" si="250"/>
        <v>0</v>
      </c>
      <c r="L296" s="203">
        <f t="shared" si="250"/>
        <v>1</v>
      </c>
    </row>
  </sheetData>
  <mergeCells count="37">
    <mergeCell ref="DE17:DX17"/>
    <mergeCell ref="DY17:ER17"/>
    <mergeCell ref="ES17:FL17"/>
    <mergeCell ref="FN17:GG17"/>
    <mergeCell ref="G1:G4"/>
    <mergeCell ref="CK2:DD2"/>
    <mergeCell ref="I17:AB17"/>
    <mergeCell ref="AC17:AV17"/>
    <mergeCell ref="AW17:BP17"/>
    <mergeCell ref="BQ17:CJ17"/>
    <mergeCell ref="CK17:DD17"/>
    <mergeCell ref="I6:AB6"/>
    <mergeCell ref="AE6:AX6"/>
    <mergeCell ref="I11:AB11"/>
    <mergeCell ref="AE11:AX11"/>
    <mergeCell ref="GH17:HA17"/>
    <mergeCell ref="E138:E147"/>
    <mergeCell ref="G138:G142"/>
    <mergeCell ref="G146:G147"/>
    <mergeCell ref="HY20:IR20"/>
    <mergeCell ref="G27:K27"/>
    <mergeCell ref="L27:Q27"/>
    <mergeCell ref="FN27:GG27"/>
    <mergeCell ref="G53:G59"/>
    <mergeCell ref="G67:G73"/>
    <mergeCell ref="G82:G88"/>
    <mergeCell ref="E105:E133"/>
    <mergeCell ref="G105:G109"/>
    <mergeCell ref="G117:G121"/>
    <mergeCell ref="G128:G133"/>
    <mergeCell ref="HD17:HW17"/>
    <mergeCell ref="G264:G270"/>
    <mergeCell ref="G282:G287"/>
    <mergeCell ref="G291:G296"/>
    <mergeCell ref="E150:E157"/>
    <mergeCell ref="G150:G151"/>
    <mergeCell ref="G156:G15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5710-0588-4D5A-A3DF-698EBEDC7F61}">
  <sheetPr codeName="Sheet8">
    <tabColor rgb="FF00B050"/>
  </sheetPr>
  <dimension ref="B1:JF176"/>
  <sheetViews>
    <sheetView showGridLines="0" showRowColHeaders="0" topLeftCell="B2" zoomScale="78" zoomScaleNormal="78" workbookViewId="0">
      <pane xSplit="11" ySplit="8" topLeftCell="M10" activePane="bottomRight" state="frozen"/>
      <selection activeCell="M6" sqref="M6"/>
      <selection pane="topRight" activeCell="M6" sqref="M6"/>
      <selection pane="bottomLeft" activeCell="M6" sqref="M6"/>
      <selection pane="bottomRight" activeCell="C8" sqref="C8:E13"/>
    </sheetView>
  </sheetViews>
  <sheetFormatPr defaultColWidth="0" defaultRowHeight="0" customHeight="1" zeroHeight="1" x14ac:dyDescent="0.25"/>
  <cols>
    <col min="1" max="1" width="9.140625" hidden="1" customWidth="1"/>
    <col min="2" max="2" width="2.28515625" customWidth="1"/>
    <col min="3" max="3" width="13.42578125" customWidth="1"/>
    <col min="4" max="4" width="16.28515625" customWidth="1"/>
    <col min="5" max="5" width="15.7109375" customWidth="1"/>
    <col min="6" max="6" width="0.85546875" customWidth="1"/>
    <col min="7" max="7" width="14.140625" customWidth="1"/>
    <col min="8" max="8" width="0.85546875" customWidth="1"/>
    <col min="9" max="9" width="12.140625" customWidth="1"/>
    <col min="10" max="10" width="1.42578125" customWidth="1"/>
    <col min="11" max="11" width="17" customWidth="1"/>
    <col min="12" max="12" width="18.5703125" customWidth="1"/>
    <col min="13" max="13" width="14.28515625" customWidth="1"/>
    <col min="14" max="14" width="12" bestFit="1" customWidth="1"/>
    <col min="15" max="16" width="10.140625" bestFit="1" customWidth="1"/>
    <col min="17" max="17" width="8" bestFit="1" customWidth="1"/>
    <col min="18" max="18" width="8.7109375" bestFit="1" customWidth="1"/>
    <col min="19" max="20" width="11" bestFit="1" customWidth="1"/>
    <col min="21" max="21" width="11.5703125" customWidth="1"/>
    <col min="22" max="22" width="16" bestFit="1" customWidth="1"/>
    <col min="23" max="23" width="11" bestFit="1" customWidth="1"/>
    <col min="24" max="24" width="11.42578125" bestFit="1" customWidth="1"/>
    <col min="25" max="25" width="11" bestFit="1" customWidth="1"/>
    <col min="26" max="26" width="11.5703125" bestFit="1" customWidth="1"/>
    <col min="27" max="27" width="12" bestFit="1" customWidth="1"/>
    <col min="28" max="28" width="9.140625" bestFit="1" customWidth="1"/>
    <col min="29" max="29" width="11.42578125" bestFit="1" customWidth="1"/>
    <col min="30" max="30" width="16.5703125" bestFit="1" customWidth="1"/>
    <col min="31" max="31" width="17.7109375" bestFit="1" customWidth="1"/>
    <col min="32" max="32" width="11" bestFit="1" customWidth="1"/>
    <col min="33" max="33" width="14.85546875" bestFit="1" customWidth="1"/>
    <col min="34" max="34" width="9.140625" bestFit="1" customWidth="1"/>
    <col min="35" max="36" width="10.140625" bestFit="1" customWidth="1"/>
    <col min="37" max="37" width="8" bestFit="1" customWidth="1"/>
    <col min="38" max="38" width="8.7109375" bestFit="1" customWidth="1"/>
    <col min="39" max="40" width="11" bestFit="1" customWidth="1"/>
    <col min="41" max="41" width="11.5703125" bestFit="1" customWidth="1"/>
    <col min="42" max="42" width="16" bestFit="1" customWidth="1"/>
    <col min="43" max="43" width="11" bestFit="1" customWidth="1"/>
    <col min="44" max="44" width="11.42578125" bestFit="1" customWidth="1"/>
    <col min="45" max="45" width="11" bestFit="1" customWidth="1"/>
    <col min="46" max="46" width="11.5703125" bestFit="1" customWidth="1"/>
    <col min="47" max="47" width="12" bestFit="1" customWidth="1"/>
    <col min="48" max="48" width="9.140625" bestFit="1" customWidth="1"/>
    <col min="49" max="49" width="11.42578125" bestFit="1" customWidth="1"/>
    <col min="50" max="50" width="16.5703125" bestFit="1" customWidth="1"/>
    <col min="51" max="51" width="17.7109375" bestFit="1" customWidth="1"/>
    <col min="52" max="52" width="11" bestFit="1" customWidth="1"/>
    <col min="53" max="53" width="10.7109375" bestFit="1" customWidth="1"/>
    <col min="54" max="54" width="9.140625" bestFit="1" customWidth="1"/>
    <col min="55" max="56" width="10.140625" bestFit="1" customWidth="1"/>
    <col min="57" max="57" width="8" bestFit="1" customWidth="1"/>
    <col min="58" max="58" width="8.7109375" bestFit="1" customWidth="1"/>
    <col min="59" max="60" width="11" bestFit="1" customWidth="1"/>
    <col min="61" max="61" width="11.5703125" bestFit="1" customWidth="1"/>
    <col min="62" max="62" width="16" bestFit="1" customWidth="1"/>
    <col min="63" max="63" width="11" bestFit="1" customWidth="1"/>
    <col min="64" max="64" width="11.42578125" bestFit="1" customWidth="1"/>
    <col min="65" max="65" width="11" bestFit="1" customWidth="1"/>
    <col min="66" max="66" width="11.5703125" bestFit="1" customWidth="1"/>
    <col min="67" max="67" width="12" bestFit="1" customWidth="1"/>
    <col min="68" max="68" width="9.140625" bestFit="1" customWidth="1"/>
    <col min="69" max="69" width="11.42578125" bestFit="1" customWidth="1"/>
    <col min="70" max="70" width="16.5703125" bestFit="1" customWidth="1"/>
    <col min="71" max="71" width="17.7109375" bestFit="1" customWidth="1"/>
    <col min="72" max="72" width="11" bestFit="1" customWidth="1"/>
    <col min="73" max="73" width="12.140625" customWidth="1"/>
    <col min="74" max="74" width="12.28515625" customWidth="1"/>
    <col min="75" max="234" width="10.28515625" customWidth="1"/>
    <col min="235" max="266" width="0" hidden="1" customWidth="1"/>
    <col min="267" max="16384" width="9.140625" hidden="1"/>
  </cols>
  <sheetData>
    <row r="1" spans="2:234" ht="9.9499999999999993" customHeight="1" x14ac:dyDescent="0.25"/>
    <row r="2" spans="2:234" ht="20.100000000000001" customHeight="1" x14ac:dyDescent="0.25">
      <c r="B2" s="516" t="s">
        <v>303</v>
      </c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</row>
    <row r="3" spans="2:234" ht="20.100000000000001" customHeight="1" x14ac:dyDescent="0.25">
      <c r="B3" s="516"/>
      <c r="C3" s="516"/>
      <c r="D3" s="516"/>
      <c r="E3" s="516"/>
      <c r="F3" s="516"/>
      <c r="G3" s="516"/>
      <c r="H3" s="516"/>
      <c r="I3" s="516"/>
      <c r="J3" s="516"/>
      <c r="K3" s="516"/>
      <c r="L3" s="516"/>
      <c r="M3" s="516"/>
      <c r="N3" s="516"/>
      <c r="O3" s="516"/>
      <c r="P3" s="516"/>
      <c r="Q3" s="516"/>
      <c r="R3" s="516"/>
      <c r="S3" s="516"/>
      <c r="T3" s="516"/>
      <c r="U3" s="516"/>
      <c r="V3" s="516"/>
      <c r="W3" s="516"/>
      <c r="X3" s="516"/>
      <c r="Y3" s="516"/>
      <c r="Z3" s="516"/>
      <c r="AA3" s="516"/>
      <c r="AB3" s="516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</row>
    <row r="4" spans="2:234" ht="30" customHeight="1" x14ac:dyDescent="0.25"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</row>
    <row r="5" spans="2:234" s="42" customFormat="1" ht="5.0999999999999996" customHeight="1" x14ac:dyDescent="0.25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</row>
    <row r="6" spans="2:234" ht="18" customHeight="1" x14ac:dyDescent="0.25">
      <c r="G6" s="43"/>
      <c r="I6" s="517" t="s">
        <v>76</v>
      </c>
      <c r="J6" s="517"/>
    </row>
    <row r="7" spans="2:234" ht="15.75" customHeight="1" thickBot="1" x14ac:dyDescent="0.3">
      <c r="C7" s="518"/>
      <c r="D7" s="518"/>
      <c r="E7" s="518"/>
    </row>
    <row r="8" spans="2:234" ht="46.5" customHeight="1" thickBot="1" x14ac:dyDescent="0.3">
      <c r="C8" s="519" t="s">
        <v>78</v>
      </c>
      <c r="D8" s="520"/>
      <c r="E8" s="44" t="s">
        <v>268</v>
      </c>
      <c r="F8" s="45"/>
      <c r="G8" s="46" t="s">
        <v>79</v>
      </c>
      <c r="K8" s="521"/>
      <c r="L8" s="522"/>
      <c r="M8" s="511" t="s">
        <v>80</v>
      </c>
      <c r="N8" s="512"/>
      <c r="O8" s="512"/>
      <c r="P8" s="512"/>
      <c r="Q8" s="512"/>
      <c r="R8" s="512"/>
      <c r="S8" s="512"/>
      <c r="T8" s="512"/>
      <c r="U8" s="512"/>
      <c r="V8" s="512"/>
      <c r="W8" s="512"/>
      <c r="X8" s="512"/>
      <c r="Y8" s="512"/>
      <c r="Z8" s="512"/>
      <c r="AA8" s="512"/>
      <c r="AB8" s="512"/>
      <c r="AC8" s="512"/>
      <c r="AD8" s="512"/>
      <c r="AE8" s="512"/>
      <c r="AF8" s="513"/>
      <c r="AG8" s="506" t="s">
        <v>81</v>
      </c>
      <c r="AH8" s="507"/>
      <c r="AI8" s="507"/>
      <c r="AJ8" s="507"/>
      <c r="AK8" s="507"/>
      <c r="AL8" s="507"/>
      <c r="AM8" s="507"/>
      <c r="AN8" s="507"/>
      <c r="AO8" s="507"/>
      <c r="AP8" s="507"/>
      <c r="AQ8" s="507"/>
      <c r="AR8" s="507"/>
      <c r="AS8" s="507"/>
      <c r="AT8" s="507"/>
      <c r="AU8" s="507"/>
      <c r="AV8" s="507"/>
      <c r="AW8" s="507"/>
      <c r="AX8" s="507"/>
      <c r="AY8" s="507"/>
      <c r="AZ8" s="508"/>
      <c r="BA8" s="506" t="s">
        <v>116</v>
      </c>
      <c r="BB8" s="507"/>
      <c r="BC8" s="507"/>
      <c r="BD8" s="507"/>
      <c r="BE8" s="507"/>
      <c r="BF8" s="507"/>
      <c r="BG8" s="507"/>
      <c r="BH8" s="507"/>
      <c r="BI8" s="507"/>
      <c r="BJ8" s="507"/>
      <c r="BK8" s="507"/>
      <c r="BL8" s="507"/>
      <c r="BM8" s="507"/>
      <c r="BN8" s="507"/>
      <c r="BO8" s="507"/>
      <c r="BP8" s="507"/>
      <c r="BQ8" s="507"/>
      <c r="BR8" s="507"/>
      <c r="BS8" s="507"/>
      <c r="BT8" s="508"/>
      <c r="BU8" s="354" t="s">
        <v>393</v>
      </c>
      <c r="BV8" s="354" t="s">
        <v>394</v>
      </c>
    </row>
    <row r="9" spans="2:234" ht="15.75" thickBot="1" x14ac:dyDescent="0.3">
      <c r="C9" s="47" t="s">
        <v>82</v>
      </c>
      <c r="D9" s="359">
        <f>'Thai input'!K3</f>
        <v>7.2999999999999995E-2</v>
      </c>
      <c r="E9" s="49">
        <f>'Thai input'!L3</f>
        <v>149167702</v>
      </c>
      <c r="G9" s="50">
        <f>'Thai input'!O10</f>
        <v>7.299578464265262E-2</v>
      </c>
      <c r="K9" s="509" t="s">
        <v>52</v>
      </c>
      <c r="L9" s="510"/>
      <c r="M9" s="110" t="s">
        <v>59</v>
      </c>
      <c r="N9" s="111" t="s">
        <v>60</v>
      </c>
      <c r="O9" s="111" t="s">
        <v>62</v>
      </c>
      <c r="P9" s="111" t="s">
        <v>61</v>
      </c>
      <c r="Q9" s="111" t="s">
        <v>17</v>
      </c>
      <c r="R9" s="111" t="s">
        <v>18</v>
      </c>
      <c r="S9" s="112" t="s">
        <v>63</v>
      </c>
      <c r="T9" s="111" t="s">
        <v>64</v>
      </c>
      <c r="U9" s="111" t="s">
        <v>22</v>
      </c>
      <c r="V9" s="113" t="s">
        <v>70</v>
      </c>
      <c r="W9" s="110" t="s">
        <v>65</v>
      </c>
      <c r="X9" s="111" t="s">
        <v>66</v>
      </c>
      <c r="Y9" s="111" t="s">
        <v>35</v>
      </c>
      <c r="Z9" s="111" t="s">
        <v>36</v>
      </c>
      <c r="AA9" s="111" t="s">
        <v>37</v>
      </c>
      <c r="AB9" s="111" t="s">
        <v>39</v>
      </c>
      <c r="AC9" s="112" t="s">
        <v>42</v>
      </c>
      <c r="AD9" s="111" t="s">
        <v>67</v>
      </c>
      <c r="AE9" s="111" t="s">
        <v>68</v>
      </c>
      <c r="AF9" s="114" t="s">
        <v>69</v>
      </c>
      <c r="AG9" s="110" t="s">
        <v>59</v>
      </c>
      <c r="AH9" s="111" t="s">
        <v>60</v>
      </c>
      <c r="AI9" s="111" t="s">
        <v>62</v>
      </c>
      <c r="AJ9" s="111" t="s">
        <v>61</v>
      </c>
      <c r="AK9" s="111" t="s">
        <v>17</v>
      </c>
      <c r="AL9" s="111" t="s">
        <v>18</v>
      </c>
      <c r="AM9" s="112" t="s">
        <v>63</v>
      </c>
      <c r="AN9" s="111" t="s">
        <v>64</v>
      </c>
      <c r="AO9" s="111" t="s">
        <v>22</v>
      </c>
      <c r="AP9" s="113" t="s">
        <v>70</v>
      </c>
      <c r="AQ9" s="110" t="s">
        <v>65</v>
      </c>
      <c r="AR9" s="111" t="s">
        <v>66</v>
      </c>
      <c r="AS9" s="111" t="s">
        <v>35</v>
      </c>
      <c r="AT9" s="111" t="s">
        <v>36</v>
      </c>
      <c r="AU9" s="111" t="s">
        <v>37</v>
      </c>
      <c r="AV9" s="111" t="s">
        <v>39</v>
      </c>
      <c r="AW9" s="112" t="s">
        <v>42</v>
      </c>
      <c r="AX9" s="111" t="s">
        <v>67</v>
      </c>
      <c r="AY9" s="111" t="s">
        <v>68</v>
      </c>
      <c r="AZ9" s="114" t="s">
        <v>69</v>
      </c>
      <c r="BA9" s="110" t="s">
        <v>59</v>
      </c>
      <c r="BB9" s="111" t="s">
        <v>60</v>
      </c>
      <c r="BC9" s="111" t="s">
        <v>62</v>
      </c>
      <c r="BD9" s="111" t="s">
        <v>61</v>
      </c>
      <c r="BE9" s="111" t="s">
        <v>17</v>
      </c>
      <c r="BF9" s="111" t="s">
        <v>18</v>
      </c>
      <c r="BG9" s="112" t="s">
        <v>63</v>
      </c>
      <c r="BH9" s="111" t="s">
        <v>64</v>
      </c>
      <c r="BI9" s="111" t="s">
        <v>22</v>
      </c>
      <c r="BJ9" s="113" t="s">
        <v>70</v>
      </c>
      <c r="BK9" s="110" t="s">
        <v>65</v>
      </c>
      <c r="BL9" s="111" t="s">
        <v>66</v>
      </c>
      <c r="BM9" s="111" t="s">
        <v>35</v>
      </c>
      <c r="BN9" s="111" t="s">
        <v>36</v>
      </c>
      <c r="BO9" s="111" t="s">
        <v>37</v>
      </c>
      <c r="BP9" s="111" t="s">
        <v>39</v>
      </c>
      <c r="BQ9" s="112" t="s">
        <v>42</v>
      </c>
      <c r="BR9" s="111" t="s">
        <v>67</v>
      </c>
      <c r="BS9" s="111" t="s">
        <v>68</v>
      </c>
      <c r="BT9" s="114" t="s">
        <v>69</v>
      </c>
    </row>
    <row r="10" spans="2:234" ht="15" customHeight="1" x14ac:dyDescent="0.25">
      <c r="C10" s="51" t="s">
        <v>12</v>
      </c>
      <c r="D10" s="360">
        <f>Simulator2!D10</f>
        <v>4.2999999999999997E-2</v>
      </c>
      <c r="E10" s="53">
        <f>'Thai input'!F25</f>
        <v>134633606</v>
      </c>
      <c r="G10" s="54">
        <f>Calculator_Calculations!AL29</f>
        <v>4.3014998630849934E-2</v>
      </c>
      <c r="H10" s="3"/>
      <c r="I10" s="444"/>
      <c r="J10" s="3"/>
      <c r="K10" s="493" t="s">
        <v>124</v>
      </c>
      <c r="L10" s="494"/>
      <c r="M10" s="494"/>
      <c r="N10" s="494"/>
      <c r="O10" s="494"/>
      <c r="P10" s="494"/>
      <c r="Q10" s="494"/>
      <c r="R10" s="494"/>
      <c r="S10" s="494"/>
      <c r="T10" s="494"/>
      <c r="U10" s="494"/>
      <c r="V10" s="494"/>
      <c r="W10" s="494"/>
      <c r="X10" s="494"/>
      <c r="Y10" s="494"/>
      <c r="Z10" s="494"/>
      <c r="AA10" s="494"/>
      <c r="AB10" s="494"/>
      <c r="AC10" s="494"/>
      <c r="AD10" s="494"/>
      <c r="AE10" s="494"/>
      <c r="AF10" s="494"/>
      <c r="AG10" s="494"/>
      <c r="AH10" s="494"/>
      <c r="AI10" s="494"/>
      <c r="AJ10" s="494"/>
      <c r="AK10" s="494"/>
      <c r="AL10" s="494"/>
      <c r="AM10" s="494"/>
      <c r="AN10" s="494"/>
      <c r="AO10" s="494"/>
      <c r="AP10" s="494"/>
      <c r="AQ10" s="494"/>
      <c r="AR10" s="494"/>
      <c r="AS10" s="494"/>
      <c r="AT10" s="494"/>
      <c r="AU10" s="494"/>
      <c r="AV10" s="494"/>
      <c r="AW10" s="494"/>
      <c r="AX10" s="494"/>
      <c r="AY10" s="494"/>
      <c r="AZ10" s="494"/>
      <c r="BA10" s="494"/>
      <c r="BB10" s="494"/>
      <c r="BC10" s="494"/>
      <c r="BD10" s="494"/>
      <c r="BE10" s="494"/>
      <c r="BF10" s="494"/>
      <c r="BG10" s="494"/>
      <c r="BH10" s="494"/>
      <c r="BI10" s="494"/>
      <c r="BJ10" s="494"/>
      <c r="BK10" s="494"/>
      <c r="BL10" s="494"/>
      <c r="BM10" s="494"/>
      <c r="BN10" s="494"/>
      <c r="BO10" s="494"/>
      <c r="BP10" s="494"/>
      <c r="BQ10" s="494"/>
      <c r="BR10" s="494"/>
      <c r="BS10" s="494"/>
      <c r="BT10" s="495"/>
    </row>
    <row r="11" spans="2:234" ht="15" customHeight="1" x14ac:dyDescent="0.25">
      <c r="C11" s="51" t="s">
        <v>30</v>
      </c>
      <c r="D11" s="360">
        <f>Simulator2!D11</f>
        <v>0.20799999999999999</v>
      </c>
      <c r="E11" s="53">
        <f>'Thai input'!F26</f>
        <v>7665660</v>
      </c>
      <c r="G11" s="54">
        <f>Calculator_Calculations!AL30</f>
        <v>0.20799801915702995</v>
      </c>
      <c r="H11" s="3"/>
      <c r="I11" s="3"/>
      <c r="J11" s="3"/>
      <c r="K11" s="496"/>
      <c r="L11" s="497"/>
      <c r="M11" s="497"/>
      <c r="N11" s="497"/>
      <c r="O11" s="497"/>
      <c r="P11" s="497"/>
      <c r="Q11" s="497"/>
      <c r="R11" s="497"/>
      <c r="S11" s="497"/>
      <c r="T11" s="497"/>
      <c r="U11" s="497"/>
      <c r="V11" s="497"/>
      <c r="W11" s="497"/>
      <c r="X11" s="497"/>
      <c r="Y11" s="497"/>
      <c r="Z11" s="497"/>
      <c r="AA11" s="497"/>
      <c r="AB11" s="497"/>
      <c r="AC11" s="497"/>
      <c r="AD11" s="497"/>
      <c r="AE11" s="497"/>
      <c r="AF11" s="497"/>
      <c r="AG11" s="497"/>
      <c r="AH11" s="497"/>
      <c r="AI11" s="497"/>
      <c r="AJ11" s="497"/>
      <c r="AK11" s="497"/>
      <c r="AL11" s="497"/>
      <c r="AM11" s="497"/>
      <c r="AN11" s="497"/>
      <c r="AO11" s="497"/>
      <c r="AP11" s="497"/>
      <c r="AQ11" s="497"/>
      <c r="AR11" s="497"/>
      <c r="AS11" s="497"/>
      <c r="AT11" s="497"/>
      <c r="AU11" s="497"/>
      <c r="AV11" s="497"/>
      <c r="AW11" s="497"/>
      <c r="AX11" s="497"/>
      <c r="AY11" s="497"/>
      <c r="AZ11" s="497"/>
      <c r="BA11" s="497"/>
      <c r="BB11" s="497"/>
      <c r="BC11" s="497"/>
      <c r="BD11" s="497"/>
      <c r="BE11" s="497"/>
      <c r="BF11" s="497"/>
      <c r="BG11" s="497"/>
      <c r="BH11" s="497"/>
      <c r="BI11" s="497"/>
      <c r="BJ11" s="497"/>
      <c r="BK11" s="497"/>
      <c r="BL11" s="497"/>
      <c r="BM11" s="497"/>
      <c r="BN11" s="497"/>
      <c r="BO11" s="497"/>
      <c r="BP11" s="497"/>
      <c r="BQ11" s="497"/>
      <c r="BR11" s="497"/>
      <c r="BS11" s="497"/>
      <c r="BT11" s="498"/>
    </row>
    <row r="12" spans="2:234" ht="15" customHeight="1" thickBot="1" x14ac:dyDescent="0.3">
      <c r="C12" s="51" t="s">
        <v>38</v>
      </c>
      <c r="D12" s="360">
        <f>Simulator2!D12</f>
        <v>0.51</v>
      </c>
      <c r="E12" s="53">
        <f>'Thai input'!F27</f>
        <v>6868436</v>
      </c>
      <c r="G12" s="54">
        <f>Calculator_Calculations!AL31</f>
        <v>0.51000067228459522</v>
      </c>
      <c r="H12" s="3"/>
      <c r="I12" s="3"/>
      <c r="J12" s="3"/>
      <c r="K12" s="499"/>
      <c r="L12" s="500"/>
      <c r="M12" s="500"/>
      <c r="N12" s="500"/>
      <c r="O12" s="500"/>
      <c r="P12" s="500"/>
      <c r="Q12" s="500"/>
      <c r="R12" s="500"/>
      <c r="S12" s="500"/>
      <c r="T12" s="500"/>
      <c r="U12" s="500"/>
      <c r="V12" s="500"/>
      <c r="W12" s="500"/>
      <c r="X12" s="500"/>
      <c r="Y12" s="500"/>
      <c r="Z12" s="500"/>
      <c r="AA12" s="500"/>
      <c r="AB12" s="500"/>
      <c r="AC12" s="500"/>
      <c r="AD12" s="500"/>
      <c r="AE12" s="500"/>
      <c r="AF12" s="500"/>
      <c r="AG12" s="500"/>
      <c r="AH12" s="500"/>
      <c r="AI12" s="500"/>
      <c r="AJ12" s="500"/>
      <c r="AK12" s="500"/>
      <c r="AL12" s="500"/>
      <c r="AM12" s="500"/>
      <c r="AN12" s="500"/>
      <c r="AO12" s="500"/>
      <c r="AP12" s="500"/>
      <c r="AQ12" s="500"/>
      <c r="AR12" s="500"/>
      <c r="AS12" s="500"/>
      <c r="AT12" s="500"/>
      <c r="AU12" s="500"/>
      <c r="AV12" s="500"/>
      <c r="AW12" s="500"/>
      <c r="AX12" s="500"/>
      <c r="AY12" s="500"/>
      <c r="AZ12" s="500"/>
      <c r="BA12" s="500"/>
      <c r="BB12" s="500"/>
      <c r="BC12" s="500"/>
      <c r="BD12" s="500"/>
      <c r="BE12" s="500"/>
      <c r="BF12" s="500"/>
      <c r="BG12" s="500"/>
      <c r="BH12" s="500"/>
      <c r="BI12" s="500"/>
      <c r="BJ12" s="500"/>
      <c r="BK12" s="500"/>
      <c r="BL12" s="500"/>
      <c r="BM12" s="500"/>
      <c r="BN12" s="500"/>
      <c r="BO12" s="500"/>
      <c r="BP12" s="500"/>
      <c r="BQ12" s="500"/>
      <c r="BR12" s="500"/>
      <c r="BS12" s="500"/>
      <c r="BT12" s="501"/>
    </row>
    <row r="13" spans="2:234" ht="15.75" thickBot="1" x14ac:dyDescent="0.3">
      <c r="C13" s="476" t="s">
        <v>347</v>
      </c>
      <c r="D13" s="472">
        <f>'Thai input'!O183</f>
        <v>5.1888548307761573E-2</v>
      </c>
      <c r="E13" s="474">
        <f>SUM(E10:E11)</f>
        <v>142299266</v>
      </c>
      <c r="F13" s="90"/>
      <c r="G13" s="475">
        <f>'Thai input'!O14</f>
        <v>5.1902632254530873E-2</v>
      </c>
      <c r="H13" s="3"/>
      <c r="I13" s="3"/>
      <c r="J13" s="3"/>
      <c r="K13" s="95" t="s">
        <v>115</v>
      </c>
      <c r="L13" s="96" t="s">
        <v>117</v>
      </c>
      <c r="M13" s="97">
        <v>39.775852379323055</v>
      </c>
      <c r="N13" s="97">
        <v>30.880153762112659</v>
      </c>
      <c r="O13" s="97">
        <v>26.415966518519792</v>
      </c>
      <c r="P13" s="97">
        <v>28.2555412866942</v>
      </c>
      <c r="Q13" s="97">
        <v>26.932342207540607</v>
      </c>
      <c r="R13" s="97">
        <v>17.05862825600072</v>
      </c>
      <c r="S13" s="97">
        <v>15.183203044049282</v>
      </c>
      <c r="T13" s="97">
        <v>14.322983319748673</v>
      </c>
      <c r="U13" s="291"/>
      <c r="V13" s="97">
        <v>11.83129331148055</v>
      </c>
      <c r="W13" s="97">
        <v>18.925041170451312</v>
      </c>
      <c r="X13" s="291"/>
      <c r="Y13" s="291"/>
      <c r="Z13" s="97">
        <v>14.123777398502911</v>
      </c>
      <c r="AA13" s="291"/>
      <c r="AB13" s="291"/>
      <c r="AC13" s="291"/>
      <c r="AD13" s="291"/>
      <c r="AE13" s="291"/>
      <c r="AF13" s="291"/>
      <c r="AG13" s="412">
        <v>39.775852379323055</v>
      </c>
      <c r="AH13" s="412">
        <v>30.880153762112659</v>
      </c>
      <c r="AI13" s="412">
        <v>26.415966518519792</v>
      </c>
      <c r="AJ13" s="412">
        <v>28.2555412866942</v>
      </c>
      <c r="AK13" s="412">
        <v>26.932342207540607</v>
      </c>
      <c r="AL13" s="412">
        <v>17.05862825600072</v>
      </c>
      <c r="AM13" s="412">
        <v>15.183203044049282</v>
      </c>
      <c r="AN13" s="412">
        <v>14.322983319748673</v>
      </c>
      <c r="AO13" s="294"/>
      <c r="AP13" s="412">
        <v>11.83129331148055</v>
      </c>
      <c r="AQ13" s="412">
        <v>18.925041170451312</v>
      </c>
      <c r="AR13" s="294"/>
      <c r="AS13" s="294"/>
      <c r="AT13" s="412">
        <v>14.123777398502911</v>
      </c>
      <c r="AU13" s="294"/>
      <c r="AV13" s="294"/>
      <c r="AW13" s="294"/>
      <c r="AX13" s="294"/>
      <c r="AY13" s="294"/>
      <c r="AZ13" s="294"/>
      <c r="BA13" s="115">
        <v>0</v>
      </c>
      <c r="BB13" s="115">
        <v>0</v>
      </c>
      <c r="BC13" s="115">
        <v>0</v>
      </c>
      <c r="BD13" s="115">
        <v>0</v>
      </c>
      <c r="BE13" s="115">
        <v>0</v>
      </c>
      <c r="BF13" s="115">
        <v>0</v>
      </c>
      <c r="BG13" s="115">
        <v>0</v>
      </c>
      <c r="BH13" s="115">
        <v>0</v>
      </c>
      <c r="BI13" s="115">
        <v>0</v>
      </c>
      <c r="BJ13" s="115">
        <v>0</v>
      </c>
      <c r="BK13" s="115">
        <v>0</v>
      </c>
      <c r="BL13" s="115">
        <v>0</v>
      </c>
      <c r="BM13" s="115">
        <v>0</v>
      </c>
      <c r="BN13" s="115">
        <v>0</v>
      </c>
      <c r="BO13" s="115">
        <v>0</v>
      </c>
      <c r="BP13" s="115">
        <v>0</v>
      </c>
      <c r="BQ13" s="115">
        <v>0</v>
      </c>
      <c r="BR13" s="115">
        <v>0</v>
      </c>
      <c r="BS13" s="115">
        <v>0</v>
      </c>
      <c r="BT13" s="115">
        <v>0</v>
      </c>
      <c r="BU13" s="351">
        <v>0</v>
      </c>
      <c r="BV13">
        <f>Calculator_Calculations!FM19</f>
        <v>0</v>
      </c>
    </row>
    <row r="14" spans="2:234" ht="15" x14ac:dyDescent="0.25">
      <c r="K14" s="85" t="s">
        <v>75</v>
      </c>
      <c r="L14" s="55" t="s">
        <v>117</v>
      </c>
      <c r="M14" s="86">
        <v>24</v>
      </c>
      <c r="N14" s="86">
        <v>36</v>
      </c>
      <c r="O14" s="86">
        <v>20</v>
      </c>
      <c r="P14" s="86">
        <v>29</v>
      </c>
      <c r="Q14" s="86">
        <v>39</v>
      </c>
      <c r="R14" s="86">
        <v>20</v>
      </c>
      <c r="S14" s="86">
        <v>17</v>
      </c>
      <c r="T14" s="86">
        <v>27</v>
      </c>
      <c r="U14" s="292"/>
      <c r="V14" s="86">
        <v>46</v>
      </c>
      <c r="W14" s="86">
        <v>33</v>
      </c>
      <c r="X14" s="292"/>
      <c r="Y14" s="292"/>
      <c r="Z14" s="86">
        <v>40</v>
      </c>
      <c r="AA14" s="292"/>
      <c r="AB14" s="292"/>
      <c r="AC14" s="292"/>
      <c r="AD14" s="292"/>
      <c r="AE14" s="292"/>
      <c r="AF14" s="292"/>
      <c r="AG14" s="413">
        <v>24.48</v>
      </c>
      <c r="AH14" s="413">
        <v>36.72</v>
      </c>
      <c r="AI14" s="413">
        <v>20.399999999999999</v>
      </c>
      <c r="AJ14" s="413">
        <v>29.580000000000002</v>
      </c>
      <c r="AK14" s="413">
        <v>39.78</v>
      </c>
      <c r="AL14" s="413">
        <v>20.399999999999999</v>
      </c>
      <c r="AM14" s="413">
        <v>17.34</v>
      </c>
      <c r="AN14" s="413">
        <v>27</v>
      </c>
      <c r="AO14" s="289"/>
      <c r="AP14" s="413">
        <v>46.92</v>
      </c>
      <c r="AQ14" s="413">
        <v>33</v>
      </c>
      <c r="AR14" s="289"/>
      <c r="AS14" s="289"/>
      <c r="AT14" s="413">
        <v>40.799999999999997</v>
      </c>
      <c r="AU14" s="289"/>
      <c r="AV14" s="289"/>
      <c r="AW14" s="289"/>
      <c r="AX14" s="289"/>
      <c r="AY14" s="289"/>
      <c r="AZ14" s="289"/>
      <c r="BA14" s="19">
        <v>144515.476203453</v>
      </c>
      <c r="BB14" s="19">
        <v>722455.50946296495</v>
      </c>
      <c r="BC14" s="19">
        <v>245102.42371804232</v>
      </c>
      <c r="BD14" s="19">
        <v>732252.42955445603</v>
      </c>
      <c r="BE14" s="19">
        <v>78842.859268962828</v>
      </c>
      <c r="BF14" s="19">
        <v>349303.64306036074</v>
      </c>
      <c r="BG14" s="19">
        <v>205793.10622100253</v>
      </c>
      <c r="BH14" s="19">
        <v>0</v>
      </c>
      <c r="BI14" s="19">
        <v>0</v>
      </c>
      <c r="BJ14" s="19">
        <v>2397174.1024210909</v>
      </c>
      <c r="BK14" s="19">
        <v>0</v>
      </c>
      <c r="BL14" s="19">
        <v>0</v>
      </c>
      <c r="BM14" s="19">
        <v>0</v>
      </c>
      <c r="BN14" s="19">
        <v>289771.28879352717</v>
      </c>
      <c r="BO14" s="19">
        <v>0</v>
      </c>
      <c r="BP14" s="19">
        <v>0</v>
      </c>
      <c r="BQ14" s="19">
        <v>0</v>
      </c>
      <c r="BR14" s="19">
        <v>0</v>
      </c>
      <c r="BS14" s="19">
        <v>0</v>
      </c>
      <c r="BT14" s="19">
        <v>0</v>
      </c>
      <c r="BU14" s="16">
        <v>5165210.8387038605</v>
      </c>
      <c r="BV14">
        <f>Calculator_Calculations!FM22</f>
        <v>5165210.8387038605</v>
      </c>
    </row>
    <row r="15" spans="2:234" ht="15" customHeight="1" thickBot="1" x14ac:dyDescent="0.3">
      <c r="C15" s="557" t="s">
        <v>84</v>
      </c>
      <c r="D15" s="557"/>
      <c r="E15" s="557"/>
      <c r="F15" s="557"/>
      <c r="G15" s="557"/>
      <c r="K15" s="87" t="s">
        <v>89</v>
      </c>
      <c r="L15" s="88" t="s">
        <v>117</v>
      </c>
      <c r="M15" s="287">
        <v>3.7770214377778756E-2</v>
      </c>
      <c r="N15" s="287">
        <v>0.12369779215889336</v>
      </c>
      <c r="O15" s="287">
        <v>0.11462304153112879</v>
      </c>
      <c r="P15" s="287">
        <v>0.13489455907899689</v>
      </c>
      <c r="Q15" s="287">
        <v>8.2007509833558728E-2</v>
      </c>
      <c r="R15" s="287">
        <v>6.184283662063611E-2</v>
      </c>
      <c r="S15" s="287">
        <v>7.2658352285372804E-2</v>
      </c>
      <c r="T15" s="287">
        <v>2.7561448399859235E-2</v>
      </c>
      <c r="U15" s="293"/>
      <c r="V15" s="287">
        <v>0.29713616682902</v>
      </c>
      <c r="W15" s="287">
        <v>2.2757812427783075E-2</v>
      </c>
      <c r="X15" s="293"/>
      <c r="Y15" s="293"/>
      <c r="Z15" s="287">
        <v>1.7707779074481352E-2</v>
      </c>
      <c r="AA15" s="293"/>
      <c r="AB15" s="293"/>
      <c r="AC15" s="293"/>
      <c r="AD15" s="293"/>
      <c r="AE15" s="293"/>
      <c r="AF15" s="293"/>
      <c r="AG15" s="287">
        <v>3.7770214377778756E-2</v>
      </c>
      <c r="AH15" s="287">
        <v>0.12369779215889336</v>
      </c>
      <c r="AI15" s="287">
        <v>0.11462304153112879</v>
      </c>
      <c r="AJ15" s="287">
        <v>0.13489455907899689</v>
      </c>
      <c r="AK15" s="287">
        <v>8.2007509833558728E-2</v>
      </c>
      <c r="AL15" s="287">
        <v>6.184283662063611E-2</v>
      </c>
      <c r="AM15" s="287">
        <v>7.2658352285372804E-2</v>
      </c>
      <c r="AN15" s="287">
        <v>2.7561448399859235E-2</v>
      </c>
      <c r="AO15" s="293"/>
      <c r="AP15" s="287">
        <v>0.29713616682902</v>
      </c>
      <c r="AQ15" s="287">
        <v>2.2757812427783075E-2</v>
      </c>
      <c r="AR15" s="293"/>
      <c r="AS15" s="293"/>
      <c r="AT15" s="287">
        <v>1.7707779074481352E-2</v>
      </c>
      <c r="AU15" s="289"/>
      <c r="AV15" s="289"/>
      <c r="AW15" s="289"/>
      <c r="AX15" s="289"/>
      <c r="AY15" s="290"/>
      <c r="AZ15" s="290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6"/>
    </row>
    <row r="16" spans="2:234" ht="15.75" thickBot="1" x14ac:dyDescent="0.3">
      <c r="K16" s="486" t="s">
        <v>90</v>
      </c>
      <c r="L16" s="487"/>
      <c r="M16" s="295">
        <v>0.16847315958333334</v>
      </c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414">
        <v>0.16847315958333334</v>
      </c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6">
        <v>0</v>
      </c>
      <c r="BV16">
        <f>Calculator_Calculations!R171</f>
        <v>0</v>
      </c>
    </row>
    <row r="17" spans="3:74" ht="15" customHeight="1" x14ac:dyDescent="0.25">
      <c r="C17" s="83" t="s">
        <v>86</v>
      </c>
      <c r="D17" s="198"/>
      <c r="E17" s="84" t="s">
        <v>399</v>
      </c>
      <c r="G17" s="58" t="s">
        <v>87</v>
      </c>
      <c r="K17" s="488" t="s">
        <v>94</v>
      </c>
      <c r="L17" s="465" t="s">
        <v>389</v>
      </c>
      <c r="M17" s="82">
        <f>Calculator_Calculations!J64</f>
        <v>72860750</v>
      </c>
      <c r="N17" s="463" t="s">
        <v>391</v>
      </c>
      <c r="O17" s="104">
        <f>Calculator_Calculations!J65</f>
        <v>22556750</v>
      </c>
      <c r="P17" s="289"/>
      <c r="Q17" s="289"/>
      <c r="R17" s="289"/>
      <c r="S17" s="289"/>
      <c r="T17" s="289"/>
      <c r="U17" s="289"/>
      <c r="V17" s="289"/>
      <c r="W17" s="289"/>
      <c r="X17" s="289"/>
      <c r="Y17" s="289"/>
      <c r="Z17" s="289"/>
      <c r="AA17" s="289"/>
      <c r="AB17" s="289"/>
      <c r="AC17" s="289"/>
      <c r="AD17" s="289"/>
      <c r="AE17" s="289"/>
      <c r="AF17" s="462" t="s">
        <v>389</v>
      </c>
      <c r="AG17" s="305">
        <f>Calculator_Calculations!Q64</f>
        <v>65653775</v>
      </c>
      <c r="AH17" s="462" t="s">
        <v>391</v>
      </c>
      <c r="AI17" s="305">
        <f>Calculator_Calculations!Q65</f>
        <v>25861526.026785713</v>
      </c>
      <c r="AJ17" s="289"/>
      <c r="AK17" s="289"/>
      <c r="AL17" s="289"/>
      <c r="AM17" s="289"/>
      <c r="AN17" s="289"/>
      <c r="AO17" s="289"/>
      <c r="AP17" s="289"/>
      <c r="AQ17" s="289"/>
      <c r="AR17" s="289"/>
      <c r="AS17" s="289"/>
      <c r="AT17" s="289"/>
      <c r="AU17" s="289"/>
      <c r="AV17" s="289"/>
      <c r="AW17" s="289"/>
      <c r="AX17" s="289"/>
      <c r="AY17" s="290"/>
      <c r="AZ17" s="290"/>
      <c r="BA17" s="290"/>
      <c r="BB17" s="290"/>
      <c r="BC17" s="290"/>
      <c r="BD17" s="290"/>
      <c r="BE17" s="290"/>
      <c r="BF17" s="290"/>
      <c r="BG17" s="290"/>
      <c r="BH17" s="290"/>
      <c r="BI17" s="290"/>
      <c r="BJ17" s="290"/>
      <c r="BK17" s="290"/>
      <c r="BL17" s="290"/>
      <c r="BM17" s="290"/>
      <c r="BN17" s="290"/>
      <c r="BO17" s="290"/>
      <c r="BP17" s="290"/>
      <c r="BQ17" s="290"/>
      <c r="BR17" s="290"/>
      <c r="BS17" s="290"/>
      <c r="BT17" s="290"/>
      <c r="BU17" s="352"/>
    </row>
    <row r="18" spans="3:74" ht="15" x14ac:dyDescent="0.25">
      <c r="C18" s="199" t="s">
        <v>88</v>
      </c>
      <c r="D18" s="59" t="s">
        <v>12</v>
      </c>
      <c r="E18" s="414">
        <v>0.18</v>
      </c>
      <c r="G18" s="60">
        <v>0.16847315958333334</v>
      </c>
      <c r="K18" s="489"/>
      <c r="L18" s="466" t="s">
        <v>390</v>
      </c>
      <c r="M18" s="86">
        <f>SUM(M19:M24)</f>
        <v>4644</v>
      </c>
      <c r="N18" s="463" t="s">
        <v>392</v>
      </c>
      <c r="O18" s="86">
        <f>Calculator_Calculations!K65</f>
        <v>1951.5199999999811</v>
      </c>
      <c r="P18" s="289"/>
      <c r="Q18" s="289"/>
      <c r="R18" s="289"/>
      <c r="S18" s="289"/>
      <c r="T18" s="289"/>
      <c r="U18" s="289"/>
      <c r="V18" s="289"/>
      <c r="W18" s="289"/>
      <c r="X18" s="289"/>
      <c r="Y18" s="289"/>
      <c r="Z18" s="289"/>
      <c r="AA18" s="289"/>
      <c r="AB18" s="289"/>
      <c r="AC18" s="289"/>
      <c r="AD18" s="289"/>
      <c r="AE18" s="289"/>
      <c r="AF18" s="462" t="s">
        <v>390</v>
      </c>
      <c r="AG18" s="297">
        <f>SUM(AG19:AG24)</f>
        <v>4189.8999999999996</v>
      </c>
      <c r="AH18" s="462" t="s">
        <v>392</v>
      </c>
      <c r="AI18" s="297">
        <f>Calculator_Calculations!P65</f>
        <v>2325.0000000000005</v>
      </c>
      <c r="AJ18" s="289"/>
      <c r="AK18" s="289"/>
      <c r="AL18" s="289"/>
      <c r="AM18" s="289"/>
      <c r="AN18" s="289"/>
      <c r="AO18" s="289"/>
      <c r="AP18" s="289"/>
      <c r="AQ18" s="289"/>
      <c r="AR18" s="289"/>
      <c r="AS18" s="289"/>
      <c r="AT18" s="289"/>
      <c r="AU18" s="289"/>
      <c r="AV18" s="289"/>
      <c r="AW18" s="289"/>
      <c r="AX18" s="289"/>
      <c r="AY18" s="290"/>
      <c r="AZ18" s="290"/>
      <c r="BA18" s="290"/>
      <c r="BB18" s="290"/>
      <c r="BC18" s="290"/>
      <c r="BD18" s="290"/>
      <c r="BE18" s="290"/>
      <c r="BF18" s="290"/>
      <c r="BG18" s="290"/>
      <c r="BH18" s="290"/>
      <c r="BI18" s="290"/>
      <c r="BJ18" s="290"/>
      <c r="BK18" s="290"/>
      <c r="BL18" s="290"/>
      <c r="BM18" s="290"/>
      <c r="BN18" s="290"/>
      <c r="BO18" s="290"/>
      <c r="BP18" s="290"/>
      <c r="BQ18" s="290"/>
      <c r="BR18" s="290"/>
      <c r="BS18" s="290"/>
      <c r="BT18" s="290"/>
      <c r="BU18" s="352"/>
    </row>
    <row r="19" spans="3:74" ht="15" x14ac:dyDescent="0.25">
      <c r="C19" s="200"/>
      <c r="D19" s="59" t="s">
        <v>30</v>
      </c>
      <c r="E19" s="414">
        <v>0.18</v>
      </c>
      <c r="G19" s="60">
        <v>0.16677894466666668</v>
      </c>
      <c r="K19" s="489"/>
      <c r="L19" s="71" t="s">
        <v>97</v>
      </c>
      <c r="M19" s="86">
        <v>1606</v>
      </c>
      <c r="N19" s="289"/>
      <c r="O19" s="289"/>
      <c r="P19" s="289"/>
      <c r="Q19" s="289"/>
      <c r="R19" s="289"/>
      <c r="S19" s="289"/>
      <c r="T19" s="289"/>
      <c r="U19" s="289"/>
      <c r="V19" s="289"/>
      <c r="W19" s="289"/>
      <c r="X19" s="289"/>
      <c r="Y19" s="289"/>
      <c r="Z19" s="289"/>
      <c r="AA19" s="289"/>
      <c r="AB19" s="289"/>
      <c r="AC19" s="289"/>
      <c r="AD19" s="289"/>
      <c r="AE19" s="289"/>
      <c r="AF19" s="289"/>
      <c r="AG19" s="413">
        <v>1445.4</v>
      </c>
      <c r="AH19" s="289"/>
      <c r="AI19" s="289"/>
      <c r="AJ19" s="289"/>
      <c r="AK19" s="289"/>
      <c r="AL19" s="289"/>
      <c r="AM19" s="289"/>
      <c r="AN19" s="289"/>
      <c r="AO19" s="289"/>
      <c r="AP19" s="289"/>
      <c r="AQ19" s="289"/>
      <c r="AR19" s="289"/>
      <c r="AS19" s="289"/>
      <c r="AT19" s="289"/>
      <c r="AU19" s="289"/>
      <c r="AV19" s="289"/>
      <c r="AW19" s="289"/>
      <c r="AX19" s="289"/>
      <c r="AY19" s="290"/>
      <c r="AZ19" s="290"/>
      <c r="BA19" s="290"/>
      <c r="BB19" s="290"/>
      <c r="BC19" s="290"/>
      <c r="BD19" s="290"/>
      <c r="BE19" s="290"/>
      <c r="BF19" s="290"/>
      <c r="BG19" s="290"/>
      <c r="BH19" s="290"/>
      <c r="BI19" s="290"/>
      <c r="BJ19" s="290"/>
      <c r="BK19" s="290"/>
      <c r="BL19" s="290"/>
      <c r="BM19" s="290"/>
      <c r="BN19" s="290"/>
      <c r="BO19" s="290"/>
      <c r="BP19" s="290"/>
      <c r="BQ19" s="290"/>
      <c r="BR19" s="290"/>
      <c r="BS19" s="290"/>
      <c r="BT19" s="290"/>
      <c r="BU19" s="352">
        <v>-53479.799999999988</v>
      </c>
      <c r="BV19" s="4">
        <f>Calculator_Calculations!T54</f>
        <v>-53479.799999999988</v>
      </c>
    </row>
    <row r="20" spans="3:74" ht="15" x14ac:dyDescent="0.25">
      <c r="C20" s="200"/>
      <c r="D20" s="39" t="s">
        <v>38</v>
      </c>
      <c r="E20" s="414">
        <v>0.2</v>
      </c>
      <c r="G20" s="60">
        <v>0.16734845875000001</v>
      </c>
      <c r="K20" s="489"/>
      <c r="L20" s="71" t="s">
        <v>98</v>
      </c>
      <c r="M20" s="86">
        <v>791</v>
      </c>
      <c r="N20" s="289"/>
      <c r="O20" s="289"/>
      <c r="P20" s="289"/>
      <c r="Q20" s="289"/>
      <c r="R20" s="289"/>
      <c r="S20" s="289"/>
      <c r="T20" s="289"/>
      <c r="U20" s="289"/>
      <c r="V20" s="289"/>
      <c r="W20" s="289"/>
      <c r="X20" s="289"/>
      <c r="Y20" s="289"/>
      <c r="Z20" s="289"/>
      <c r="AA20" s="289"/>
      <c r="AB20" s="289"/>
      <c r="AC20" s="289"/>
      <c r="AD20" s="289"/>
      <c r="AE20" s="289"/>
      <c r="AF20" s="289"/>
      <c r="AG20" s="413">
        <v>711.9</v>
      </c>
      <c r="AH20" s="289"/>
      <c r="AI20" s="289"/>
      <c r="AJ20" s="289"/>
      <c r="AK20" s="289"/>
      <c r="AL20" s="289"/>
      <c r="AM20" s="289"/>
      <c r="AN20" s="289"/>
      <c r="AO20" s="289"/>
      <c r="AP20" s="289"/>
      <c r="AQ20" s="289"/>
      <c r="AR20" s="289"/>
      <c r="AS20" s="289"/>
      <c r="AT20" s="289"/>
      <c r="AU20" s="289"/>
      <c r="AV20" s="289"/>
      <c r="AW20" s="289"/>
      <c r="AX20" s="289"/>
      <c r="AY20" s="290"/>
      <c r="AZ20" s="290"/>
      <c r="BA20" s="290"/>
      <c r="BB20" s="290"/>
      <c r="BC20" s="290"/>
      <c r="BD20" s="290"/>
      <c r="BE20" s="290"/>
      <c r="BF20" s="290"/>
      <c r="BG20" s="290"/>
      <c r="BH20" s="290"/>
      <c r="BI20" s="290"/>
      <c r="BJ20" s="290"/>
      <c r="BK20" s="290"/>
      <c r="BL20" s="290"/>
      <c r="BM20" s="290"/>
      <c r="BN20" s="290"/>
      <c r="BO20" s="290"/>
      <c r="BP20" s="290"/>
      <c r="BQ20" s="290"/>
      <c r="BR20" s="290"/>
      <c r="BS20" s="290"/>
      <c r="BT20" s="290"/>
      <c r="BU20" s="352">
        <v>-31007.200000000012</v>
      </c>
      <c r="BV20" s="4">
        <f>Calculator_Calculations!T55</f>
        <v>-31007.200000000012</v>
      </c>
    </row>
    <row r="21" spans="3:74" ht="15" customHeight="1" x14ac:dyDescent="0.25">
      <c r="C21" s="201"/>
      <c r="D21" s="39"/>
      <c r="E21" s="70"/>
      <c r="G21" s="60"/>
      <c r="K21" s="489"/>
      <c r="L21" s="71" t="s">
        <v>114</v>
      </c>
      <c r="M21" s="86">
        <v>1084</v>
      </c>
      <c r="N21" s="289"/>
      <c r="O21" s="289"/>
      <c r="P21" s="289"/>
      <c r="Q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  <c r="AF21" s="289"/>
      <c r="AG21" s="413">
        <v>975.6</v>
      </c>
      <c r="AH21" s="289"/>
      <c r="AI21" s="289"/>
      <c r="AJ21" s="289"/>
      <c r="AK21" s="289"/>
      <c r="AL21" s="289"/>
      <c r="AM21" s="289"/>
      <c r="AN21" s="289"/>
      <c r="AO21" s="289"/>
      <c r="AP21" s="289"/>
      <c r="AQ21" s="289"/>
      <c r="AR21" s="289"/>
      <c r="AS21" s="289"/>
      <c r="AT21" s="289"/>
      <c r="AU21" s="289"/>
      <c r="AV21" s="289"/>
      <c r="AW21" s="289"/>
      <c r="AX21" s="289"/>
      <c r="AY21" s="290"/>
      <c r="AZ21" s="290"/>
      <c r="BA21" s="290"/>
      <c r="BB21" s="290"/>
      <c r="BC21" s="290"/>
      <c r="BD21" s="290"/>
      <c r="BE21" s="290"/>
      <c r="BF21" s="290"/>
      <c r="BG21" s="290"/>
      <c r="BH21" s="290"/>
      <c r="BI21" s="290"/>
      <c r="BJ21" s="290"/>
      <c r="BK21" s="290"/>
      <c r="BL21" s="290"/>
      <c r="BM21" s="290"/>
      <c r="BN21" s="290"/>
      <c r="BO21" s="290"/>
      <c r="BP21" s="290"/>
      <c r="BQ21" s="290"/>
      <c r="BR21" s="290"/>
      <c r="BS21" s="290"/>
      <c r="BT21" s="290"/>
      <c r="BU21" s="352">
        <v>-45419.599999999977</v>
      </c>
      <c r="BV21" s="4">
        <f>Calculator_Calculations!T57</f>
        <v>-45419.599999999977</v>
      </c>
    </row>
    <row r="22" spans="3:74" ht="15" customHeight="1" x14ac:dyDescent="0.25">
      <c r="K22" s="489"/>
      <c r="L22" s="71" t="s">
        <v>100</v>
      </c>
      <c r="M22" s="86">
        <v>775</v>
      </c>
      <c r="N22" s="289"/>
      <c r="O22" s="289"/>
      <c r="P22" s="289"/>
      <c r="Q22" s="289"/>
      <c r="R22" s="289"/>
      <c r="S22" s="289"/>
      <c r="T22" s="289"/>
      <c r="U22" s="289"/>
      <c r="V22" s="289"/>
      <c r="W22" s="289"/>
      <c r="X22" s="289"/>
      <c r="Y22" s="289"/>
      <c r="Z22" s="289"/>
      <c r="AA22" s="289"/>
      <c r="AB22" s="289"/>
      <c r="AC22" s="289"/>
      <c r="AD22" s="289"/>
      <c r="AE22" s="289"/>
      <c r="AF22" s="289"/>
      <c r="AG22" s="413">
        <v>697.5</v>
      </c>
      <c r="AH22" s="289"/>
      <c r="AI22" s="289"/>
      <c r="AJ22" s="289"/>
      <c r="AK22" s="289"/>
      <c r="AL22" s="289"/>
      <c r="AM22" s="289"/>
      <c r="AN22" s="289"/>
      <c r="AO22" s="289"/>
      <c r="AP22" s="289"/>
      <c r="AQ22" s="289"/>
      <c r="AR22" s="289"/>
      <c r="AS22" s="289"/>
      <c r="AT22" s="289"/>
      <c r="AU22" s="289"/>
      <c r="AV22" s="289"/>
      <c r="AW22" s="289"/>
      <c r="AX22" s="289"/>
      <c r="AY22" s="290"/>
      <c r="AZ22" s="290"/>
      <c r="BA22" s="290"/>
      <c r="BB22" s="290"/>
      <c r="BC22" s="290"/>
      <c r="BD22" s="290"/>
      <c r="BE22" s="290"/>
      <c r="BF22" s="290"/>
      <c r="BG22" s="290"/>
      <c r="BH22" s="290"/>
      <c r="BI22" s="290"/>
      <c r="BJ22" s="290"/>
      <c r="BK22" s="290"/>
      <c r="BL22" s="290"/>
      <c r="BM22" s="290"/>
      <c r="BN22" s="290"/>
      <c r="BO22" s="290"/>
      <c r="BP22" s="290"/>
      <c r="BQ22" s="290"/>
      <c r="BR22" s="290"/>
      <c r="BS22" s="290"/>
      <c r="BT22" s="290"/>
      <c r="BU22" s="352">
        <v>-50840</v>
      </c>
      <c r="BV22" s="4">
        <f>Calculator_Calculations!T56</f>
        <v>-50840</v>
      </c>
    </row>
    <row r="23" spans="3:74" ht="15.75" x14ac:dyDescent="0.25">
      <c r="C23" s="58" t="s">
        <v>91</v>
      </c>
      <c r="D23" s="64" t="s">
        <v>92</v>
      </c>
      <c r="E23" s="64" t="s">
        <v>93</v>
      </c>
      <c r="K23" s="489"/>
      <c r="L23" s="71" t="s">
        <v>118</v>
      </c>
      <c r="M23" s="86">
        <v>285</v>
      </c>
      <c r="N23" s="289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  <c r="AF23" s="289"/>
      <c r="AG23" s="413">
        <v>256.5</v>
      </c>
      <c r="AH23" s="289"/>
      <c r="AI23" s="289"/>
      <c r="AJ23" s="289"/>
      <c r="AK23" s="289"/>
      <c r="AL23" s="289"/>
      <c r="AM23" s="289"/>
      <c r="AN23" s="289"/>
      <c r="AO23" s="289"/>
      <c r="AP23" s="289"/>
      <c r="AQ23" s="289"/>
      <c r="AR23" s="289"/>
      <c r="AS23" s="289"/>
      <c r="AT23" s="289"/>
      <c r="AU23" s="289"/>
      <c r="AV23" s="289"/>
      <c r="AW23" s="289"/>
      <c r="AX23" s="289"/>
      <c r="AY23" s="290"/>
      <c r="AZ23" s="290"/>
      <c r="BA23" s="290"/>
      <c r="BB23" s="290"/>
      <c r="BC23" s="290"/>
      <c r="BD23" s="290"/>
      <c r="BE23" s="290"/>
      <c r="BF23" s="290"/>
      <c r="BG23" s="290"/>
      <c r="BH23" s="290"/>
      <c r="BI23" s="290"/>
      <c r="BJ23" s="290"/>
      <c r="BK23" s="290"/>
      <c r="BL23" s="290"/>
      <c r="BM23" s="290"/>
      <c r="BN23" s="290"/>
      <c r="BO23" s="290"/>
      <c r="BP23" s="290"/>
      <c r="BQ23" s="290"/>
      <c r="BR23" s="290"/>
      <c r="BS23" s="290"/>
      <c r="BT23" s="290"/>
      <c r="BU23" s="352">
        <v>-39358.5</v>
      </c>
      <c r="BV23" s="4">
        <f>Calculator_Calculations!T58</f>
        <v>-39358.5</v>
      </c>
    </row>
    <row r="24" spans="3:74" ht="15.75" thickBot="1" x14ac:dyDescent="0.3">
      <c r="C24" s="66" t="s">
        <v>12</v>
      </c>
      <c r="D24" s="361">
        <v>30</v>
      </c>
      <c r="E24" s="67">
        <v>175</v>
      </c>
      <c r="K24" s="490"/>
      <c r="L24" s="73" t="s">
        <v>105</v>
      </c>
      <c r="M24" s="86">
        <v>103</v>
      </c>
      <c r="N24" s="289"/>
      <c r="O24" s="289"/>
      <c r="P24" s="289"/>
      <c r="Q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  <c r="AF24" s="289"/>
      <c r="AG24" s="413">
        <v>103</v>
      </c>
      <c r="AH24" s="289"/>
      <c r="AI24" s="289"/>
      <c r="AJ24" s="289"/>
      <c r="AK24" s="289"/>
      <c r="AL24" s="289"/>
      <c r="AM24" s="289"/>
      <c r="AN24" s="289"/>
      <c r="AO24" s="289"/>
      <c r="AP24" s="289"/>
      <c r="AQ24" s="289"/>
      <c r="AR24" s="289"/>
      <c r="AS24" s="289"/>
      <c r="AT24" s="289"/>
      <c r="AU24" s="289"/>
      <c r="AV24" s="289"/>
      <c r="AW24" s="289"/>
      <c r="AX24" s="289"/>
      <c r="AY24" s="290"/>
      <c r="AZ24" s="290"/>
      <c r="BA24" s="290"/>
      <c r="BB24" s="290"/>
      <c r="BC24" s="290"/>
      <c r="BD24" s="290"/>
      <c r="BE24" s="290"/>
      <c r="BF24" s="290"/>
      <c r="BG24" s="290"/>
      <c r="BH24" s="290"/>
      <c r="BI24" s="290"/>
      <c r="BJ24" s="290"/>
      <c r="BK24" s="290"/>
      <c r="BL24" s="290"/>
      <c r="BM24" s="290"/>
      <c r="BN24" s="290"/>
      <c r="BO24" s="290"/>
      <c r="BP24" s="290"/>
      <c r="BQ24" s="290"/>
      <c r="BR24" s="290"/>
      <c r="BS24" s="290"/>
      <c r="BT24" s="290"/>
      <c r="BU24" s="352">
        <v>0</v>
      </c>
    </row>
    <row r="25" spans="3:74" ht="15" customHeight="1" x14ac:dyDescent="0.25">
      <c r="C25" s="66" t="s">
        <v>30</v>
      </c>
      <c r="D25" s="361">
        <v>15</v>
      </c>
      <c r="E25" s="67">
        <v>155</v>
      </c>
      <c r="K25" s="484" t="s">
        <v>107</v>
      </c>
      <c r="L25" s="464" t="s">
        <v>108</v>
      </c>
      <c r="M25" s="104">
        <f>SUM(M26:M29)</f>
        <v>37920644.719999999</v>
      </c>
      <c r="N25" s="289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89"/>
      <c r="AE25" s="289"/>
      <c r="AF25" s="289"/>
      <c r="AG25" s="305">
        <f>SUM(AG26:AG29)</f>
        <v>44054715.860698104</v>
      </c>
      <c r="AH25" s="289"/>
      <c r="AI25" s="289"/>
      <c r="AJ25" s="289"/>
      <c r="AK25" s="289"/>
      <c r="AL25" s="289"/>
      <c r="AM25" s="289"/>
      <c r="AN25" s="289"/>
      <c r="AO25" s="289"/>
      <c r="AP25" s="289"/>
      <c r="AQ25" s="289"/>
      <c r="AR25" s="289"/>
      <c r="AS25" s="289"/>
      <c r="AT25" s="289"/>
      <c r="AU25" s="289"/>
      <c r="AV25" s="289"/>
      <c r="AW25" s="289"/>
      <c r="AX25" s="289"/>
      <c r="AY25" s="290"/>
      <c r="AZ25" s="290"/>
      <c r="BA25" s="290"/>
      <c r="BB25" s="290"/>
      <c r="BC25" s="290"/>
      <c r="BD25" s="290"/>
      <c r="BE25" s="290"/>
      <c r="BF25" s="290"/>
      <c r="BG25" s="290"/>
      <c r="BH25" s="290"/>
      <c r="BI25" s="290"/>
      <c r="BJ25" s="290"/>
      <c r="BK25" s="290"/>
      <c r="BL25" s="290"/>
      <c r="BM25" s="290"/>
      <c r="BN25" s="290"/>
      <c r="BO25" s="290"/>
      <c r="BP25" s="290"/>
      <c r="BQ25" s="290"/>
      <c r="BR25" s="290"/>
      <c r="BS25" s="290"/>
      <c r="BT25" s="290"/>
      <c r="BU25" s="352"/>
    </row>
    <row r="26" spans="3:74" ht="15.75" customHeight="1" x14ac:dyDescent="0.25">
      <c r="C26" s="66" t="s">
        <v>38</v>
      </c>
      <c r="D26" s="361">
        <v>15</v>
      </c>
      <c r="E26" s="67">
        <v>120</v>
      </c>
      <c r="K26" s="484"/>
      <c r="L26" s="71" t="s">
        <v>110</v>
      </c>
      <c r="M26" s="104">
        <v>17408673.990000002</v>
      </c>
      <c r="N26" s="289"/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9"/>
      <c r="AA26" s="289"/>
      <c r="AB26" s="289"/>
      <c r="AC26" s="289"/>
      <c r="AD26" s="289"/>
      <c r="AE26" s="289"/>
      <c r="AF26" s="289"/>
      <c r="AG26" s="415">
        <v>22426672.797939125</v>
      </c>
      <c r="AH26" s="289"/>
      <c r="AI26" s="289"/>
      <c r="AJ26" s="289"/>
      <c r="AK26" s="289"/>
      <c r="AL26" s="289"/>
      <c r="AM26" s="289"/>
      <c r="AN26" s="289"/>
      <c r="AO26" s="289"/>
      <c r="AP26" s="289"/>
      <c r="AQ26" s="289"/>
      <c r="AR26" s="289"/>
      <c r="AS26" s="289"/>
      <c r="AT26" s="289"/>
      <c r="AU26" s="289"/>
      <c r="AV26" s="289"/>
      <c r="AW26" s="289"/>
      <c r="AX26" s="289"/>
      <c r="AY26" s="290"/>
      <c r="AZ26" s="290"/>
      <c r="BA26" s="290"/>
      <c r="BB26" s="290"/>
      <c r="BC26" s="290"/>
      <c r="BD26" s="290"/>
      <c r="BE26" s="290"/>
      <c r="BF26" s="290"/>
      <c r="BG26" s="290"/>
      <c r="BH26" s="290"/>
      <c r="BI26" s="290"/>
      <c r="BJ26" s="290"/>
      <c r="BK26" s="290"/>
      <c r="BL26" s="290"/>
      <c r="BM26" s="290"/>
      <c r="BN26" s="290"/>
      <c r="BO26" s="290"/>
      <c r="BP26" s="290"/>
      <c r="BQ26" s="290"/>
      <c r="BR26" s="290"/>
      <c r="BS26" s="290"/>
      <c r="BT26" s="290"/>
      <c r="BU26" s="352">
        <v>95355.701627283721</v>
      </c>
      <c r="BV26" s="4">
        <f>Calculator_Calculations!Q106</f>
        <v>95355.701627283721</v>
      </c>
    </row>
    <row r="27" spans="3:74" ht="15" customHeight="1" x14ac:dyDescent="0.25">
      <c r="K27" s="484"/>
      <c r="L27" s="71" t="s">
        <v>204</v>
      </c>
      <c r="M27" s="104">
        <v>6755882.290000001</v>
      </c>
      <c r="N27" s="289"/>
      <c r="O27" s="289"/>
      <c r="P27" s="289"/>
      <c r="Q27" s="289"/>
      <c r="R27" s="289"/>
      <c r="S27" s="289"/>
      <c r="T27" s="289"/>
      <c r="U27" s="289"/>
      <c r="V27" s="289"/>
      <c r="W27" s="289"/>
      <c r="X27" s="289"/>
      <c r="Y27" s="289"/>
      <c r="Z27" s="289"/>
      <c r="AA27" s="289"/>
      <c r="AB27" s="289"/>
      <c r="AC27" s="289"/>
      <c r="AD27" s="289"/>
      <c r="AE27" s="289"/>
      <c r="AF27" s="289"/>
      <c r="AG27" s="415">
        <v>6755882.2900222782</v>
      </c>
      <c r="AH27" s="289"/>
      <c r="AI27" s="289"/>
      <c r="AJ27" s="289"/>
      <c r="AK27" s="289"/>
      <c r="AL27" s="289"/>
      <c r="AM27" s="289"/>
      <c r="AN27" s="289"/>
      <c r="AO27" s="289"/>
      <c r="AP27" s="289"/>
      <c r="AQ27" s="289"/>
      <c r="AR27" s="289"/>
      <c r="AS27" s="289"/>
      <c r="AT27" s="289"/>
      <c r="AU27" s="289"/>
      <c r="AV27" s="289"/>
      <c r="AW27" s="289"/>
      <c r="AX27" s="289"/>
      <c r="AY27" s="290"/>
      <c r="AZ27" s="290"/>
      <c r="BA27" s="290"/>
      <c r="BB27" s="290"/>
      <c r="BC27" s="290"/>
      <c r="BD27" s="290"/>
      <c r="BE27" s="290"/>
      <c r="BF27" s="290"/>
      <c r="BG27" s="290"/>
      <c r="BH27" s="290"/>
      <c r="BI27" s="290"/>
      <c r="BJ27" s="290"/>
      <c r="BK27" s="290"/>
      <c r="BL27" s="290"/>
      <c r="BM27" s="290"/>
      <c r="BN27" s="290"/>
      <c r="BO27" s="290"/>
      <c r="BP27" s="290"/>
      <c r="BQ27" s="290"/>
      <c r="BR27" s="290"/>
      <c r="BS27" s="290"/>
      <c r="BT27" s="290"/>
      <c r="BU27" s="352">
        <v>5.3130013791520583E-7</v>
      </c>
      <c r="BV27" s="4">
        <f>Calculator_Calculations!Q107</f>
        <v>5.3130013791520583E-7</v>
      </c>
    </row>
    <row r="28" spans="3:74" ht="15" x14ac:dyDescent="0.25">
      <c r="C28" s="435" t="s">
        <v>341</v>
      </c>
      <c r="D28" s="436" t="s">
        <v>12</v>
      </c>
      <c r="E28" s="436" t="s">
        <v>30</v>
      </c>
      <c r="G28" s="19" t="s">
        <v>38</v>
      </c>
      <c r="K28" s="484"/>
      <c r="L28" s="71" t="s">
        <v>205</v>
      </c>
      <c r="M28" s="104">
        <v>1912075.4900000002</v>
      </c>
      <c r="N28" s="289"/>
      <c r="O28" s="289"/>
      <c r="P28" s="289"/>
      <c r="Q28" s="289"/>
      <c r="R28" s="289"/>
      <c r="S28" s="289"/>
      <c r="T28" s="289"/>
      <c r="U28" s="289"/>
      <c r="V28" s="289"/>
      <c r="W28" s="289"/>
      <c r="X28" s="289"/>
      <c r="Y28" s="289"/>
      <c r="Z28" s="289"/>
      <c r="AA28" s="289"/>
      <c r="AB28" s="289"/>
      <c r="AC28" s="289"/>
      <c r="AD28" s="289"/>
      <c r="AE28" s="289"/>
      <c r="AF28" s="289"/>
      <c r="AG28" s="415">
        <v>1912075.49</v>
      </c>
      <c r="AH28" s="289"/>
      <c r="AI28" s="289"/>
      <c r="AJ28" s="289"/>
      <c r="AK28" s="289"/>
      <c r="AL28" s="289"/>
      <c r="AM28" s="289"/>
      <c r="AN28" s="289"/>
      <c r="AO28" s="289"/>
      <c r="AP28" s="289"/>
      <c r="AQ28" s="289"/>
      <c r="AR28" s="289"/>
      <c r="AS28" s="289"/>
      <c r="AT28" s="289"/>
      <c r="AU28" s="289"/>
      <c r="AV28" s="289"/>
      <c r="AW28" s="289"/>
      <c r="AX28" s="289"/>
      <c r="AY28" s="290"/>
      <c r="AZ28" s="290"/>
      <c r="BA28" s="290"/>
      <c r="BB28" s="290"/>
      <c r="BC28" s="290"/>
      <c r="BD28" s="290"/>
      <c r="BE28" s="290"/>
      <c r="BF28" s="290"/>
      <c r="BG28" s="290"/>
      <c r="BH28" s="290"/>
      <c r="BI28" s="290"/>
      <c r="BJ28" s="290"/>
      <c r="BK28" s="290"/>
      <c r="BL28" s="290"/>
      <c r="BM28" s="290"/>
      <c r="BN28" s="290"/>
      <c r="BO28" s="290"/>
      <c r="BP28" s="290"/>
      <c r="BQ28" s="290"/>
      <c r="BR28" s="290"/>
      <c r="BS28" s="290"/>
      <c r="BT28" s="290"/>
      <c r="BU28" s="352">
        <v>0</v>
      </c>
      <c r="BV28" s="4">
        <f>Calculator_Calculations!Q108</f>
        <v>0</v>
      </c>
    </row>
    <row r="29" spans="3:74" ht="15" customHeight="1" thickBot="1" x14ac:dyDescent="0.3">
      <c r="C29" s="69" t="s">
        <v>97</v>
      </c>
      <c r="D29" s="329">
        <v>22600.249066002492</v>
      </c>
      <c r="E29" s="329">
        <v>18926.115241635689</v>
      </c>
      <c r="G29" s="329">
        <v>19010.761589403974</v>
      </c>
      <c r="K29" s="485"/>
      <c r="L29" s="344" t="s">
        <v>106</v>
      </c>
      <c r="M29" s="104">
        <v>11844012.949999999</v>
      </c>
      <c r="N29" s="289"/>
      <c r="O29" s="289"/>
      <c r="P29" s="289"/>
      <c r="Q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  <c r="AF29" s="289"/>
      <c r="AG29" s="415">
        <v>12960085.282736696</v>
      </c>
      <c r="AH29" s="289"/>
      <c r="AI29" s="289"/>
      <c r="AJ29" s="289"/>
      <c r="AK29" s="289"/>
      <c r="AL29" s="289"/>
      <c r="AM29" s="289"/>
      <c r="AN29" s="289"/>
      <c r="AO29" s="289"/>
      <c r="AP29" s="289"/>
      <c r="AQ29" s="289"/>
      <c r="AR29" s="289"/>
      <c r="AS29" s="289"/>
      <c r="AT29" s="289"/>
      <c r="AU29" s="289"/>
      <c r="AV29" s="289"/>
      <c r="AW29" s="289"/>
      <c r="AX29" s="289"/>
      <c r="AY29" s="290"/>
      <c r="AZ29" s="290"/>
      <c r="BA29" s="290"/>
      <c r="BB29" s="290"/>
      <c r="BC29" s="290"/>
      <c r="BD29" s="290"/>
      <c r="BE29" s="290"/>
      <c r="BF29" s="290"/>
      <c r="BG29" s="290"/>
      <c r="BH29" s="290"/>
      <c r="BI29" s="290"/>
      <c r="BJ29" s="290"/>
      <c r="BK29" s="290"/>
      <c r="BL29" s="290"/>
      <c r="BM29" s="290"/>
      <c r="BN29" s="290"/>
      <c r="BO29" s="290"/>
      <c r="BP29" s="290"/>
      <c r="BQ29" s="290"/>
      <c r="BR29" s="290"/>
      <c r="BS29" s="290"/>
      <c r="BT29" s="290"/>
      <c r="BU29" s="352">
        <v>32540.271573491609</v>
      </c>
      <c r="BV29" s="4">
        <f>Calculator_Calculations!Q109</f>
        <v>32540.271573491609</v>
      </c>
    </row>
    <row r="30" spans="3:74" ht="15.75" customHeight="1" x14ac:dyDescent="0.25">
      <c r="C30" s="69" t="s">
        <v>98</v>
      </c>
      <c r="D30" s="329">
        <v>17168.141592920354</v>
      </c>
      <c r="E30" s="329">
        <v>13580.696202531646</v>
      </c>
      <c r="G30" s="329">
        <v>14746.113989637306</v>
      </c>
      <c r="K30" s="480" t="s">
        <v>400</v>
      </c>
      <c r="L30" s="19" t="s">
        <v>232</v>
      </c>
      <c r="M30" s="104">
        <v>8575566.7899999991</v>
      </c>
      <c r="N30" s="290"/>
      <c r="O30" s="290"/>
      <c r="P30" s="290"/>
      <c r="Q30" s="290"/>
      <c r="R30" s="290"/>
      <c r="S30" s="290"/>
      <c r="T30" s="290"/>
      <c r="U30" s="290"/>
      <c r="V30" s="290"/>
      <c r="W30" s="290"/>
      <c r="X30" s="290"/>
      <c r="Y30" s="290"/>
      <c r="Z30" s="290"/>
      <c r="AA30" s="290"/>
      <c r="AB30" s="290"/>
      <c r="AC30" s="290"/>
      <c r="AD30" s="290"/>
      <c r="AE30" s="290"/>
      <c r="AF30" s="290"/>
      <c r="AG30" s="415">
        <v>8575566.7899999991</v>
      </c>
      <c r="AH30" s="290"/>
      <c r="AI30" s="290"/>
      <c r="AJ30" s="290"/>
      <c r="AK30" s="290"/>
      <c r="AL30" s="290"/>
      <c r="AM30" s="290"/>
      <c r="AN30" s="290"/>
      <c r="AO30" s="290"/>
      <c r="AP30" s="290"/>
      <c r="AQ30" s="290"/>
      <c r="AR30" s="290"/>
      <c r="AS30" s="290"/>
      <c r="AT30" s="290"/>
      <c r="AU30" s="290"/>
      <c r="AV30" s="290"/>
      <c r="AW30" s="290"/>
      <c r="AX30" s="290"/>
      <c r="AY30" s="290"/>
      <c r="AZ30" s="290"/>
      <c r="BA30" s="290"/>
      <c r="BB30" s="290"/>
      <c r="BC30" s="290"/>
      <c r="BD30" s="290"/>
      <c r="BE30" s="290"/>
      <c r="BF30" s="290"/>
      <c r="BG30" s="290"/>
      <c r="BH30" s="290"/>
      <c r="BI30" s="290"/>
      <c r="BJ30" s="290"/>
      <c r="BK30" s="290"/>
      <c r="BL30" s="290"/>
      <c r="BM30" s="290"/>
      <c r="BN30" s="290"/>
      <c r="BO30" s="290"/>
      <c r="BP30" s="290"/>
      <c r="BQ30" s="290"/>
      <c r="BR30" s="290"/>
      <c r="BS30" s="290"/>
      <c r="BT30" s="290"/>
      <c r="BU30" s="352">
        <v>0</v>
      </c>
      <c r="BV30" s="210">
        <f>Calculator_Calculations!Q139</f>
        <v>0</v>
      </c>
    </row>
    <row r="31" spans="3:74" ht="15" customHeight="1" x14ac:dyDescent="0.25">
      <c r="C31" s="69" t="s">
        <v>100</v>
      </c>
      <c r="D31" s="329">
        <v>12882.903225806451</v>
      </c>
      <c r="E31" s="329">
        <v>12025.096525096526</v>
      </c>
      <c r="G31" s="329">
        <v>11228.070175438597</v>
      </c>
      <c r="K31" s="481"/>
      <c r="L31" s="19" t="s">
        <v>119</v>
      </c>
      <c r="M31" s="104">
        <v>5641800</v>
      </c>
      <c r="N31" s="290"/>
      <c r="O31" s="290"/>
      <c r="P31" s="290"/>
      <c r="Q31" s="290"/>
      <c r="R31" s="290"/>
      <c r="S31" s="290"/>
      <c r="T31" s="290"/>
      <c r="U31" s="290"/>
      <c r="V31" s="290"/>
      <c r="W31" s="290"/>
      <c r="X31" s="290"/>
      <c r="Y31" s="290"/>
      <c r="Z31" s="290"/>
      <c r="AA31" s="290"/>
      <c r="AB31" s="290"/>
      <c r="AC31" s="290"/>
      <c r="AD31" s="290"/>
      <c r="AE31" s="290"/>
      <c r="AF31" s="290"/>
      <c r="AG31" s="415">
        <v>5641800</v>
      </c>
      <c r="AH31" s="290"/>
      <c r="AI31" s="290"/>
      <c r="AJ31" s="290"/>
      <c r="AK31" s="290"/>
      <c r="AL31" s="290"/>
      <c r="AM31" s="290"/>
      <c r="AN31" s="290"/>
      <c r="AO31" s="290"/>
      <c r="AP31" s="290"/>
      <c r="AQ31" s="290"/>
      <c r="AR31" s="290"/>
      <c r="AS31" s="290"/>
      <c r="AT31" s="290"/>
      <c r="AU31" s="290"/>
      <c r="AV31" s="290"/>
      <c r="AW31" s="290"/>
      <c r="AX31" s="290"/>
      <c r="AY31" s="290"/>
      <c r="AZ31" s="290"/>
      <c r="BA31" s="290"/>
      <c r="BB31" s="290"/>
      <c r="BC31" s="290"/>
      <c r="BD31" s="290"/>
      <c r="BE31" s="290"/>
      <c r="BF31" s="290"/>
      <c r="BG31" s="290"/>
      <c r="BH31" s="290"/>
      <c r="BI31" s="290"/>
      <c r="BJ31" s="290"/>
      <c r="BK31" s="290"/>
      <c r="BL31" s="290"/>
      <c r="BM31" s="290"/>
      <c r="BN31" s="290"/>
      <c r="BO31" s="290"/>
      <c r="BP31" s="290"/>
      <c r="BQ31" s="290"/>
      <c r="BR31" s="290"/>
      <c r="BS31" s="290"/>
      <c r="BT31" s="290"/>
      <c r="BU31" s="352">
        <v>0</v>
      </c>
      <c r="BV31" s="210">
        <f>Calculator_Calculations!Q140</f>
        <v>0</v>
      </c>
    </row>
    <row r="32" spans="3:74" ht="15" customHeight="1" x14ac:dyDescent="0.25">
      <c r="C32" s="69" t="s">
        <v>114</v>
      </c>
      <c r="D32" s="329">
        <v>7596.4022140221405</v>
      </c>
      <c r="E32" s="329">
        <v>4900.651465798046</v>
      </c>
      <c r="G32" s="329">
        <v>6641.8918918918916</v>
      </c>
      <c r="K32" s="481"/>
      <c r="L32" s="19" t="s">
        <v>233</v>
      </c>
      <c r="M32" s="104">
        <v>797400</v>
      </c>
      <c r="N32" s="290"/>
      <c r="O32" s="290"/>
      <c r="P32" s="290"/>
      <c r="Q32" s="290"/>
      <c r="R32" s="290"/>
      <c r="S32" s="290"/>
      <c r="T32" s="290"/>
      <c r="U32" s="290"/>
      <c r="V32" s="290"/>
      <c r="W32" s="290"/>
      <c r="X32" s="290"/>
      <c r="Y32" s="290"/>
      <c r="Z32" s="290"/>
      <c r="AA32" s="290"/>
      <c r="AB32" s="290"/>
      <c r="AC32" s="290"/>
      <c r="AD32" s="290"/>
      <c r="AE32" s="290"/>
      <c r="AF32" s="290"/>
      <c r="AG32" s="415">
        <v>797400</v>
      </c>
      <c r="AH32" s="290"/>
      <c r="AI32" s="290"/>
      <c r="AJ32" s="290"/>
      <c r="AK32" s="290"/>
      <c r="AL32" s="290"/>
      <c r="AM32" s="290"/>
      <c r="AN32" s="290"/>
      <c r="AO32" s="290"/>
      <c r="AP32" s="290"/>
      <c r="AQ32" s="290"/>
      <c r="AR32" s="290"/>
      <c r="AS32" s="290"/>
      <c r="AT32" s="290"/>
      <c r="AU32" s="290"/>
      <c r="AV32" s="290"/>
      <c r="AW32" s="290"/>
      <c r="AX32" s="290"/>
      <c r="AY32" s="290"/>
      <c r="AZ32" s="290"/>
      <c r="BA32" s="290"/>
      <c r="BB32" s="290"/>
      <c r="BC32" s="290"/>
      <c r="BD32" s="290"/>
      <c r="BE32" s="290"/>
      <c r="BF32" s="290"/>
      <c r="BG32" s="290"/>
      <c r="BH32" s="290"/>
      <c r="BI32" s="290"/>
      <c r="BJ32" s="290"/>
      <c r="BK32" s="290"/>
      <c r="BL32" s="290"/>
      <c r="BM32" s="290"/>
      <c r="BN32" s="290"/>
      <c r="BO32" s="290"/>
      <c r="BP32" s="290"/>
      <c r="BQ32" s="290"/>
      <c r="BR32" s="290"/>
      <c r="BS32" s="290"/>
      <c r="BT32" s="290"/>
      <c r="BU32" s="352">
        <v>0</v>
      </c>
      <c r="BV32" s="210">
        <f>Calculator_Calculations!Q141</f>
        <v>0</v>
      </c>
    </row>
    <row r="33" spans="3:234" ht="15.75" customHeight="1" thickBot="1" x14ac:dyDescent="0.3">
      <c r="C33" s="69" t="s">
        <v>118</v>
      </c>
      <c r="D33" s="329">
        <v>13947.368421052632</v>
      </c>
      <c r="E33" s="329">
        <v>9840.7738095238092</v>
      </c>
      <c r="G33" s="329">
        <v>11166.666666666666</v>
      </c>
      <c r="K33" s="482"/>
      <c r="L33" s="19" t="s">
        <v>120</v>
      </c>
      <c r="M33" s="104">
        <v>17309220</v>
      </c>
      <c r="N33" s="290"/>
      <c r="O33" s="290"/>
      <c r="P33" s="290"/>
      <c r="Q33" s="290"/>
      <c r="R33" s="290"/>
      <c r="S33" s="290"/>
      <c r="T33" s="290"/>
      <c r="U33" s="290"/>
      <c r="V33" s="290"/>
      <c r="W33" s="290"/>
      <c r="X33" s="290"/>
      <c r="Y33" s="290"/>
      <c r="Z33" s="290"/>
      <c r="AA33" s="290"/>
      <c r="AB33" s="290"/>
      <c r="AC33" s="290"/>
      <c r="AD33" s="290"/>
      <c r="AE33" s="290"/>
      <c r="AF33" s="290"/>
      <c r="AG33" s="415">
        <v>17309220</v>
      </c>
      <c r="AH33" s="290"/>
      <c r="AI33" s="290"/>
      <c r="AJ33" s="290"/>
      <c r="AK33" s="290"/>
      <c r="AL33" s="290"/>
      <c r="AM33" s="290"/>
      <c r="AN33" s="290"/>
      <c r="AO33" s="290"/>
      <c r="AP33" s="290"/>
      <c r="AQ33" s="290"/>
      <c r="AR33" s="290"/>
      <c r="AS33" s="290"/>
      <c r="AT33" s="290"/>
      <c r="AU33" s="290"/>
      <c r="AV33" s="290"/>
      <c r="AW33" s="290"/>
      <c r="AX33" s="290"/>
      <c r="AY33" s="290"/>
      <c r="AZ33" s="290"/>
      <c r="BA33" s="290"/>
      <c r="BB33" s="290"/>
      <c r="BC33" s="290"/>
      <c r="BD33" s="290"/>
      <c r="BE33" s="290"/>
      <c r="BF33" s="290"/>
      <c r="BG33" s="290"/>
      <c r="BH33" s="290"/>
      <c r="BI33" s="290"/>
      <c r="BJ33" s="290"/>
      <c r="BK33" s="290"/>
      <c r="BL33" s="290"/>
      <c r="BM33" s="290"/>
      <c r="BN33" s="290"/>
      <c r="BO33" s="290"/>
      <c r="BP33" s="290"/>
      <c r="BQ33" s="290"/>
      <c r="BR33" s="290"/>
      <c r="BS33" s="290"/>
      <c r="BT33" s="290"/>
      <c r="BU33" s="352">
        <v>0</v>
      </c>
      <c r="BV33" s="210">
        <f>Calculator_Calculations!Q142</f>
        <v>0</v>
      </c>
    </row>
    <row r="34" spans="3:234" ht="15.75" thickBot="1" x14ac:dyDescent="0.3">
      <c r="K34" s="320" t="s">
        <v>264</v>
      </c>
      <c r="L34" s="20" t="s">
        <v>252</v>
      </c>
      <c r="M34" s="104">
        <v>75869258.460000008</v>
      </c>
      <c r="N34" s="290"/>
      <c r="O34" s="290"/>
      <c r="P34" s="290"/>
      <c r="Q34" s="290"/>
      <c r="R34" s="290"/>
      <c r="S34" s="290"/>
      <c r="T34" s="290"/>
      <c r="U34" s="290"/>
      <c r="V34" s="290"/>
      <c r="W34" s="290"/>
      <c r="X34" s="290"/>
      <c r="Y34" s="290"/>
      <c r="Z34" s="290"/>
      <c r="AA34" s="290"/>
      <c r="AB34" s="290"/>
      <c r="AC34" s="290"/>
      <c r="AD34" s="290"/>
      <c r="AE34" s="290"/>
      <c r="AF34" s="290"/>
      <c r="AG34" s="415">
        <v>75869258.460000008</v>
      </c>
      <c r="AH34" s="290"/>
      <c r="AI34" s="290"/>
      <c r="AJ34" s="290"/>
      <c r="AK34" s="290"/>
      <c r="AL34" s="290"/>
      <c r="AM34" s="290"/>
      <c r="AN34" s="290"/>
      <c r="AO34" s="290"/>
      <c r="AP34" s="290"/>
      <c r="AQ34" s="290"/>
      <c r="AR34" s="290"/>
      <c r="AS34" s="290"/>
      <c r="AT34" s="290"/>
      <c r="AU34" s="290"/>
      <c r="AV34" s="290"/>
      <c r="AW34" s="290"/>
      <c r="AX34" s="290"/>
      <c r="AY34" s="290"/>
      <c r="AZ34" s="290"/>
      <c r="BA34" s="290"/>
      <c r="BB34" s="290"/>
      <c r="BC34" s="290"/>
      <c r="BD34" s="290"/>
      <c r="BE34" s="290"/>
      <c r="BF34" s="290"/>
      <c r="BG34" s="290"/>
      <c r="BH34" s="290"/>
      <c r="BI34" s="290"/>
      <c r="BJ34" s="290"/>
      <c r="BK34" s="290"/>
      <c r="BL34" s="290"/>
      <c r="BM34" s="290"/>
      <c r="BN34" s="290"/>
      <c r="BO34" s="290"/>
      <c r="BP34" s="290"/>
      <c r="BQ34" s="290"/>
      <c r="BR34" s="290"/>
      <c r="BS34" s="290"/>
      <c r="BT34" s="290"/>
      <c r="BU34" s="352">
        <v>0</v>
      </c>
      <c r="BV34">
        <f>Calculator_Calculations!S151</f>
        <v>0</v>
      </c>
    </row>
    <row r="35" spans="3:234" ht="15.75" thickBot="1" x14ac:dyDescent="0.3">
      <c r="C35" s="314" t="s">
        <v>99</v>
      </c>
      <c r="D35" s="314"/>
      <c r="E35" s="471">
        <f>Simulator2!E35</f>
        <v>0.3</v>
      </c>
      <c r="F35" s="90"/>
      <c r="G35" s="471">
        <f>Simulator2!G35</f>
        <v>0.3</v>
      </c>
      <c r="H35" s="90"/>
      <c r="I35" s="471">
        <f>Simulator2!I35</f>
        <v>0.5</v>
      </c>
    </row>
    <row r="36" spans="3:234" ht="15.75" customHeight="1" thickBot="1" x14ac:dyDescent="0.3">
      <c r="C36" s="525" t="s">
        <v>101</v>
      </c>
      <c r="D36" s="526"/>
      <c r="E36" s="313" t="s">
        <v>12</v>
      </c>
      <c r="G36" s="64" t="s">
        <v>30</v>
      </c>
      <c r="I36" s="64" t="s">
        <v>38</v>
      </c>
    </row>
    <row r="37" spans="3:234" ht="15.75" customHeight="1" x14ac:dyDescent="0.25">
      <c r="C37" s="477" t="s">
        <v>103</v>
      </c>
      <c r="D37" s="315" t="s">
        <v>104</v>
      </c>
      <c r="E37" s="70">
        <v>2.5319217683916206E-2</v>
      </c>
      <c r="G37" s="70">
        <v>1.6018600522454657E-2</v>
      </c>
      <c r="I37" s="70">
        <v>2.1876040052405701E-2</v>
      </c>
      <c r="K37" s="493" t="s">
        <v>122</v>
      </c>
      <c r="L37" s="494"/>
      <c r="M37" s="494"/>
      <c r="N37" s="494"/>
      <c r="O37" s="494"/>
      <c r="P37" s="494"/>
      <c r="Q37" s="494"/>
      <c r="R37" s="494"/>
      <c r="S37" s="494"/>
      <c r="T37" s="494"/>
      <c r="U37" s="494"/>
      <c r="V37" s="494"/>
      <c r="W37" s="494"/>
      <c r="X37" s="494"/>
      <c r="Y37" s="494"/>
      <c r="Z37" s="494"/>
      <c r="AA37" s="494"/>
      <c r="AB37" s="494"/>
      <c r="AC37" s="494"/>
      <c r="AD37" s="494"/>
      <c r="AE37" s="494"/>
      <c r="AF37" s="494"/>
      <c r="AG37" s="494"/>
      <c r="AH37" s="494"/>
      <c r="AI37" s="494"/>
      <c r="AJ37" s="494"/>
      <c r="AK37" s="494"/>
      <c r="AL37" s="494"/>
      <c r="AM37" s="494"/>
      <c r="AN37" s="494"/>
      <c r="AO37" s="494"/>
      <c r="AP37" s="494"/>
      <c r="AQ37" s="494"/>
      <c r="AR37" s="494"/>
      <c r="AS37" s="494"/>
      <c r="AT37" s="494"/>
      <c r="AU37" s="494"/>
      <c r="AV37" s="494"/>
      <c r="AW37" s="494"/>
      <c r="AX37" s="494"/>
      <c r="AY37" s="494"/>
      <c r="AZ37" s="494"/>
      <c r="BA37" s="494"/>
      <c r="BB37" s="494"/>
      <c r="BC37" s="494"/>
      <c r="BD37" s="494"/>
      <c r="BE37" s="494"/>
      <c r="BF37" s="494"/>
      <c r="BG37" s="494"/>
      <c r="BH37" s="494"/>
      <c r="BI37" s="494"/>
      <c r="BJ37" s="494"/>
      <c r="BK37" s="494"/>
      <c r="BL37" s="494"/>
      <c r="BM37" s="494"/>
      <c r="BN37" s="494"/>
      <c r="BO37" s="494"/>
      <c r="BP37" s="494"/>
      <c r="BQ37" s="494"/>
      <c r="BR37" s="494"/>
      <c r="BS37" s="494"/>
      <c r="BT37" s="495"/>
      <c r="BU37" s="514" t="s">
        <v>393</v>
      </c>
      <c r="BV37" s="554" t="s">
        <v>394</v>
      </c>
    </row>
    <row r="38" spans="3:234" ht="15" customHeight="1" x14ac:dyDescent="0.25">
      <c r="C38" s="478"/>
      <c r="D38" s="108" t="s">
        <v>106</v>
      </c>
      <c r="E38" s="70">
        <v>2.5019347143833089E-2</v>
      </c>
      <c r="G38" s="70">
        <v>3.4728323102035219E-2</v>
      </c>
      <c r="I38" s="70">
        <v>7.8215985700524262E-3</v>
      </c>
      <c r="K38" s="496"/>
      <c r="L38" s="497"/>
      <c r="M38" s="497"/>
      <c r="N38" s="497"/>
      <c r="O38" s="497"/>
      <c r="P38" s="497"/>
      <c r="Q38" s="497"/>
      <c r="R38" s="497"/>
      <c r="S38" s="497"/>
      <c r="T38" s="497"/>
      <c r="U38" s="497"/>
      <c r="V38" s="497"/>
      <c r="W38" s="497"/>
      <c r="X38" s="497"/>
      <c r="Y38" s="497"/>
      <c r="Z38" s="497"/>
      <c r="AA38" s="497"/>
      <c r="AB38" s="497"/>
      <c r="AC38" s="497"/>
      <c r="AD38" s="497"/>
      <c r="AE38" s="497"/>
      <c r="AF38" s="497"/>
      <c r="AG38" s="497"/>
      <c r="AH38" s="497"/>
      <c r="AI38" s="497"/>
      <c r="AJ38" s="497"/>
      <c r="AK38" s="497"/>
      <c r="AL38" s="497"/>
      <c r="AM38" s="497"/>
      <c r="AN38" s="497"/>
      <c r="AO38" s="497"/>
      <c r="AP38" s="497"/>
      <c r="AQ38" s="497"/>
      <c r="AR38" s="497"/>
      <c r="AS38" s="497"/>
      <c r="AT38" s="497"/>
      <c r="AU38" s="497"/>
      <c r="AV38" s="497"/>
      <c r="AW38" s="497"/>
      <c r="AX38" s="497"/>
      <c r="AY38" s="497"/>
      <c r="AZ38" s="497"/>
      <c r="BA38" s="497"/>
      <c r="BB38" s="497"/>
      <c r="BC38" s="497"/>
      <c r="BD38" s="497"/>
      <c r="BE38" s="497"/>
      <c r="BF38" s="497"/>
      <c r="BG38" s="497"/>
      <c r="BH38" s="497"/>
      <c r="BI38" s="497"/>
      <c r="BJ38" s="497"/>
      <c r="BK38" s="497"/>
      <c r="BL38" s="497"/>
      <c r="BM38" s="497"/>
      <c r="BN38" s="497"/>
      <c r="BO38" s="497"/>
      <c r="BP38" s="497"/>
      <c r="BQ38" s="497"/>
      <c r="BR38" s="497"/>
      <c r="BS38" s="497"/>
      <c r="BT38" s="498"/>
      <c r="BU38" s="515"/>
      <c r="BV38" s="555"/>
    </row>
    <row r="39" spans="3:234" ht="15" customHeight="1" thickBot="1" x14ac:dyDescent="0.3">
      <c r="C39" s="478"/>
      <c r="D39" s="108" t="s">
        <v>109</v>
      </c>
      <c r="E39" s="70">
        <v>9.8614418321418498E-2</v>
      </c>
      <c r="G39" s="70">
        <v>0.17696028092771701</v>
      </c>
      <c r="I39" s="70">
        <v>0.18407802986902216</v>
      </c>
      <c r="K39" s="499"/>
      <c r="L39" s="500"/>
      <c r="M39" s="500"/>
      <c r="N39" s="500"/>
      <c r="O39" s="500"/>
      <c r="P39" s="500"/>
      <c r="Q39" s="500"/>
      <c r="R39" s="500"/>
      <c r="S39" s="500"/>
      <c r="T39" s="500"/>
      <c r="U39" s="500"/>
      <c r="V39" s="500"/>
      <c r="W39" s="500"/>
      <c r="X39" s="500"/>
      <c r="Y39" s="500"/>
      <c r="Z39" s="500"/>
      <c r="AA39" s="500"/>
      <c r="AB39" s="500"/>
      <c r="AC39" s="500"/>
      <c r="AD39" s="500"/>
      <c r="AE39" s="500"/>
      <c r="AF39" s="500"/>
      <c r="AG39" s="500"/>
      <c r="AH39" s="500"/>
      <c r="AI39" s="500"/>
      <c r="AJ39" s="500"/>
      <c r="AK39" s="500"/>
      <c r="AL39" s="500"/>
      <c r="AM39" s="500"/>
      <c r="AN39" s="500"/>
      <c r="AO39" s="500"/>
      <c r="AP39" s="500"/>
      <c r="AQ39" s="500"/>
      <c r="AR39" s="500"/>
      <c r="AS39" s="500"/>
      <c r="AT39" s="500"/>
      <c r="AU39" s="500"/>
      <c r="AV39" s="500"/>
      <c r="AW39" s="500"/>
      <c r="AX39" s="500"/>
      <c r="AY39" s="500"/>
      <c r="AZ39" s="500"/>
      <c r="BA39" s="500"/>
      <c r="BB39" s="500"/>
      <c r="BC39" s="500"/>
      <c r="BD39" s="500"/>
      <c r="BE39" s="500"/>
      <c r="BF39" s="500"/>
      <c r="BG39" s="500"/>
      <c r="BH39" s="500"/>
      <c r="BI39" s="500"/>
      <c r="BJ39" s="500"/>
      <c r="BK39" s="500"/>
      <c r="BL39" s="500"/>
      <c r="BM39" s="500"/>
      <c r="BN39" s="500"/>
      <c r="BO39" s="500"/>
      <c r="BP39" s="500"/>
      <c r="BQ39" s="500"/>
      <c r="BR39" s="500"/>
      <c r="BS39" s="500"/>
      <c r="BT39" s="501"/>
      <c r="BU39" s="515"/>
      <c r="BV39" s="555"/>
    </row>
    <row r="40" spans="3:234" ht="15.75" customHeight="1" x14ac:dyDescent="0.25">
      <c r="C40" s="478"/>
      <c r="D40" s="108" t="s">
        <v>111</v>
      </c>
      <c r="E40" s="70">
        <v>4.3182938651888207E-2</v>
      </c>
      <c r="G40" s="21"/>
      <c r="I40" s="70">
        <v>6.4901662630651141E-2</v>
      </c>
      <c r="K40" s="109" t="s">
        <v>115</v>
      </c>
      <c r="L40" s="101" t="s">
        <v>117</v>
      </c>
      <c r="M40" s="298"/>
      <c r="N40" s="298"/>
      <c r="O40" s="105">
        <v>28.926823216031032</v>
      </c>
      <c r="P40" s="298"/>
      <c r="Q40" s="298"/>
      <c r="R40" s="298"/>
      <c r="S40" s="298"/>
      <c r="T40" s="298"/>
      <c r="U40" s="298"/>
      <c r="V40" s="105">
        <v>10.077486339993728</v>
      </c>
      <c r="W40" s="105">
        <v>18.4945796448972</v>
      </c>
      <c r="X40" s="105">
        <v>14.13137292017319</v>
      </c>
      <c r="Y40" s="105">
        <v>15.967553528361877</v>
      </c>
      <c r="Z40" s="105">
        <v>14.626126006371658</v>
      </c>
      <c r="AA40" s="105">
        <v>10.367940728580532</v>
      </c>
      <c r="AB40" s="298"/>
      <c r="AC40" s="298"/>
      <c r="AD40" s="298"/>
      <c r="AE40" s="298"/>
      <c r="AF40" s="298"/>
      <c r="AG40" s="294"/>
      <c r="AH40" s="294"/>
      <c r="AI40" s="412">
        <v>28.926823216031032</v>
      </c>
      <c r="AJ40" s="294"/>
      <c r="AK40" s="294"/>
      <c r="AL40" s="294"/>
      <c r="AM40" s="294"/>
      <c r="AN40" s="294"/>
      <c r="AO40" s="294"/>
      <c r="AP40" s="412">
        <v>10.077486339993728</v>
      </c>
      <c r="AQ40" s="412">
        <v>18.4945796448972</v>
      </c>
      <c r="AR40" s="412">
        <v>14.13137292017319</v>
      </c>
      <c r="AS40" s="412">
        <v>15.967553528361877</v>
      </c>
      <c r="AT40" s="412">
        <v>14.626126006371658</v>
      </c>
      <c r="AU40" s="412">
        <v>10.367940728580532</v>
      </c>
      <c r="AV40" s="294"/>
      <c r="AW40" s="294"/>
      <c r="AX40" s="294"/>
      <c r="AY40" s="294"/>
      <c r="AZ40" s="294"/>
      <c r="BA40" s="116">
        <v>0</v>
      </c>
      <c r="BB40" s="116">
        <v>0</v>
      </c>
      <c r="BC40" s="116">
        <v>0</v>
      </c>
      <c r="BD40" s="116">
        <v>0</v>
      </c>
      <c r="BE40" s="116">
        <v>0</v>
      </c>
      <c r="BF40" s="116">
        <v>0</v>
      </c>
      <c r="BG40" s="116">
        <v>0</v>
      </c>
      <c r="BH40" s="116">
        <v>0</v>
      </c>
      <c r="BI40" s="116">
        <v>0</v>
      </c>
      <c r="BJ40" s="116">
        <v>0</v>
      </c>
      <c r="BK40" s="116">
        <v>0</v>
      </c>
      <c r="BL40" s="116">
        <v>0</v>
      </c>
      <c r="BM40" s="116">
        <v>0</v>
      </c>
      <c r="BN40" s="116">
        <v>0</v>
      </c>
      <c r="BO40" s="116">
        <v>0</v>
      </c>
      <c r="BP40" s="116">
        <v>0</v>
      </c>
      <c r="BQ40" s="116">
        <v>0</v>
      </c>
      <c r="BR40" s="116">
        <v>0</v>
      </c>
      <c r="BS40" s="116">
        <v>0</v>
      </c>
      <c r="BT40" s="116">
        <v>0</v>
      </c>
      <c r="BU40" s="353">
        <v>0</v>
      </c>
      <c r="BV40" s="4">
        <f>Calculator_Calculations!FM20</f>
        <v>0</v>
      </c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  <c r="HA40" s="90"/>
      <c r="HB40" s="90"/>
      <c r="HC40" s="90"/>
      <c r="HD40" s="90"/>
      <c r="HE40" s="90"/>
      <c r="HF40" s="90"/>
      <c r="HG40" s="90"/>
      <c r="HH40" s="90"/>
      <c r="HI40" s="90"/>
      <c r="HJ40" s="90"/>
      <c r="HK40" s="90"/>
      <c r="HL40" s="90"/>
      <c r="HM40" s="90"/>
      <c r="HN40" s="90"/>
      <c r="HO40" s="90"/>
      <c r="HP40" s="90"/>
      <c r="HQ40" s="90"/>
      <c r="HR40" s="90"/>
      <c r="HS40" s="90"/>
      <c r="HT40" s="90"/>
      <c r="HU40" s="90"/>
      <c r="HV40" s="90"/>
      <c r="HW40" s="90"/>
      <c r="HX40" s="90"/>
      <c r="HY40" s="90"/>
      <c r="HZ40" s="90"/>
    </row>
    <row r="41" spans="3:234" ht="15" x14ac:dyDescent="0.25">
      <c r="C41" s="478"/>
      <c r="D41" s="108" t="s">
        <v>121</v>
      </c>
      <c r="E41" s="21"/>
      <c r="F41" s="17"/>
      <c r="G41" s="21"/>
      <c r="I41" s="70">
        <v>2.6290601191449499E-2</v>
      </c>
      <c r="K41" s="99" t="s">
        <v>75</v>
      </c>
      <c r="L41" s="102" t="s">
        <v>117</v>
      </c>
      <c r="M41" s="299"/>
      <c r="N41" s="299"/>
      <c r="O41" s="92">
        <v>31</v>
      </c>
      <c r="P41" s="299"/>
      <c r="Q41" s="299"/>
      <c r="R41" s="299"/>
      <c r="S41" s="299"/>
      <c r="T41" s="299"/>
      <c r="U41" s="299"/>
      <c r="V41" s="92">
        <v>7</v>
      </c>
      <c r="W41" s="92">
        <v>32</v>
      </c>
      <c r="X41" s="92">
        <v>19</v>
      </c>
      <c r="Y41" s="92">
        <v>16</v>
      </c>
      <c r="Z41" s="92">
        <v>30</v>
      </c>
      <c r="AA41" s="92">
        <v>2</v>
      </c>
      <c r="AB41" s="299"/>
      <c r="AC41" s="299"/>
      <c r="AD41" s="299"/>
      <c r="AE41" s="299"/>
      <c r="AF41" s="299"/>
      <c r="AG41" s="299"/>
      <c r="AH41" s="299"/>
      <c r="AI41" s="416">
        <v>34.410000000000004</v>
      </c>
      <c r="AJ41" s="299"/>
      <c r="AK41" s="299"/>
      <c r="AL41" s="299"/>
      <c r="AM41" s="299"/>
      <c r="AN41" s="299"/>
      <c r="AO41" s="299"/>
      <c r="AP41" s="416">
        <v>7.7700000000000005</v>
      </c>
      <c r="AQ41" s="416">
        <v>35.520000000000003</v>
      </c>
      <c r="AR41" s="416">
        <v>21.090000000000003</v>
      </c>
      <c r="AS41" s="416">
        <v>16</v>
      </c>
      <c r="AT41" s="416">
        <v>33.300000000000004</v>
      </c>
      <c r="AU41" s="416">
        <v>2.2200000000000002</v>
      </c>
      <c r="AV41" s="299"/>
      <c r="AW41" s="299"/>
      <c r="AX41" s="299"/>
      <c r="AY41" s="299"/>
      <c r="AZ41" s="299"/>
      <c r="BA41" s="20">
        <v>0</v>
      </c>
      <c r="BB41" s="20">
        <v>0</v>
      </c>
      <c r="BC41" s="20">
        <v>812178.15840032103</v>
      </c>
      <c r="BD41" s="20">
        <v>0</v>
      </c>
      <c r="BE41" s="20">
        <v>0</v>
      </c>
      <c r="BF41" s="20">
        <v>0</v>
      </c>
      <c r="BG41" s="20">
        <v>0</v>
      </c>
      <c r="BH41" s="20">
        <v>0</v>
      </c>
      <c r="BI41" s="20">
        <v>0</v>
      </c>
      <c r="BJ41" s="20">
        <v>71691.416454764156</v>
      </c>
      <c r="BK41" s="20">
        <v>158344.74799340701</v>
      </c>
      <c r="BL41" s="20">
        <v>105270.87957793026</v>
      </c>
      <c r="BM41" s="20">
        <v>0</v>
      </c>
      <c r="BN41" s="20">
        <v>201049.00090990949</v>
      </c>
      <c r="BO41" s="20">
        <v>24370.717889755091</v>
      </c>
      <c r="BP41" s="20">
        <v>0</v>
      </c>
      <c r="BQ41" s="20">
        <v>0</v>
      </c>
      <c r="BR41" s="20">
        <v>0</v>
      </c>
      <c r="BS41" s="20">
        <v>0</v>
      </c>
      <c r="BT41" s="20">
        <v>0</v>
      </c>
      <c r="BU41" s="23">
        <v>1372904.921226087</v>
      </c>
      <c r="BV41" s="4">
        <f>Calculator_Calculations!FM23</f>
        <v>1372904.921226087</v>
      </c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  <c r="HA41" s="90"/>
      <c r="HB41" s="90"/>
      <c r="HC41" s="90"/>
      <c r="HD41" s="90"/>
      <c r="HE41" s="90"/>
      <c r="HF41" s="90"/>
      <c r="HG41" s="90"/>
      <c r="HH41" s="90"/>
      <c r="HI41" s="90"/>
      <c r="HJ41" s="90"/>
      <c r="HK41" s="90"/>
      <c r="HL41" s="90"/>
      <c r="HM41" s="90"/>
      <c r="HN41" s="90"/>
      <c r="HO41" s="90"/>
      <c r="HP41" s="90"/>
      <c r="HQ41" s="90"/>
      <c r="HR41" s="90"/>
      <c r="HS41" s="90"/>
      <c r="HT41" s="90"/>
      <c r="HU41" s="90"/>
      <c r="HV41" s="90"/>
      <c r="HW41" s="90"/>
      <c r="HX41" s="90"/>
      <c r="HY41" s="90"/>
      <c r="HZ41" s="90"/>
    </row>
    <row r="42" spans="3:234" ht="15.75" thickBot="1" x14ac:dyDescent="0.3">
      <c r="C42" s="479"/>
      <c r="D42" s="108" t="s">
        <v>211</v>
      </c>
      <c r="E42" s="21">
        <v>0.21610399648286818</v>
      </c>
      <c r="F42" s="17"/>
      <c r="G42" s="70">
        <v>0.21610399648286818</v>
      </c>
      <c r="I42" s="21"/>
      <c r="K42" s="99" t="s">
        <v>89</v>
      </c>
      <c r="L42" s="103" t="s">
        <v>117</v>
      </c>
      <c r="M42" s="301"/>
      <c r="N42" s="301"/>
      <c r="O42" s="302">
        <v>0.47005590082062448</v>
      </c>
      <c r="P42" s="301"/>
      <c r="Q42" s="301"/>
      <c r="R42" s="301"/>
      <c r="S42" s="301"/>
      <c r="T42" s="301"/>
      <c r="U42" s="301"/>
      <c r="V42" s="302">
        <v>0.12064974320179786</v>
      </c>
      <c r="W42" s="302">
        <v>0.20498499749127483</v>
      </c>
      <c r="X42" s="302">
        <v>7.1002459990541056E-2</v>
      </c>
      <c r="Y42" s="302">
        <v>3.6286798789166297E-2</v>
      </c>
      <c r="Z42" s="302">
        <v>9.4757816644865309E-2</v>
      </c>
      <c r="AA42" s="63">
        <v>2.2622830617301452E-3</v>
      </c>
      <c r="AB42" s="301"/>
      <c r="AC42" s="301"/>
      <c r="AD42" s="301"/>
      <c r="AE42" s="301"/>
      <c r="AF42" s="301"/>
      <c r="AG42" s="301"/>
      <c r="AH42" s="301"/>
      <c r="AI42" s="302">
        <v>0.47005590082062448</v>
      </c>
      <c r="AJ42" s="301"/>
      <c r="AK42" s="301"/>
      <c r="AL42" s="301"/>
      <c r="AM42" s="301"/>
      <c r="AN42" s="301"/>
      <c r="AO42" s="301"/>
      <c r="AP42" s="302">
        <v>0.12064974320179786</v>
      </c>
      <c r="AQ42" s="302">
        <v>0.20498499749127483</v>
      </c>
      <c r="AR42" s="302">
        <v>7.1002459990541056E-2</v>
      </c>
      <c r="AS42" s="302">
        <v>3.6286798789166297E-2</v>
      </c>
      <c r="AT42" s="302">
        <v>9.4757816644865309E-2</v>
      </c>
      <c r="AU42" s="302">
        <v>2.2622830617301452E-3</v>
      </c>
      <c r="AV42" s="301"/>
      <c r="AW42" s="301"/>
      <c r="AX42" s="301"/>
      <c r="AY42" s="301"/>
      <c r="AZ42" s="301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3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  <c r="HA42" s="90"/>
      <c r="HB42" s="90"/>
      <c r="HC42" s="90"/>
      <c r="HD42" s="90"/>
      <c r="HE42" s="90"/>
      <c r="HF42" s="90"/>
      <c r="HG42" s="90"/>
      <c r="HH42" s="90"/>
      <c r="HI42" s="90"/>
      <c r="HJ42" s="90"/>
      <c r="HK42" s="90"/>
      <c r="HL42" s="90"/>
      <c r="HM42" s="90"/>
      <c r="HN42" s="90"/>
      <c r="HO42" s="90"/>
      <c r="HP42" s="90"/>
      <c r="HQ42" s="90"/>
      <c r="HR42" s="90"/>
      <c r="HS42" s="90"/>
      <c r="HT42" s="90"/>
      <c r="HU42" s="90"/>
      <c r="HV42" s="90"/>
      <c r="HW42" s="90"/>
      <c r="HX42" s="90"/>
      <c r="HY42" s="90"/>
      <c r="HZ42" s="90"/>
    </row>
    <row r="43" spans="3:234" ht="15" x14ac:dyDescent="0.25">
      <c r="K43" s="504" t="s">
        <v>90</v>
      </c>
      <c r="L43" s="505"/>
      <c r="M43" s="63">
        <v>0.16677894466666668</v>
      </c>
      <c r="N43" s="303"/>
      <c r="O43" s="303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299"/>
      <c r="AB43" s="299"/>
      <c r="AC43" s="299"/>
      <c r="AD43" s="299"/>
      <c r="AE43" s="299"/>
      <c r="AF43" s="299"/>
      <c r="AG43" s="414">
        <v>0.18</v>
      </c>
      <c r="AH43" s="299"/>
      <c r="AI43" s="299"/>
      <c r="AJ43" s="299"/>
      <c r="AK43" s="299"/>
      <c r="AL43" s="299"/>
      <c r="AM43" s="299"/>
      <c r="AN43" s="299"/>
      <c r="AO43" s="299"/>
      <c r="AP43" s="299"/>
      <c r="AQ43" s="299"/>
      <c r="AR43" s="299"/>
      <c r="AS43" s="299"/>
      <c r="AT43" s="299"/>
      <c r="AU43" s="290"/>
      <c r="AV43" s="290"/>
      <c r="AW43" s="290"/>
      <c r="AX43" s="290"/>
      <c r="AY43" s="290"/>
      <c r="AZ43" s="290"/>
      <c r="BA43" s="290"/>
      <c r="BB43" s="290"/>
      <c r="BC43" s="290"/>
      <c r="BD43" s="290"/>
      <c r="BE43" s="290"/>
      <c r="BF43" s="290"/>
      <c r="BG43" s="290"/>
      <c r="BH43" s="290"/>
      <c r="BI43" s="290"/>
      <c r="BJ43" s="290"/>
      <c r="BK43" s="290"/>
      <c r="BL43" s="290"/>
      <c r="BM43" s="290"/>
      <c r="BN43" s="290"/>
      <c r="BO43" s="290"/>
      <c r="BP43" s="290"/>
      <c r="BQ43" s="290"/>
      <c r="BR43" s="290"/>
      <c r="BS43" s="290"/>
      <c r="BT43" s="290"/>
      <c r="BU43" s="352">
        <v>60767.931604963393</v>
      </c>
      <c r="BV43" s="90">
        <f>Calculator_Calculations!R172</f>
        <v>60767.931604963393</v>
      </c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  <c r="HA43" s="90"/>
      <c r="HB43" s="90"/>
      <c r="HC43" s="90"/>
      <c r="HD43" s="90"/>
      <c r="HE43" s="90"/>
      <c r="HF43" s="90"/>
      <c r="HG43" s="90"/>
      <c r="HH43" s="90"/>
      <c r="HI43" s="90"/>
      <c r="HJ43" s="90"/>
      <c r="HK43" s="90"/>
      <c r="HL43" s="90"/>
      <c r="HM43" s="90"/>
      <c r="HN43" s="90"/>
      <c r="HO43" s="90"/>
      <c r="HP43" s="90"/>
      <c r="HQ43" s="90"/>
      <c r="HR43" s="90"/>
      <c r="HS43" s="90"/>
      <c r="HT43" s="90"/>
      <c r="HU43" s="90"/>
      <c r="HV43" s="90"/>
      <c r="HW43" s="90"/>
      <c r="HX43" s="90"/>
      <c r="HY43" s="90"/>
      <c r="HZ43" s="90"/>
    </row>
    <row r="44" spans="3:234" ht="15" customHeight="1" thickBot="1" x14ac:dyDescent="0.3">
      <c r="C44" s="314"/>
      <c r="D44" s="314"/>
      <c r="K44" s="502" t="s">
        <v>94</v>
      </c>
      <c r="L44" s="68" t="s">
        <v>389</v>
      </c>
      <c r="M44" s="104">
        <f>Calculator_Calculations!J78</f>
        <v>22556750</v>
      </c>
      <c r="N44" s="463" t="s">
        <v>391</v>
      </c>
      <c r="O44" s="104">
        <f>Calculator_Calculations!J64</f>
        <v>72860750</v>
      </c>
      <c r="P44" s="299"/>
      <c r="Q44" s="299"/>
      <c r="R44" s="299"/>
      <c r="S44" s="299"/>
      <c r="T44" s="299"/>
      <c r="U44" s="299"/>
      <c r="V44" s="299"/>
      <c r="W44" s="299"/>
      <c r="X44" s="299"/>
      <c r="Y44" s="299"/>
      <c r="Z44" s="299"/>
      <c r="AA44" s="299"/>
      <c r="AB44" s="299"/>
      <c r="AC44" s="299"/>
      <c r="AD44" s="299"/>
      <c r="AE44" s="299"/>
      <c r="AF44" s="462" t="s">
        <v>389</v>
      </c>
      <c r="AG44" s="305">
        <f>Calculator_Calculations!Q78</f>
        <v>25861526.026785713</v>
      </c>
      <c r="AH44" s="462" t="s">
        <v>391</v>
      </c>
      <c r="AI44" s="305">
        <f>Calculator_Calculations!Q79</f>
        <v>65653775</v>
      </c>
      <c r="AJ44" s="299"/>
      <c r="AK44" s="299"/>
      <c r="AL44" s="299"/>
      <c r="AM44" s="299"/>
      <c r="AN44" s="299"/>
      <c r="AO44" s="299"/>
      <c r="AP44" s="299"/>
      <c r="AQ44" s="299"/>
      <c r="AR44" s="299"/>
      <c r="AS44" s="299"/>
      <c r="AT44" s="299"/>
      <c r="AU44" s="290"/>
      <c r="AV44" s="290"/>
      <c r="AW44" s="290"/>
      <c r="AX44" s="290"/>
      <c r="AY44" s="290"/>
      <c r="AZ44" s="290"/>
      <c r="BA44" s="290"/>
      <c r="BB44" s="290"/>
      <c r="BC44" s="290"/>
      <c r="BD44" s="290"/>
      <c r="BE44" s="290"/>
      <c r="BF44" s="290"/>
      <c r="BG44" s="290"/>
      <c r="BH44" s="290"/>
      <c r="BI44" s="290"/>
      <c r="BJ44" s="290"/>
      <c r="BK44" s="290"/>
      <c r="BL44" s="290"/>
      <c r="BM44" s="290"/>
      <c r="BN44" s="290"/>
      <c r="BO44" s="290"/>
      <c r="BP44" s="290"/>
      <c r="BQ44" s="290"/>
      <c r="BR44" s="290"/>
      <c r="BS44" s="290"/>
      <c r="BT44" s="290"/>
      <c r="BU44" s="352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  <c r="EH44" s="90"/>
      <c r="EI44" s="90"/>
      <c r="EJ44" s="90"/>
      <c r="EK44" s="90"/>
      <c r="EL44" s="90"/>
      <c r="EM44" s="90"/>
      <c r="EN44" s="90"/>
      <c r="EO44" s="90"/>
      <c r="EP44" s="90"/>
      <c r="EQ44" s="90"/>
      <c r="ER44" s="90"/>
      <c r="ES44" s="90"/>
      <c r="ET44" s="90"/>
      <c r="EU44" s="90"/>
      <c r="EV44" s="90"/>
      <c r="EW44" s="90"/>
      <c r="EX44" s="90"/>
      <c r="EY44" s="90"/>
      <c r="EZ44" s="90"/>
      <c r="FA44" s="90"/>
      <c r="FB44" s="90"/>
      <c r="FC44" s="90"/>
      <c r="FD44" s="90"/>
      <c r="FE44" s="90"/>
      <c r="FF44" s="90"/>
      <c r="FG44" s="90"/>
      <c r="FH44" s="90"/>
      <c r="FI44" s="90"/>
      <c r="FJ44" s="90"/>
      <c r="FK44" s="90"/>
      <c r="FL44" s="90"/>
      <c r="FM44" s="90"/>
      <c r="FN44" s="90"/>
      <c r="FO44" s="90"/>
      <c r="FP44" s="90"/>
      <c r="FQ44" s="90"/>
      <c r="FR44" s="90"/>
      <c r="FS44" s="90"/>
      <c r="FT44" s="90"/>
      <c r="FU44" s="90"/>
      <c r="FV44" s="90"/>
      <c r="FW44" s="90"/>
      <c r="FX44" s="90"/>
      <c r="FY44" s="90"/>
      <c r="FZ44" s="90"/>
      <c r="GA44" s="90"/>
      <c r="GB44" s="90"/>
      <c r="GC44" s="90"/>
      <c r="GD44" s="90"/>
      <c r="GE44" s="90"/>
      <c r="GF44" s="90"/>
      <c r="GG44" s="90"/>
      <c r="GH44" s="90"/>
      <c r="GI44" s="90"/>
      <c r="GJ44" s="90"/>
      <c r="GK44" s="90"/>
      <c r="GL44" s="90"/>
      <c r="GM44" s="90"/>
      <c r="GN44" s="90"/>
      <c r="GO44" s="90"/>
      <c r="GP44" s="90"/>
      <c r="GQ44" s="90"/>
      <c r="GR44" s="90"/>
      <c r="GS44" s="90"/>
      <c r="GT44" s="90"/>
      <c r="GU44" s="90"/>
      <c r="GV44" s="90"/>
      <c r="GW44" s="90"/>
      <c r="GX44" s="90"/>
      <c r="GY44" s="90"/>
      <c r="GZ44" s="90"/>
      <c r="HA44" s="90"/>
      <c r="HB44" s="90"/>
      <c r="HC44" s="90"/>
      <c r="HD44" s="90"/>
      <c r="HE44" s="90"/>
      <c r="HF44" s="90"/>
      <c r="HG44" s="90"/>
      <c r="HH44" s="90"/>
      <c r="HI44" s="90"/>
      <c r="HJ44" s="90"/>
      <c r="HK44" s="90"/>
      <c r="HL44" s="90"/>
      <c r="HM44" s="90"/>
      <c r="HN44" s="90"/>
      <c r="HO44" s="90"/>
      <c r="HP44" s="90"/>
      <c r="HQ44" s="90"/>
      <c r="HR44" s="90"/>
      <c r="HS44" s="90"/>
      <c r="HT44" s="90"/>
      <c r="HU44" s="90"/>
      <c r="HV44" s="90"/>
      <c r="HW44" s="90"/>
      <c r="HX44" s="90"/>
      <c r="HY44" s="90"/>
      <c r="HZ44" s="90"/>
    </row>
    <row r="45" spans="3:234" ht="15" customHeight="1" thickBot="1" x14ac:dyDescent="0.3">
      <c r="C45" s="525" t="s">
        <v>401</v>
      </c>
      <c r="D45" s="526"/>
      <c r="E45" s="313" t="s">
        <v>12</v>
      </c>
      <c r="G45" s="64" t="s">
        <v>38</v>
      </c>
      <c r="K45" s="503"/>
      <c r="L45" s="68" t="s">
        <v>390</v>
      </c>
      <c r="M45" s="57">
        <f>SUM(M46:M51)</f>
        <v>1952.57</v>
      </c>
      <c r="N45" s="463" t="s">
        <v>392</v>
      </c>
      <c r="O45" s="57">
        <f>Calculator_Calculations!K79</f>
        <v>4644.9300000000239</v>
      </c>
      <c r="P45" s="299"/>
      <c r="Q45" s="299"/>
      <c r="R45" s="299"/>
      <c r="S45" s="299"/>
      <c r="T45" s="299"/>
      <c r="U45" s="299"/>
      <c r="V45" s="299"/>
      <c r="W45" s="299"/>
      <c r="X45" s="299"/>
      <c r="Y45" s="299"/>
      <c r="Z45" s="299"/>
      <c r="AA45" s="299"/>
      <c r="AB45" s="299"/>
      <c r="AC45" s="299"/>
      <c r="AD45" s="299"/>
      <c r="AE45" s="299"/>
      <c r="AF45" s="462" t="s">
        <v>390</v>
      </c>
      <c r="AG45" s="297">
        <f>SUM(AG46:AG51)</f>
        <v>2325</v>
      </c>
      <c r="AH45" s="462" t="s">
        <v>392</v>
      </c>
      <c r="AI45" s="297">
        <f>Calculator_Calculations!P79</f>
        <v>4189.8999999999996</v>
      </c>
      <c r="AJ45" s="299"/>
      <c r="AK45" s="299"/>
      <c r="AL45" s="299"/>
      <c r="AM45" s="299"/>
      <c r="AN45" s="299"/>
      <c r="AO45" s="299"/>
      <c r="AP45" s="299"/>
      <c r="AQ45" s="299"/>
      <c r="AR45" s="299"/>
      <c r="AS45" s="299"/>
      <c r="AT45" s="299"/>
      <c r="AU45" s="290"/>
      <c r="AV45" s="290"/>
      <c r="AW45" s="290"/>
      <c r="AX45" s="290"/>
      <c r="AY45" s="290"/>
      <c r="AZ45" s="290"/>
      <c r="BA45" s="290"/>
      <c r="BB45" s="290"/>
      <c r="BC45" s="290"/>
      <c r="BD45" s="290"/>
      <c r="BE45" s="290"/>
      <c r="BF45" s="290"/>
      <c r="BG45" s="290"/>
      <c r="BH45" s="290"/>
      <c r="BI45" s="290"/>
      <c r="BJ45" s="290"/>
      <c r="BK45" s="290"/>
      <c r="BL45" s="290"/>
      <c r="BM45" s="290"/>
      <c r="BN45" s="290"/>
      <c r="BO45" s="290"/>
      <c r="BP45" s="290"/>
      <c r="BQ45" s="290"/>
      <c r="BR45" s="290"/>
      <c r="BS45" s="290"/>
      <c r="BT45" s="290"/>
      <c r="BU45" s="352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  <c r="EH45" s="90"/>
      <c r="EI45" s="90"/>
      <c r="EJ45" s="90"/>
      <c r="EK45" s="90"/>
      <c r="EL45" s="90"/>
      <c r="EM45" s="90"/>
      <c r="EN45" s="90"/>
      <c r="EO45" s="90"/>
      <c r="EP45" s="90"/>
      <c r="EQ45" s="90"/>
      <c r="ER45" s="90"/>
      <c r="ES45" s="90"/>
      <c r="ET45" s="90"/>
      <c r="EU45" s="90"/>
      <c r="EV45" s="90"/>
      <c r="EW45" s="90"/>
      <c r="EX45" s="90"/>
      <c r="EY45" s="90"/>
      <c r="EZ45" s="90"/>
      <c r="FA45" s="90"/>
      <c r="FB45" s="90"/>
      <c r="FC45" s="90"/>
      <c r="FD45" s="90"/>
      <c r="FE45" s="90"/>
      <c r="FF45" s="90"/>
      <c r="FG45" s="90"/>
      <c r="FH45" s="90"/>
      <c r="FI45" s="90"/>
      <c r="FJ45" s="90"/>
      <c r="FK45" s="90"/>
      <c r="FL45" s="90"/>
      <c r="FM45" s="90"/>
      <c r="FN45" s="90"/>
      <c r="FO45" s="90"/>
      <c r="FP45" s="90"/>
      <c r="FQ45" s="90"/>
      <c r="FR45" s="90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90"/>
      <c r="GD45" s="90"/>
      <c r="GE45" s="90"/>
      <c r="GF45" s="90"/>
      <c r="GG45" s="90"/>
      <c r="GH45" s="90"/>
      <c r="GI45" s="90"/>
      <c r="GJ45" s="90"/>
      <c r="GK45" s="90"/>
      <c r="GL45" s="90"/>
      <c r="GM45" s="90"/>
      <c r="GN45" s="90"/>
      <c r="GO45" s="90"/>
      <c r="GP45" s="90"/>
      <c r="GQ45" s="90"/>
      <c r="GR45" s="90"/>
      <c r="GS45" s="90"/>
      <c r="GT45" s="90"/>
      <c r="GU45" s="90"/>
      <c r="GV45" s="90"/>
      <c r="GW45" s="90"/>
      <c r="GX45" s="90"/>
      <c r="GY45" s="90"/>
      <c r="GZ45" s="90"/>
      <c r="HA45" s="90"/>
      <c r="HB45" s="90"/>
      <c r="HC45" s="90"/>
      <c r="HD45" s="90"/>
      <c r="HE45" s="90"/>
      <c r="HF45" s="90"/>
      <c r="HG45" s="90"/>
      <c r="HH45" s="90"/>
      <c r="HI45" s="90"/>
      <c r="HJ45" s="90"/>
      <c r="HK45" s="90"/>
      <c r="HL45" s="90"/>
      <c r="HM45" s="90"/>
      <c r="HN45" s="90"/>
      <c r="HO45" s="90"/>
      <c r="HP45" s="90"/>
      <c r="HQ45" s="90"/>
      <c r="HR45" s="90"/>
      <c r="HS45" s="90"/>
      <c r="HT45" s="90"/>
      <c r="HU45" s="90"/>
      <c r="HV45" s="90"/>
      <c r="HW45" s="90"/>
      <c r="HX45" s="90"/>
      <c r="HY45" s="90"/>
      <c r="HZ45" s="90"/>
    </row>
    <row r="46" spans="3:234" ht="15" x14ac:dyDescent="0.25">
      <c r="C46" s="477" t="s">
        <v>95</v>
      </c>
      <c r="D46" s="315" t="s">
        <v>232</v>
      </c>
      <c r="E46" s="23">
        <v>8575566.7899999991</v>
      </c>
      <c r="F46" s="326"/>
      <c r="G46" s="23">
        <v>4296500</v>
      </c>
      <c r="K46" s="503"/>
      <c r="L46" s="69" t="s">
        <v>97</v>
      </c>
      <c r="M46" s="57">
        <v>538</v>
      </c>
      <c r="N46" s="299"/>
      <c r="O46" s="299"/>
      <c r="P46" s="299"/>
      <c r="Q46" s="299"/>
      <c r="R46" s="299"/>
      <c r="S46" s="299"/>
      <c r="T46" s="299"/>
      <c r="U46" s="299"/>
      <c r="V46" s="299"/>
      <c r="W46" s="299"/>
      <c r="X46" s="299"/>
      <c r="Y46" s="299"/>
      <c r="Z46" s="299"/>
      <c r="AA46" s="299"/>
      <c r="AB46" s="299"/>
      <c r="AC46" s="299"/>
      <c r="AD46" s="299"/>
      <c r="AE46" s="299"/>
      <c r="AF46" s="299"/>
      <c r="AG46" s="413">
        <v>484.2</v>
      </c>
      <c r="AH46" s="299"/>
      <c r="AI46" s="299"/>
      <c r="AJ46" s="299"/>
      <c r="AK46" s="299"/>
      <c r="AL46" s="299"/>
      <c r="AM46" s="299"/>
      <c r="AN46" s="299"/>
      <c r="AO46" s="299"/>
      <c r="AP46" s="299"/>
      <c r="AQ46" s="299"/>
      <c r="AR46" s="299"/>
      <c r="AS46" s="299"/>
      <c r="AT46" s="299"/>
      <c r="AU46" s="290"/>
      <c r="AV46" s="290"/>
      <c r="AW46" s="290"/>
      <c r="AX46" s="290"/>
      <c r="AY46" s="290"/>
      <c r="AZ46" s="290"/>
      <c r="BA46" s="290"/>
      <c r="BB46" s="290"/>
      <c r="BC46" s="290"/>
      <c r="BD46" s="290"/>
      <c r="BE46" s="290"/>
      <c r="BF46" s="290"/>
      <c r="BG46" s="290"/>
      <c r="BH46" s="290"/>
      <c r="BI46" s="290"/>
      <c r="BJ46" s="290"/>
      <c r="BK46" s="290"/>
      <c r="BL46" s="290"/>
      <c r="BM46" s="290"/>
      <c r="BN46" s="290"/>
      <c r="BO46" s="290"/>
      <c r="BP46" s="290"/>
      <c r="BQ46" s="290"/>
      <c r="BR46" s="290"/>
      <c r="BS46" s="290"/>
      <c r="BT46" s="290"/>
      <c r="BU46" s="352">
        <v>-4250.2000000000044</v>
      </c>
      <c r="BV46" s="326">
        <f>Calculator_Calculations!T68</f>
        <v>-4250.2000000000044</v>
      </c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  <c r="EH46" s="90"/>
      <c r="EI46" s="90"/>
      <c r="EJ46" s="90"/>
      <c r="EK46" s="90"/>
      <c r="EL46" s="90"/>
      <c r="EM46" s="90"/>
      <c r="EN46" s="90"/>
      <c r="EO46" s="90"/>
      <c r="EP46" s="90"/>
      <c r="EQ46" s="90"/>
      <c r="ER46" s="90"/>
      <c r="ES46" s="90"/>
      <c r="ET46" s="90"/>
      <c r="EU46" s="90"/>
      <c r="EV46" s="90"/>
      <c r="EW46" s="90"/>
      <c r="EX46" s="90"/>
      <c r="EY46" s="90"/>
      <c r="EZ46" s="90"/>
      <c r="FA46" s="90"/>
      <c r="FB46" s="90"/>
      <c r="FC46" s="90"/>
      <c r="FD46" s="90"/>
      <c r="FE46" s="90"/>
      <c r="FF46" s="90"/>
      <c r="FG46" s="90"/>
      <c r="FH46" s="90"/>
      <c r="FI46" s="90"/>
      <c r="FJ46" s="90"/>
      <c r="FK46" s="90"/>
      <c r="FL46" s="90"/>
      <c r="FM46" s="90"/>
      <c r="FN46" s="90"/>
      <c r="FO46" s="90"/>
      <c r="FP46" s="90"/>
      <c r="FQ46" s="90"/>
      <c r="FR46" s="90"/>
      <c r="FS46" s="90"/>
      <c r="FT46" s="90"/>
      <c r="FU46" s="90"/>
      <c r="FV46" s="90"/>
      <c r="FW46" s="90"/>
      <c r="FX46" s="90"/>
      <c r="FY46" s="90"/>
      <c r="FZ46" s="90"/>
      <c r="GA46" s="90"/>
      <c r="GB46" s="90"/>
      <c r="GC46" s="90"/>
      <c r="GD46" s="90"/>
      <c r="GE46" s="90"/>
      <c r="GF46" s="90"/>
      <c r="GG46" s="90"/>
      <c r="GH46" s="90"/>
      <c r="GI46" s="90"/>
      <c r="GJ46" s="90"/>
      <c r="GK46" s="90"/>
      <c r="GL46" s="90"/>
      <c r="GM46" s="90"/>
      <c r="GN46" s="90"/>
      <c r="GO46" s="90"/>
      <c r="GP46" s="90"/>
      <c r="GQ46" s="90"/>
      <c r="GR46" s="90"/>
      <c r="GS46" s="90"/>
      <c r="GT46" s="90"/>
      <c r="GU46" s="90"/>
      <c r="GV46" s="90"/>
      <c r="GW46" s="90"/>
      <c r="GX46" s="90"/>
      <c r="GY46" s="90"/>
      <c r="GZ46" s="90"/>
      <c r="HA46" s="90"/>
      <c r="HB46" s="90"/>
      <c r="HC46" s="90"/>
      <c r="HD46" s="90"/>
      <c r="HE46" s="90"/>
      <c r="HF46" s="90"/>
      <c r="HG46" s="90"/>
      <c r="HH46" s="90"/>
      <c r="HI46" s="90"/>
      <c r="HJ46" s="90"/>
      <c r="HK46" s="90"/>
      <c r="HL46" s="90"/>
      <c r="HM46" s="90"/>
      <c r="HN46" s="90"/>
      <c r="HO46" s="90"/>
      <c r="HP46" s="90"/>
      <c r="HQ46" s="90"/>
      <c r="HR46" s="90"/>
      <c r="HS46" s="90"/>
      <c r="HT46" s="90"/>
      <c r="HU46" s="90"/>
      <c r="HV46" s="90"/>
      <c r="HW46" s="90"/>
      <c r="HX46" s="90"/>
      <c r="HY46" s="90"/>
      <c r="HZ46" s="90"/>
    </row>
    <row r="47" spans="3:234" ht="15" x14ac:dyDescent="0.25">
      <c r="C47" s="478"/>
      <c r="D47" s="108" t="s">
        <v>119</v>
      </c>
      <c r="E47" s="23">
        <v>5641800</v>
      </c>
      <c r="F47" s="326"/>
      <c r="G47" s="330"/>
      <c r="K47" s="503"/>
      <c r="L47" s="69" t="s">
        <v>98</v>
      </c>
      <c r="M47" s="57">
        <v>316</v>
      </c>
      <c r="N47" s="299"/>
      <c r="O47" s="299"/>
      <c r="P47" s="299"/>
      <c r="Q47" s="299"/>
      <c r="R47" s="299"/>
      <c r="S47" s="299"/>
      <c r="T47" s="299"/>
      <c r="U47" s="299"/>
      <c r="V47" s="299"/>
      <c r="W47" s="299"/>
      <c r="X47" s="299"/>
      <c r="Y47" s="299"/>
      <c r="Z47" s="299"/>
      <c r="AA47" s="299"/>
      <c r="AB47" s="299"/>
      <c r="AC47" s="299"/>
      <c r="AD47" s="299"/>
      <c r="AE47" s="299"/>
      <c r="AF47" s="299"/>
      <c r="AG47" s="413">
        <v>284.40000000000003</v>
      </c>
      <c r="AH47" s="299"/>
      <c r="AI47" s="299"/>
      <c r="AJ47" s="299"/>
      <c r="AK47" s="299"/>
      <c r="AL47" s="299"/>
      <c r="AM47" s="299"/>
      <c r="AN47" s="299"/>
      <c r="AO47" s="299"/>
      <c r="AP47" s="299"/>
      <c r="AQ47" s="299"/>
      <c r="AR47" s="299"/>
      <c r="AS47" s="299"/>
      <c r="AT47" s="299"/>
      <c r="AU47" s="290"/>
      <c r="AV47" s="290"/>
      <c r="AW47" s="290"/>
      <c r="AX47" s="290"/>
      <c r="AY47" s="290"/>
      <c r="AZ47" s="290"/>
      <c r="BA47" s="290"/>
      <c r="BB47" s="290"/>
      <c r="BC47" s="290"/>
      <c r="BD47" s="290"/>
      <c r="BE47" s="290"/>
      <c r="BF47" s="290"/>
      <c r="BG47" s="290"/>
      <c r="BH47" s="290"/>
      <c r="BI47" s="290"/>
      <c r="BJ47" s="290"/>
      <c r="BK47" s="290"/>
      <c r="BL47" s="290"/>
      <c r="BM47" s="290"/>
      <c r="BN47" s="290"/>
      <c r="BO47" s="290"/>
      <c r="BP47" s="290"/>
      <c r="BQ47" s="290"/>
      <c r="BR47" s="290"/>
      <c r="BS47" s="290"/>
      <c r="BT47" s="290"/>
      <c r="BU47" s="352">
        <v>-3602.3999999999978</v>
      </c>
      <c r="BV47" s="326">
        <f>Calculator_Calculations!T69</f>
        <v>-3602.3999999999978</v>
      </c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  <c r="EH47" s="90"/>
      <c r="EI47" s="90"/>
      <c r="EJ47" s="90"/>
      <c r="EK47" s="90"/>
      <c r="EL47" s="90"/>
      <c r="EM47" s="90"/>
      <c r="EN47" s="90"/>
      <c r="EO47" s="90"/>
      <c r="EP47" s="90"/>
      <c r="EQ47" s="90"/>
      <c r="ER47" s="90"/>
      <c r="ES47" s="90"/>
      <c r="ET47" s="90"/>
      <c r="EU47" s="90"/>
      <c r="EV47" s="90"/>
      <c r="EW47" s="90"/>
      <c r="EX47" s="90"/>
      <c r="EY47" s="90"/>
      <c r="EZ47" s="90"/>
      <c r="FA47" s="90"/>
      <c r="FB47" s="90"/>
      <c r="FC47" s="90"/>
      <c r="FD47" s="90"/>
      <c r="FE47" s="90"/>
      <c r="FF47" s="90"/>
      <c r="FG47" s="90"/>
      <c r="FH47" s="90"/>
      <c r="FI47" s="90"/>
      <c r="FJ47" s="90"/>
      <c r="FK47" s="90"/>
      <c r="FL47" s="90"/>
      <c r="FM47" s="90"/>
      <c r="FN47" s="90"/>
      <c r="FO47" s="90"/>
      <c r="FP47" s="90"/>
      <c r="FQ47" s="90"/>
      <c r="FR47" s="90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90"/>
      <c r="GD47" s="90"/>
      <c r="GE47" s="90"/>
      <c r="GF47" s="90"/>
      <c r="GG47" s="90"/>
      <c r="GH47" s="90"/>
      <c r="GI47" s="90"/>
      <c r="GJ47" s="90"/>
      <c r="GK47" s="90"/>
      <c r="GL47" s="90"/>
      <c r="GM47" s="90"/>
      <c r="GN47" s="90"/>
      <c r="GO47" s="90"/>
      <c r="GP47" s="90"/>
      <c r="GQ47" s="90"/>
      <c r="GR47" s="90"/>
      <c r="GS47" s="90"/>
      <c r="GT47" s="90"/>
      <c r="GU47" s="90"/>
      <c r="GV47" s="90"/>
      <c r="GW47" s="90"/>
      <c r="GX47" s="90"/>
      <c r="GY47" s="90"/>
      <c r="GZ47" s="90"/>
      <c r="HA47" s="90"/>
      <c r="HB47" s="90"/>
      <c r="HC47" s="90"/>
      <c r="HD47" s="90"/>
      <c r="HE47" s="90"/>
      <c r="HF47" s="90"/>
      <c r="HG47" s="90"/>
      <c r="HH47" s="90"/>
      <c r="HI47" s="90"/>
      <c r="HJ47" s="90"/>
      <c r="HK47" s="90"/>
      <c r="HL47" s="90"/>
      <c r="HM47" s="90"/>
      <c r="HN47" s="90"/>
      <c r="HO47" s="90"/>
      <c r="HP47" s="90"/>
      <c r="HQ47" s="90"/>
      <c r="HR47" s="90"/>
      <c r="HS47" s="90"/>
      <c r="HT47" s="90"/>
      <c r="HU47" s="90"/>
      <c r="HV47" s="90"/>
      <c r="HW47" s="90"/>
      <c r="HX47" s="90"/>
      <c r="HY47" s="90"/>
      <c r="HZ47" s="90"/>
    </row>
    <row r="48" spans="3:234" ht="15" x14ac:dyDescent="0.25">
      <c r="C48" s="478"/>
      <c r="D48" s="108" t="s">
        <v>233</v>
      </c>
      <c r="E48" s="23">
        <v>797400</v>
      </c>
      <c r="F48" s="326"/>
      <c r="G48" s="330"/>
      <c r="K48" s="503"/>
      <c r="L48" s="69" t="s">
        <v>114</v>
      </c>
      <c r="M48" s="57">
        <v>614</v>
      </c>
      <c r="N48" s="299"/>
      <c r="O48" s="299"/>
      <c r="P48" s="299"/>
      <c r="Q48" s="299"/>
      <c r="R48" s="299"/>
      <c r="S48" s="299"/>
      <c r="T48" s="299"/>
      <c r="U48" s="299"/>
      <c r="V48" s="299"/>
      <c r="W48" s="299"/>
      <c r="X48" s="299"/>
      <c r="Y48" s="299"/>
      <c r="Z48" s="299"/>
      <c r="AA48" s="299"/>
      <c r="AB48" s="299"/>
      <c r="AC48" s="299"/>
      <c r="AD48" s="299"/>
      <c r="AE48" s="299"/>
      <c r="AF48" s="299"/>
      <c r="AG48" s="413">
        <v>552.6</v>
      </c>
      <c r="AH48" s="299"/>
      <c r="AI48" s="299"/>
      <c r="AJ48" s="299"/>
      <c r="AK48" s="299"/>
      <c r="AL48" s="299"/>
      <c r="AM48" s="299"/>
      <c r="AN48" s="299"/>
      <c r="AO48" s="299"/>
      <c r="AP48" s="299"/>
      <c r="AQ48" s="299"/>
      <c r="AR48" s="299"/>
      <c r="AS48" s="299"/>
      <c r="AT48" s="299"/>
      <c r="AU48" s="290"/>
      <c r="AV48" s="290"/>
      <c r="AW48" s="290"/>
      <c r="AX48" s="290"/>
      <c r="AY48" s="290"/>
      <c r="AZ48" s="290"/>
      <c r="BA48" s="290"/>
      <c r="BB48" s="290"/>
      <c r="BC48" s="290"/>
      <c r="BD48" s="290"/>
      <c r="BE48" s="290"/>
      <c r="BF48" s="290"/>
      <c r="BG48" s="290"/>
      <c r="BH48" s="290"/>
      <c r="BI48" s="290"/>
      <c r="BJ48" s="290"/>
      <c r="BK48" s="290"/>
      <c r="BL48" s="290"/>
      <c r="BM48" s="290"/>
      <c r="BN48" s="290"/>
      <c r="BO48" s="290"/>
      <c r="BP48" s="290"/>
      <c r="BQ48" s="290"/>
      <c r="BR48" s="290"/>
      <c r="BS48" s="290"/>
      <c r="BT48" s="290"/>
      <c r="BU48" s="352">
        <v>-4236.5999999999985</v>
      </c>
      <c r="BV48" s="326">
        <f>Calculator_Calculations!T71</f>
        <v>-4236.5999999999985</v>
      </c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  <c r="EH48" s="90"/>
      <c r="EI48" s="90"/>
      <c r="EJ48" s="90"/>
      <c r="EK48" s="90"/>
      <c r="EL48" s="90"/>
      <c r="EM48" s="90"/>
      <c r="EN48" s="90"/>
      <c r="EO48" s="90"/>
      <c r="EP48" s="90"/>
      <c r="EQ48" s="90"/>
      <c r="ER48" s="90"/>
      <c r="ES48" s="90"/>
      <c r="ET48" s="90"/>
      <c r="EU48" s="90"/>
      <c r="EV48" s="90"/>
      <c r="EW48" s="90"/>
      <c r="EX48" s="90"/>
      <c r="EY48" s="90"/>
      <c r="EZ48" s="90"/>
      <c r="FA48" s="90"/>
      <c r="FB48" s="90"/>
      <c r="FC48" s="90"/>
      <c r="FD48" s="90"/>
      <c r="FE48" s="90"/>
      <c r="FF48" s="90"/>
      <c r="FG48" s="90"/>
      <c r="FH48" s="90"/>
      <c r="FI48" s="90"/>
      <c r="FJ48" s="90"/>
      <c r="FK48" s="90"/>
      <c r="FL48" s="90"/>
      <c r="FM48" s="90"/>
      <c r="FN48" s="90"/>
      <c r="FO48" s="90"/>
      <c r="FP48" s="90"/>
      <c r="FQ48" s="90"/>
      <c r="FR48" s="90"/>
      <c r="FS48" s="90"/>
      <c r="FT48" s="90"/>
      <c r="FU48" s="90"/>
      <c r="FV48" s="90"/>
      <c r="FW48" s="90"/>
      <c r="FX48" s="90"/>
      <c r="FY48" s="90"/>
      <c r="FZ48" s="90"/>
      <c r="GA48" s="90"/>
      <c r="GB48" s="90"/>
      <c r="GC48" s="90"/>
      <c r="GD48" s="90"/>
      <c r="GE48" s="90"/>
      <c r="GF48" s="90"/>
      <c r="GG48" s="90"/>
      <c r="GH48" s="90"/>
      <c r="GI48" s="90"/>
      <c r="GJ48" s="90"/>
      <c r="GK48" s="90"/>
      <c r="GL48" s="90"/>
      <c r="GM48" s="90"/>
      <c r="GN48" s="90"/>
      <c r="GO48" s="90"/>
      <c r="GP48" s="90"/>
      <c r="GQ48" s="90"/>
      <c r="GR48" s="90"/>
      <c r="GS48" s="90"/>
      <c r="GT48" s="90"/>
      <c r="GU48" s="90"/>
      <c r="GV48" s="90"/>
      <c r="GW48" s="90"/>
      <c r="GX48" s="90"/>
      <c r="GY48" s="90"/>
      <c r="GZ48" s="90"/>
      <c r="HA48" s="90"/>
      <c r="HB48" s="90"/>
      <c r="HC48" s="90"/>
      <c r="HD48" s="90"/>
      <c r="HE48" s="90"/>
      <c r="HF48" s="90"/>
      <c r="HG48" s="90"/>
      <c r="HH48" s="90"/>
      <c r="HI48" s="90"/>
      <c r="HJ48" s="90"/>
      <c r="HK48" s="90"/>
      <c r="HL48" s="90"/>
      <c r="HM48" s="90"/>
      <c r="HN48" s="90"/>
      <c r="HO48" s="90"/>
      <c r="HP48" s="90"/>
      <c r="HQ48" s="90"/>
      <c r="HR48" s="90"/>
      <c r="HS48" s="90"/>
      <c r="HT48" s="90"/>
      <c r="HU48" s="90"/>
      <c r="HV48" s="90"/>
      <c r="HW48" s="90"/>
      <c r="HX48" s="90"/>
      <c r="HY48" s="90"/>
      <c r="HZ48" s="90"/>
    </row>
    <row r="49" spans="3:234" ht="15.75" thickBot="1" x14ac:dyDescent="0.3">
      <c r="C49" s="479"/>
      <c r="D49" s="108" t="s">
        <v>120</v>
      </c>
      <c r="E49" s="23">
        <v>17309220</v>
      </c>
      <c r="F49" s="326"/>
      <c r="G49" s="330"/>
      <c r="K49" s="503"/>
      <c r="L49" s="69" t="s">
        <v>100</v>
      </c>
      <c r="M49" s="57">
        <v>259</v>
      </c>
      <c r="N49" s="299"/>
      <c r="O49" s="299"/>
      <c r="P49" s="299"/>
      <c r="Q49" s="299"/>
      <c r="R49" s="299"/>
      <c r="S49" s="299"/>
      <c r="T49" s="299"/>
      <c r="U49" s="299"/>
      <c r="V49" s="299"/>
      <c r="W49" s="299"/>
      <c r="X49" s="299"/>
      <c r="Y49" s="299"/>
      <c r="Z49" s="299"/>
      <c r="AA49" s="299"/>
      <c r="AB49" s="299"/>
      <c r="AC49" s="299"/>
      <c r="AD49" s="299"/>
      <c r="AE49" s="299"/>
      <c r="AF49" s="299"/>
      <c r="AG49" s="413">
        <v>233.1</v>
      </c>
      <c r="AH49" s="299"/>
      <c r="AI49" s="299"/>
      <c r="AJ49" s="299"/>
      <c r="AK49" s="299"/>
      <c r="AL49" s="299"/>
      <c r="AM49" s="299"/>
      <c r="AN49" s="299"/>
      <c r="AO49" s="299"/>
      <c r="AP49" s="299"/>
      <c r="AQ49" s="299"/>
      <c r="AR49" s="299"/>
      <c r="AS49" s="299"/>
      <c r="AT49" s="299"/>
      <c r="AU49" s="290"/>
      <c r="AV49" s="290"/>
      <c r="AW49" s="290"/>
      <c r="AX49" s="290"/>
      <c r="AY49" s="290"/>
      <c r="AZ49" s="290"/>
      <c r="BA49" s="290"/>
      <c r="BB49" s="290"/>
      <c r="BC49" s="290"/>
      <c r="BD49" s="290"/>
      <c r="BE49" s="290"/>
      <c r="BF49" s="290"/>
      <c r="BG49" s="290"/>
      <c r="BH49" s="290"/>
      <c r="BI49" s="290"/>
      <c r="BJ49" s="290"/>
      <c r="BK49" s="290"/>
      <c r="BL49" s="290"/>
      <c r="BM49" s="290"/>
      <c r="BN49" s="290"/>
      <c r="BO49" s="290"/>
      <c r="BP49" s="290"/>
      <c r="BQ49" s="290"/>
      <c r="BR49" s="290"/>
      <c r="BS49" s="290"/>
      <c r="BT49" s="290"/>
      <c r="BU49" s="352">
        <v>-4351.2000000000044</v>
      </c>
      <c r="BV49" s="326">
        <f>Calculator_Calculations!T70</f>
        <v>-4351.2000000000044</v>
      </c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  <c r="EH49" s="90"/>
      <c r="EI49" s="90"/>
      <c r="EJ49" s="90"/>
      <c r="EK49" s="90"/>
      <c r="EL49" s="90"/>
      <c r="EM49" s="90"/>
      <c r="EN49" s="90"/>
      <c r="EO49" s="90"/>
      <c r="EP49" s="90"/>
      <c r="EQ49" s="90"/>
      <c r="ER49" s="90"/>
      <c r="ES49" s="90"/>
      <c r="ET49" s="90"/>
      <c r="EU49" s="90"/>
      <c r="EV49" s="90"/>
      <c r="EW49" s="90"/>
      <c r="EX49" s="90"/>
      <c r="EY49" s="90"/>
      <c r="EZ49" s="90"/>
      <c r="FA49" s="90"/>
      <c r="FB49" s="90"/>
      <c r="FC49" s="90"/>
      <c r="FD49" s="90"/>
      <c r="FE49" s="90"/>
      <c r="FF49" s="90"/>
      <c r="FG49" s="90"/>
      <c r="FH49" s="90"/>
      <c r="FI49" s="90"/>
      <c r="FJ49" s="90"/>
      <c r="FK49" s="90"/>
      <c r="FL49" s="90"/>
      <c r="FM49" s="90"/>
      <c r="FN49" s="90"/>
      <c r="FO49" s="90"/>
      <c r="FP49" s="90"/>
      <c r="FQ49" s="90"/>
      <c r="FR49" s="90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90"/>
      <c r="GD49" s="90"/>
      <c r="GE49" s="90"/>
      <c r="GF49" s="90"/>
      <c r="GG49" s="90"/>
      <c r="GH49" s="90"/>
      <c r="GI49" s="90"/>
      <c r="GJ49" s="90"/>
      <c r="GK49" s="90"/>
      <c r="GL49" s="90"/>
      <c r="GM49" s="90"/>
      <c r="GN49" s="90"/>
      <c r="GO49" s="90"/>
      <c r="GP49" s="90"/>
      <c r="GQ49" s="90"/>
      <c r="GR49" s="90"/>
      <c r="GS49" s="90"/>
      <c r="GT49" s="90"/>
      <c r="GU49" s="90"/>
      <c r="GV49" s="90"/>
      <c r="GW49" s="90"/>
      <c r="GX49" s="90"/>
      <c r="GY49" s="90"/>
      <c r="GZ49" s="90"/>
      <c r="HA49" s="90"/>
      <c r="HB49" s="90"/>
      <c r="HC49" s="90"/>
      <c r="HD49" s="90"/>
      <c r="HE49" s="90"/>
      <c r="HF49" s="90"/>
      <c r="HG49" s="90"/>
      <c r="HH49" s="90"/>
      <c r="HI49" s="90"/>
      <c r="HJ49" s="90"/>
      <c r="HK49" s="90"/>
      <c r="HL49" s="90"/>
      <c r="HM49" s="90"/>
      <c r="HN49" s="90"/>
      <c r="HO49" s="90"/>
      <c r="HP49" s="90"/>
      <c r="HQ49" s="90"/>
      <c r="HR49" s="90"/>
      <c r="HS49" s="90"/>
      <c r="HT49" s="90"/>
      <c r="HU49" s="90"/>
      <c r="HV49" s="90"/>
      <c r="HW49" s="90"/>
      <c r="HX49" s="90"/>
      <c r="HY49" s="90"/>
      <c r="HZ49" s="90"/>
    </row>
    <row r="50" spans="3:234" ht="15" x14ac:dyDescent="0.25">
      <c r="K50" s="503"/>
      <c r="L50" s="69" t="s">
        <v>102</v>
      </c>
      <c r="M50" s="57">
        <v>168</v>
      </c>
      <c r="N50" s="299"/>
      <c r="O50" s="299"/>
      <c r="P50" s="299"/>
      <c r="Q50" s="299"/>
      <c r="R50" s="299"/>
      <c r="S50" s="299"/>
      <c r="T50" s="299"/>
      <c r="U50" s="299"/>
      <c r="V50" s="299"/>
      <c r="W50" s="299"/>
      <c r="X50" s="299"/>
      <c r="Y50" s="299"/>
      <c r="Z50" s="299"/>
      <c r="AA50" s="299"/>
      <c r="AB50" s="299"/>
      <c r="AC50" s="299"/>
      <c r="AD50" s="299"/>
      <c r="AE50" s="299"/>
      <c r="AF50" s="299"/>
      <c r="AG50" s="413">
        <v>713.12999999999988</v>
      </c>
      <c r="AH50" s="299"/>
      <c r="AI50" s="299"/>
      <c r="AJ50" s="299"/>
      <c r="AK50" s="299"/>
      <c r="AL50" s="299"/>
      <c r="AM50" s="299"/>
      <c r="AN50" s="299"/>
      <c r="AO50" s="299"/>
      <c r="AP50" s="299"/>
      <c r="AQ50" s="299"/>
      <c r="AR50" s="299"/>
      <c r="AS50" s="299"/>
      <c r="AT50" s="299"/>
      <c r="AU50" s="290"/>
      <c r="AV50" s="290"/>
      <c r="AW50" s="290"/>
      <c r="AX50" s="290"/>
      <c r="AY50" s="290"/>
      <c r="AZ50" s="290"/>
      <c r="BA50" s="290"/>
      <c r="BB50" s="290"/>
      <c r="BC50" s="290"/>
      <c r="BD50" s="290"/>
      <c r="BE50" s="290"/>
      <c r="BF50" s="290"/>
      <c r="BG50" s="290"/>
      <c r="BH50" s="290"/>
      <c r="BI50" s="290"/>
      <c r="BJ50" s="290"/>
      <c r="BK50" s="290"/>
      <c r="BL50" s="290"/>
      <c r="BM50" s="290"/>
      <c r="BN50" s="290"/>
      <c r="BO50" s="290"/>
      <c r="BP50" s="290"/>
      <c r="BQ50" s="290"/>
      <c r="BR50" s="290"/>
      <c r="BS50" s="290"/>
      <c r="BT50" s="290"/>
      <c r="BU50" s="352">
        <v>119928.59999999998</v>
      </c>
      <c r="BV50" s="326">
        <f>Calculator_Calculations!T72</f>
        <v>119928.59999999998</v>
      </c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  <c r="EH50" s="90"/>
      <c r="EI50" s="90"/>
      <c r="EJ50" s="90"/>
      <c r="EK50" s="90"/>
      <c r="EL50" s="90"/>
      <c r="EM50" s="90"/>
      <c r="EN50" s="90"/>
      <c r="EO50" s="90"/>
      <c r="EP50" s="90"/>
      <c r="EQ50" s="90"/>
      <c r="ER50" s="90"/>
      <c r="ES50" s="90"/>
      <c r="ET50" s="90"/>
      <c r="EU50" s="90"/>
      <c r="EV50" s="90"/>
      <c r="EW50" s="90"/>
      <c r="EX50" s="90"/>
      <c r="EY50" s="90"/>
      <c r="EZ50" s="90"/>
      <c r="FA50" s="90"/>
      <c r="FB50" s="90"/>
      <c r="FC50" s="90"/>
      <c r="FD50" s="90"/>
      <c r="FE50" s="90"/>
      <c r="FF50" s="90"/>
      <c r="FG50" s="90"/>
      <c r="FH50" s="90"/>
      <c r="FI50" s="90"/>
      <c r="FJ50" s="90"/>
      <c r="FK50" s="90"/>
      <c r="FL50" s="90"/>
      <c r="FM50" s="90"/>
      <c r="FN50" s="90"/>
      <c r="FO50" s="90"/>
      <c r="FP50" s="90"/>
      <c r="FQ50" s="90"/>
      <c r="FR50" s="90"/>
      <c r="FS50" s="90"/>
      <c r="FT50" s="90"/>
      <c r="FU50" s="90"/>
      <c r="FV50" s="90"/>
      <c r="FW50" s="90"/>
      <c r="FX50" s="90"/>
      <c r="FY50" s="90"/>
      <c r="FZ50" s="90"/>
      <c r="GA50" s="90"/>
      <c r="GB50" s="90"/>
      <c r="GC50" s="90"/>
      <c r="GD50" s="90"/>
      <c r="GE50" s="90"/>
      <c r="GF50" s="90"/>
      <c r="GG50" s="90"/>
      <c r="GH50" s="90"/>
      <c r="GI50" s="90"/>
      <c r="GJ50" s="90"/>
      <c r="GK50" s="90"/>
      <c r="GL50" s="90"/>
      <c r="GM50" s="90"/>
      <c r="GN50" s="90"/>
      <c r="GO50" s="90"/>
      <c r="GP50" s="90"/>
      <c r="GQ50" s="90"/>
      <c r="GR50" s="90"/>
      <c r="GS50" s="90"/>
      <c r="GT50" s="90"/>
      <c r="GU50" s="90"/>
      <c r="GV50" s="90"/>
      <c r="GW50" s="90"/>
      <c r="GX50" s="90"/>
      <c r="GY50" s="90"/>
      <c r="GZ50" s="90"/>
      <c r="HA50" s="90"/>
      <c r="HB50" s="90"/>
      <c r="HC50" s="90"/>
      <c r="HD50" s="90"/>
      <c r="HE50" s="90"/>
      <c r="HF50" s="90"/>
      <c r="HG50" s="90"/>
      <c r="HH50" s="90"/>
      <c r="HI50" s="90"/>
      <c r="HJ50" s="90"/>
      <c r="HK50" s="90"/>
      <c r="HL50" s="90"/>
      <c r="HM50" s="90"/>
      <c r="HN50" s="90"/>
      <c r="HO50" s="90"/>
      <c r="HP50" s="90"/>
      <c r="HQ50" s="90"/>
      <c r="HR50" s="90"/>
      <c r="HS50" s="90"/>
      <c r="HT50" s="90"/>
      <c r="HU50" s="90"/>
      <c r="HV50" s="90"/>
      <c r="HW50" s="90"/>
      <c r="HX50" s="90"/>
      <c r="HY50" s="90"/>
      <c r="HZ50" s="90"/>
    </row>
    <row r="51" spans="3:234" ht="14.25" customHeight="1" thickBot="1" x14ac:dyDescent="0.3">
      <c r="E51" t="s">
        <v>257</v>
      </c>
      <c r="G51" t="s">
        <v>257</v>
      </c>
      <c r="K51" s="503"/>
      <c r="L51" s="69" t="s">
        <v>105</v>
      </c>
      <c r="M51" s="57">
        <v>57.569999999999993</v>
      </c>
      <c r="N51" s="299"/>
      <c r="O51" s="299"/>
      <c r="P51" s="299"/>
      <c r="Q51" s="299"/>
      <c r="R51" s="299"/>
      <c r="S51" s="299"/>
      <c r="T51" s="299"/>
      <c r="U51" s="299"/>
      <c r="V51" s="299"/>
      <c r="W51" s="299"/>
      <c r="X51" s="299"/>
      <c r="Y51" s="299"/>
      <c r="Z51" s="299"/>
      <c r="AA51" s="299"/>
      <c r="AB51" s="299"/>
      <c r="AC51" s="299"/>
      <c r="AD51" s="299"/>
      <c r="AE51" s="299"/>
      <c r="AF51" s="299"/>
      <c r="AG51" s="413">
        <v>57.569999999999993</v>
      </c>
      <c r="AH51" s="299"/>
      <c r="AI51" s="299"/>
      <c r="AJ51" s="299"/>
      <c r="AK51" s="299"/>
      <c r="AL51" s="299"/>
      <c r="AM51" s="299"/>
      <c r="AN51" s="299"/>
      <c r="AO51" s="299"/>
      <c r="AP51" s="299"/>
      <c r="AQ51" s="299"/>
      <c r="AR51" s="299"/>
      <c r="AS51" s="299"/>
      <c r="AT51" s="299"/>
      <c r="AU51" s="290"/>
      <c r="AV51" s="290"/>
      <c r="AW51" s="290"/>
      <c r="AX51" s="290"/>
      <c r="AY51" s="290"/>
      <c r="AZ51" s="290"/>
      <c r="BA51" s="290"/>
      <c r="BB51" s="290"/>
      <c r="BC51" s="290"/>
      <c r="BD51" s="290"/>
      <c r="BE51" s="290"/>
      <c r="BF51" s="290"/>
      <c r="BG51" s="290"/>
      <c r="BH51" s="290"/>
      <c r="BI51" s="290"/>
      <c r="BJ51" s="290"/>
      <c r="BK51" s="290"/>
      <c r="BL51" s="290"/>
      <c r="BM51" s="290"/>
      <c r="BN51" s="290"/>
      <c r="BO51" s="290"/>
      <c r="BP51" s="290"/>
      <c r="BQ51" s="290"/>
      <c r="BR51" s="290"/>
      <c r="BS51" s="290"/>
      <c r="BT51" s="290"/>
      <c r="BU51" s="352">
        <v>0</v>
      </c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  <c r="EH51" s="90"/>
      <c r="EI51" s="90"/>
      <c r="EJ51" s="90"/>
      <c r="EK51" s="90"/>
      <c r="EL51" s="90"/>
      <c r="EM51" s="90"/>
      <c r="EN51" s="90"/>
      <c r="EO51" s="90"/>
      <c r="EP51" s="90"/>
      <c r="EQ51" s="90"/>
      <c r="ER51" s="90"/>
      <c r="ES51" s="90"/>
      <c r="ET51" s="90"/>
      <c r="EU51" s="90"/>
      <c r="EV51" s="90"/>
      <c r="EW51" s="90"/>
      <c r="EX51" s="90"/>
      <c r="EY51" s="90"/>
      <c r="EZ51" s="90"/>
      <c r="FA51" s="90"/>
      <c r="FB51" s="90"/>
      <c r="FC51" s="90"/>
      <c r="FD51" s="90"/>
      <c r="FE51" s="90"/>
      <c r="FF51" s="90"/>
      <c r="FG51" s="90"/>
      <c r="FH51" s="90"/>
      <c r="FI51" s="90"/>
      <c r="FJ51" s="90"/>
      <c r="FK51" s="90"/>
      <c r="FL51" s="90"/>
      <c r="FM51" s="90"/>
      <c r="FN51" s="90"/>
      <c r="FO51" s="90"/>
      <c r="FP51" s="90"/>
      <c r="FQ51" s="90"/>
      <c r="FR51" s="90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90"/>
      <c r="GD51" s="90"/>
      <c r="GE51" s="90"/>
      <c r="GF51" s="90"/>
      <c r="GG51" s="90"/>
      <c r="GH51" s="90"/>
      <c r="GI51" s="90"/>
      <c r="GJ51" s="90"/>
      <c r="GK51" s="90"/>
      <c r="GL51" s="90"/>
      <c r="GM51" s="90"/>
      <c r="GN51" s="90"/>
      <c r="GO51" s="90"/>
      <c r="GP51" s="90"/>
      <c r="GQ51" s="90"/>
      <c r="GR51" s="90"/>
      <c r="GS51" s="90"/>
      <c r="GT51" s="90"/>
      <c r="GU51" s="90"/>
      <c r="GV51" s="90"/>
      <c r="GW51" s="90"/>
      <c r="GX51" s="90"/>
      <c r="GY51" s="90"/>
      <c r="GZ51" s="90"/>
      <c r="HA51" s="90"/>
      <c r="HB51" s="90"/>
      <c r="HC51" s="90"/>
      <c r="HD51" s="90"/>
      <c r="HE51" s="90"/>
      <c r="HF51" s="90"/>
      <c r="HG51" s="90"/>
      <c r="HH51" s="90"/>
      <c r="HI51" s="90"/>
      <c r="HJ51" s="90"/>
      <c r="HK51" s="90"/>
      <c r="HL51" s="90"/>
      <c r="HM51" s="90"/>
      <c r="HN51" s="90"/>
      <c r="HO51" s="90"/>
      <c r="HP51" s="90"/>
      <c r="HQ51" s="90"/>
      <c r="HR51" s="90"/>
      <c r="HS51" s="90"/>
      <c r="HT51" s="90"/>
      <c r="HU51" s="90"/>
      <c r="HV51" s="90"/>
      <c r="HW51" s="90"/>
      <c r="HX51" s="90"/>
      <c r="HY51" s="90"/>
      <c r="HZ51" s="90"/>
    </row>
    <row r="52" spans="3:234" ht="16.5" thickBot="1" x14ac:dyDescent="0.3">
      <c r="C52" s="525" t="s">
        <v>245</v>
      </c>
      <c r="D52" s="526"/>
      <c r="E52" s="313" t="s">
        <v>12</v>
      </c>
      <c r="G52" s="64" t="s">
        <v>38</v>
      </c>
      <c r="K52" s="477" t="s">
        <v>107</v>
      </c>
      <c r="L52" s="345" t="s">
        <v>108</v>
      </c>
      <c r="M52" s="104">
        <f>SUM(M53:M56)</f>
        <v>4868429.6000000006</v>
      </c>
      <c r="N52" s="299"/>
      <c r="O52" s="299"/>
      <c r="P52" s="299"/>
      <c r="Q52" s="299"/>
      <c r="R52" s="299"/>
      <c r="S52" s="299"/>
      <c r="T52" s="299"/>
      <c r="U52" s="299"/>
      <c r="V52" s="299"/>
      <c r="W52" s="304"/>
      <c r="X52" s="299"/>
      <c r="Y52" s="299"/>
      <c r="Z52" s="299"/>
      <c r="AA52" s="299"/>
      <c r="AB52" s="299"/>
      <c r="AC52" s="299"/>
      <c r="AD52" s="299"/>
      <c r="AE52" s="299"/>
      <c r="AF52" s="299"/>
      <c r="AG52" s="305">
        <f>SUM(AG53:AG56)</f>
        <v>6328958.4800000982</v>
      </c>
      <c r="AH52" s="304"/>
      <c r="AI52" s="304"/>
      <c r="AJ52" s="304"/>
      <c r="AK52" s="304"/>
      <c r="AL52" s="304"/>
      <c r="AM52" s="304"/>
      <c r="AN52" s="304"/>
      <c r="AO52" s="304"/>
      <c r="AP52" s="289"/>
      <c r="AQ52" s="290"/>
      <c r="AR52" s="290"/>
      <c r="AS52" s="290"/>
      <c r="AT52" s="290"/>
      <c r="AU52" s="290"/>
      <c r="AV52" s="290"/>
      <c r="AW52" s="290"/>
      <c r="AX52" s="290"/>
      <c r="AY52" s="290"/>
      <c r="AZ52" s="290"/>
      <c r="BA52" s="290"/>
      <c r="BB52" s="290"/>
      <c r="BC52" s="290"/>
      <c r="BD52" s="290"/>
      <c r="BE52" s="290"/>
      <c r="BF52" s="290"/>
      <c r="BG52" s="290"/>
      <c r="BH52" s="290"/>
      <c r="BI52" s="290"/>
      <c r="BJ52" s="290"/>
      <c r="BK52" s="290"/>
      <c r="BL52" s="290"/>
      <c r="BM52" s="290"/>
      <c r="BN52" s="290"/>
      <c r="BO52" s="290"/>
      <c r="BP52" s="290"/>
      <c r="BQ52" s="290"/>
      <c r="BR52" s="290"/>
      <c r="BS52" s="290"/>
      <c r="BT52" s="290"/>
      <c r="BU52" s="352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  <c r="EH52" s="90"/>
      <c r="EI52" s="90"/>
      <c r="EJ52" s="90"/>
      <c r="EK52" s="90"/>
      <c r="EL52" s="90"/>
      <c r="EM52" s="90"/>
      <c r="EN52" s="90"/>
      <c r="EO52" s="90"/>
      <c r="EP52" s="90"/>
      <c r="EQ52" s="90"/>
      <c r="ER52" s="90"/>
      <c r="ES52" s="90"/>
      <c r="ET52" s="90"/>
      <c r="EU52" s="90"/>
      <c r="EV52" s="90"/>
      <c r="EW52" s="90"/>
      <c r="EX52" s="90"/>
      <c r="EY52" s="90"/>
      <c r="EZ52" s="90"/>
      <c r="FA52" s="90"/>
      <c r="FB52" s="90"/>
      <c r="FC52" s="90"/>
      <c r="FD52" s="90"/>
      <c r="FE52" s="90"/>
      <c r="FF52" s="90"/>
      <c r="FG52" s="90"/>
      <c r="FH52" s="90"/>
      <c r="FI52" s="90"/>
      <c r="FJ52" s="90"/>
      <c r="FK52" s="90"/>
      <c r="FL52" s="90"/>
      <c r="FM52" s="90"/>
      <c r="FN52" s="90"/>
      <c r="FO52" s="90"/>
      <c r="FP52" s="90"/>
      <c r="FQ52" s="90"/>
      <c r="FR52" s="90"/>
      <c r="FS52" s="90"/>
      <c r="FT52" s="90"/>
      <c r="FU52" s="90"/>
      <c r="FV52" s="90"/>
      <c r="FW52" s="90"/>
      <c r="FX52" s="90"/>
      <c r="FY52" s="90"/>
      <c r="FZ52" s="90"/>
      <c r="GA52" s="90"/>
      <c r="GB52" s="90"/>
      <c r="GC52" s="90"/>
      <c r="GD52" s="90"/>
      <c r="GE52" s="90"/>
      <c r="GF52" s="90"/>
      <c r="GG52" s="90"/>
      <c r="GH52" s="90"/>
      <c r="GI52" s="90"/>
      <c r="GJ52" s="90"/>
      <c r="GK52" s="90"/>
      <c r="GL52" s="90"/>
      <c r="GM52" s="90"/>
      <c r="GN52" s="90"/>
      <c r="GO52" s="90"/>
      <c r="GP52" s="90"/>
      <c r="GQ52" s="90"/>
      <c r="GR52" s="90"/>
      <c r="GS52" s="90"/>
      <c r="GT52" s="90"/>
      <c r="GU52" s="90"/>
      <c r="GV52" s="90"/>
      <c r="GW52" s="90"/>
      <c r="GX52" s="90"/>
      <c r="GY52" s="90"/>
      <c r="GZ52" s="90"/>
      <c r="HA52" s="90"/>
      <c r="HB52" s="90"/>
      <c r="HC52" s="90"/>
      <c r="HD52" s="90"/>
      <c r="HE52" s="90"/>
      <c r="HF52" s="90"/>
      <c r="HG52" s="90"/>
      <c r="HH52" s="90"/>
      <c r="HI52" s="90"/>
      <c r="HJ52" s="90"/>
      <c r="HK52" s="90"/>
      <c r="HL52" s="90"/>
      <c r="HM52" s="90"/>
      <c r="HN52" s="90"/>
      <c r="HO52" s="90"/>
      <c r="HP52" s="90"/>
      <c r="HQ52" s="90"/>
      <c r="HR52" s="90"/>
      <c r="HS52" s="90"/>
      <c r="HT52" s="90"/>
      <c r="HU52" s="90"/>
      <c r="HV52" s="90"/>
      <c r="HW52" s="90"/>
      <c r="HX52" s="90"/>
      <c r="HY52" s="90"/>
      <c r="HZ52" s="90"/>
    </row>
    <row r="53" spans="3:234" ht="15" customHeight="1" x14ac:dyDescent="0.25">
      <c r="C53" s="477" t="s">
        <v>95</v>
      </c>
      <c r="D53" s="315" t="s">
        <v>232</v>
      </c>
      <c r="E53" s="23">
        <f>'Table Format Calculations'!J139</f>
        <v>8575566.7899999991</v>
      </c>
      <c r="F53" s="90"/>
      <c r="G53" s="23">
        <f>'Table Format Calculations'!J147</f>
        <v>4296500</v>
      </c>
      <c r="K53" s="478"/>
      <c r="L53" s="345" t="s">
        <v>211</v>
      </c>
      <c r="M53" s="104">
        <v>731420.4</v>
      </c>
      <c r="N53" s="299"/>
      <c r="O53" s="299"/>
      <c r="P53" s="299"/>
      <c r="Q53" s="299"/>
      <c r="R53" s="299"/>
      <c r="S53" s="299"/>
      <c r="T53" s="299"/>
      <c r="U53" s="299"/>
      <c r="V53" s="299"/>
      <c r="W53" s="304"/>
      <c r="X53" s="299"/>
      <c r="Y53" s="299"/>
      <c r="Z53" s="299"/>
      <c r="AA53" s="299"/>
      <c r="AB53" s="299"/>
      <c r="AC53" s="299"/>
      <c r="AD53" s="299"/>
      <c r="AE53" s="299"/>
      <c r="AF53" s="299"/>
      <c r="AG53" s="415">
        <v>731420.4</v>
      </c>
      <c r="AH53" s="304"/>
      <c r="AI53" s="304"/>
      <c r="AJ53" s="304"/>
      <c r="AK53" s="304"/>
      <c r="AL53" s="304"/>
      <c r="AM53" s="304"/>
      <c r="AN53" s="304"/>
      <c r="AO53" s="304"/>
      <c r="AP53" s="289"/>
      <c r="AQ53" s="290"/>
      <c r="AR53" s="290"/>
      <c r="AS53" s="290"/>
      <c r="AT53" s="290"/>
      <c r="AU53" s="290"/>
      <c r="AV53" s="290"/>
      <c r="AW53" s="290"/>
      <c r="AX53" s="290"/>
      <c r="AY53" s="290"/>
      <c r="AZ53" s="290"/>
      <c r="BA53" s="290"/>
      <c r="BB53" s="290"/>
      <c r="BC53" s="290"/>
      <c r="BD53" s="290"/>
      <c r="BE53" s="290"/>
      <c r="BF53" s="290"/>
      <c r="BG53" s="290"/>
      <c r="BH53" s="290"/>
      <c r="BI53" s="290"/>
      <c r="BJ53" s="290"/>
      <c r="BK53" s="290"/>
      <c r="BL53" s="290"/>
      <c r="BM53" s="290"/>
      <c r="BN53" s="290"/>
      <c r="BO53" s="290"/>
      <c r="BP53" s="290"/>
      <c r="BQ53" s="290"/>
      <c r="BR53" s="290"/>
      <c r="BS53" s="290"/>
      <c r="BT53" s="290"/>
      <c r="BU53" s="352">
        <v>0</v>
      </c>
      <c r="BV53" s="90">
        <f>Calculator_Calculations!Q118</f>
        <v>0</v>
      </c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  <c r="EH53" s="90"/>
      <c r="EI53" s="90"/>
      <c r="EJ53" s="90"/>
      <c r="EK53" s="90"/>
      <c r="EL53" s="90"/>
      <c r="EM53" s="90"/>
      <c r="EN53" s="90"/>
      <c r="EO53" s="90"/>
      <c r="EP53" s="90"/>
      <c r="EQ53" s="90"/>
      <c r="ER53" s="90"/>
      <c r="ES53" s="90"/>
      <c r="ET53" s="90"/>
      <c r="EU53" s="90"/>
      <c r="EV53" s="90"/>
      <c r="EW53" s="90"/>
      <c r="EX53" s="90"/>
      <c r="EY53" s="90"/>
      <c r="EZ53" s="90"/>
      <c r="FA53" s="90"/>
      <c r="FB53" s="90"/>
      <c r="FC53" s="90"/>
      <c r="FD53" s="90"/>
      <c r="FE53" s="90"/>
      <c r="FF53" s="90"/>
      <c r="FG53" s="90"/>
      <c r="FH53" s="90"/>
      <c r="FI53" s="90"/>
      <c r="FJ53" s="90"/>
      <c r="FK53" s="90"/>
      <c r="FL53" s="90"/>
      <c r="FM53" s="90"/>
      <c r="FN53" s="90"/>
      <c r="FO53" s="90"/>
      <c r="FP53" s="90"/>
      <c r="FQ53" s="90"/>
      <c r="FR53" s="90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90"/>
      <c r="GD53" s="90"/>
      <c r="GE53" s="90"/>
      <c r="GF53" s="90"/>
      <c r="GG53" s="90"/>
      <c r="GH53" s="90"/>
      <c r="GI53" s="90"/>
      <c r="GJ53" s="90"/>
      <c r="GK53" s="90"/>
      <c r="GL53" s="90"/>
      <c r="GM53" s="90"/>
      <c r="GN53" s="90"/>
      <c r="GO53" s="90"/>
      <c r="GP53" s="90"/>
      <c r="GQ53" s="90"/>
      <c r="GR53" s="90"/>
      <c r="GS53" s="90"/>
      <c r="GT53" s="90"/>
      <c r="GU53" s="90"/>
      <c r="GV53" s="90"/>
      <c r="GW53" s="90"/>
      <c r="GX53" s="90"/>
      <c r="GY53" s="90"/>
      <c r="GZ53" s="90"/>
      <c r="HA53" s="90"/>
      <c r="HB53" s="90"/>
      <c r="HC53" s="90"/>
      <c r="HD53" s="90"/>
      <c r="HE53" s="90"/>
      <c r="HF53" s="90"/>
      <c r="HG53" s="90"/>
      <c r="HH53" s="90"/>
      <c r="HI53" s="90"/>
      <c r="HJ53" s="90"/>
      <c r="HK53" s="90"/>
      <c r="HL53" s="90"/>
      <c r="HM53" s="90"/>
      <c r="HN53" s="90"/>
      <c r="HO53" s="90"/>
      <c r="HP53" s="90"/>
      <c r="HQ53" s="90"/>
      <c r="HR53" s="90"/>
      <c r="HS53" s="90"/>
      <c r="HT53" s="90"/>
      <c r="HU53" s="90"/>
      <c r="HV53" s="90"/>
      <c r="HW53" s="90"/>
      <c r="HX53" s="90"/>
      <c r="HY53" s="90"/>
      <c r="HZ53" s="90"/>
    </row>
    <row r="54" spans="3:234" ht="15" customHeight="1" x14ac:dyDescent="0.25">
      <c r="C54" s="478"/>
      <c r="D54" s="108" t="s">
        <v>119</v>
      </c>
      <c r="E54" s="23">
        <f>'Table Format Calculations'!J140</f>
        <v>5641800</v>
      </c>
      <c r="F54" s="90"/>
      <c r="G54" s="316"/>
      <c r="K54" s="478"/>
      <c r="L54" s="345" t="s">
        <v>110</v>
      </c>
      <c r="M54" s="104">
        <v>2367586</v>
      </c>
      <c r="N54" s="299"/>
      <c r="O54" s="299"/>
      <c r="P54" s="299"/>
      <c r="Q54" s="299"/>
      <c r="R54" s="299"/>
      <c r="S54" s="299"/>
      <c r="T54" s="299"/>
      <c r="U54" s="299"/>
      <c r="V54" s="299"/>
      <c r="W54" s="304"/>
      <c r="X54" s="299"/>
      <c r="Y54" s="299"/>
      <c r="Z54" s="299"/>
      <c r="AA54" s="299"/>
      <c r="AB54" s="299"/>
      <c r="AC54" s="299"/>
      <c r="AD54" s="299"/>
      <c r="AE54" s="299"/>
      <c r="AF54" s="299"/>
      <c r="AG54" s="415">
        <v>3828114.8800000981</v>
      </c>
      <c r="AH54" s="304"/>
      <c r="AI54" s="304"/>
      <c r="AJ54" s="304"/>
      <c r="AK54" s="304"/>
      <c r="AL54" s="304"/>
      <c r="AM54" s="304"/>
      <c r="AN54" s="304"/>
      <c r="AO54" s="304"/>
      <c r="AP54" s="289"/>
      <c r="AQ54" s="290"/>
      <c r="AR54" s="290"/>
      <c r="AS54" s="290"/>
      <c r="AT54" s="290"/>
      <c r="AU54" s="290"/>
      <c r="AV54" s="290"/>
      <c r="AW54" s="290"/>
      <c r="AX54" s="290"/>
      <c r="AY54" s="290"/>
      <c r="AZ54" s="290"/>
      <c r="BA54" s="290"/>
      <c r="BB54" s="290"/>
      <c r="BC54" s="290"/>
      <c r="BD54" s="290"/>
      <c r="BE54" s="290"/>
      <c r="BF54" s="290"/>
      <c r="BG54" s="290"/>
      <c r="BH54" s="290"/>
      <c r="BI54" s="290"/>
      <c r="BJ54" s="290"/>
      <c r="BK54" s="290"/>
      <c r="BL54" s="290"/>
      <c r="BM54" s="290"/>
      <c r="BN54" s="290"/>
      <c r="BO54" s="290"/>
      <c r="BP54" s="290"/>
      <c r="BQ54" s="290"/>
      <c r="BR54" s="290"/>
      <c r="BS54" s="290"/>
      <c r="BT54" s="290"/>
      <c r="BU54" s="352">
        <v>42501.647964645468</v>
      </c>
      <c r="BV54" s="90">
        <f>Calculator_Calculations!Q119</f>
        <v>42501.647964645468</v>
      </c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  <c r="EH54" s="90"/>
      <c r="EI54" s="90"/>
      <c r="EJ54" s="90"/>
      <c r="EK54" s="90"/>
      <c r="EL54" s="90"/>
      <c r="EM54" s="90"/>
      <c r="EN54" s="90"/>
      <c r="EO54" s="90"/>
      <c r="EP54" s="90"/>
      <c r="EQ54" s="90"/>
      <c r="ER54" s="90"/>
      <c r="ES54" s="90"/>
      <c r="ET54" s="90"/>
      <c r="EU54" s="90"/>
      <c r="EV54" s="90"/>
      <c r="EW54" s="90"/>
      <c r="EX54" s="90"/>
      <c r="EY54" s="90"/>
      <c r="EZ54" s="90"/>
      <c r="FA54" s="90"/>
      <c r="FB54" s="90"/>
      <c r="FC54" s="90"/>
      <c r="FD54" s="90"/>
      <c r="FE54" s="90"/>
      <c r="FF54" s="90"/>
      <c r="FG54" s="90"/>
      <c r="FH54" s="90"/>
      <c r="FI54" s="90"/>
      <c r="FJ54" s="90"/>
      <c r="FK54" s="90"/>
      <c r="FL54" s="90"/>
      <c r="FM54" s="90"/>
      <c r="FN54" s="90"/>
      <c r="FO54" s="90"/>
      <c r="FP54" s="90"/>
      <c r="FQ54" s="90"/>
      <c r="FR54" s="90"/>
      <c r="FS54" s="90"/>
      <c r="FT54" s="90"/>
      <c r="FU54" s="90"/>
      <c r="FV54" s="90"/>
      <c r="FW54" s="90"/>
      <c r="FX54" s="90"/>
      <c r="FY54" s="90"/>
      <c r="FZ54" s="90"/>
      <c r="GA54" s="90"/>
      <c r="GB54" s="90"/>
      <c r="GC54" s="90"/>
      <c r="GD54" s="90"/>
      <c r="GE54" s="90"/>
      <c r="GF54" s="90"/>
      <c r="GG54" s="90"/>
      <c r="GH54" s="90"/>
      <c r="GI54" s="90"/>
      <c r="GJ54" s="90"/>
      <c r="GK54" s="90"/>
      <c r="GL54" s="90"/>
      <c r="GM54" s="90"/>
      <c r="GN54" s="90"/>
      <c r="GO54" s="90"/>
      <c r="GP54" s="90"/>
      <c r="GQ54" s="90"/>
      <c r="GR54" s="90"/>
      <c r="GS54" s="90"/>
      <c r="GT54" s="90"/>
      <c r="GU54" s="90"/>
      <c r="GV54" s="90"/>
      <c r="GW54" s="90"/>
      <c r="GX54" s="90"/>
      <c r="GY54" s="90"/>
      <c r="GZ54" s="90"/>
      <c r="HA54" s="90"/>
      <c r="HB54" s="90"/>
      <c r="HC54" s="90"/>
      <c r="HD54" s="90"/>
      <c r="HE54" s="90"/>
      <c r="HF54" s="90"/>
      <c r="HG54" s="90"/>
      <c r="HH54" s="90"/>
      <c r="HI54" s="90"/>
      <c r="HJ54" s="90"/>
      <c r="HK54" s="90"/>
      <c r="HL54" s="90"/>
      <c r="HM54" s="90"/>
      <c r="HN54" s="90"/>
      <c r="HO54" s="90"/>
      <c r="HP54" s="90"/>
      <c r="HQ54" s="90"/>
      <c r="HR54" s="90"/>
      <c r="HS54" s="90"/>
      <c r="HT54" s="90"/>
      <c r="HU54" s="90"/>
      <c r="HV54" s="90"/>
      <c r="HW54" s="90"/>
      <c r="HX54" s="90"/>
      <c r="HY54" s="90"/>
      <c r="HZ54" s="90"/>
    </row>
    <row r="55" spans="3:234" ht="15.75" customHeight="1" x14ac:dyDescent="0.25">
      <c r="C55" s="478"/>
      <c r="D55" s="108" t="s">
        <v>233</v>
      </c>
      <c r="E55" s="23">
        <f>'Table Format Calculations'!J141</f>
        <v>797400</v>
      </c>
      <c r="F55" s="90"/>
      <c r="G55" s="316"/>
      <c r="K55" s="478"/>
      <c r="L55" s="345" t="s">
        <v>212</v>
      </c>
      <c r="M55" s="104">
        <v>969664.3</v>
      </c>
      <c r="N55" s="299"/>
      <c r="O55" s="299"/>
      <c r="P55" s="299"/>
      <c r="Q55" s="299"/>
      <c r="R55" s="299"/>
      <c r="S55" s="299"/>
      <c r="T55" s="299"/>
      <c r="U55" s="299"/>
      <c r="V55" s="299"/>
      <c r="W55" s="304"/>
      <c r="X55" s="299"/>
      <c r="Y55" s="299"/>
      <c r="Z55" s="299"/>
      <c r="AA55" s="299"/>
      <c r="AB55" s="299"/>
      <c r="AC55" s="299"/>
      <c r="AD55" s="299"/>
      <c r="AE55" s="299"/>
      <c r="AF55" s="299"/>
      <c r="AG55" s="415">
        <v>969664.3</v>
      </c>
      <c r="AH55" s="304"/>
      <c r="AI55" s="304"/>
      <c r="AJ55" s="304"/>
      <c r="AK55" s="304"/>
      <c r="AL55" s="304"/>
      <c r="AM55" s="304"/>
      <c r="AN55" s="304"/>
      <c r="AO55" s="304"/>
      <c r="AP55" s="289"/>
      <c r="AQ55" s="290"/>
      <c r="AR55" s="290"/>
      <c r="AS55" s="290"/>
      <c r="AT55" s="290"/>
      <c r="AU55" s="290"/>
      <c r="AV55" s="290"/>
      <c r="AW55" s="290"/>
      <c r="AX55" s="290"/>
      <c r="AY55" s="290"/>
      <c r="AZ55" s="290"/>
      <c r="BA55" s="290"/>
      <c r="BB55" s="290"/>
      <c r="BC55" s="290"/>
      <c r="BD55" s="290"/>
      <c r="BE55" s="290"/>
      <c r="BF55" s="290"/>
      <c r="BG55" s="290"/>
      <c r="BH55" s="290"/>
      <c r="BI55" s="290"/>
      <c r="BJ55" s="290"/>
      <c r="BK55" s="290"/>
      <c r="BL55" s="290"/>
      <c r="BM55" s="290"/>
      <c r="BN55" s="290"/>
      <c r="BO55" s="290"/>
      <c r="BP55" s="290"/>
      <c r="BQ55" s="290"/>
      <c r="BR55" s="290"/>
      <c r="BS55" s="290"/>
      <c r="BT55" s="290"/>
      <c r="BU55" s="352">
        <v>0</v>
      </c>
      <c r="BV55" s="90">
        <f>Calculator_Calculations!Q120</f>
        <v>0</v>
      </c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  <c r="EH55" s="90"/>
      <c r="EI55" s="90"/>
      <c r="EJ55" s="90"/>
      <c r="EK55" s="90"/>
      <c r="EL55" s="90"/>
      <c r="EM55" s="90"/>
      <c r="EN55" s="90"/>
      <c r="EO55" s="90"/>
      <c r="EP55" s="90"/>
      <c r="EQ55" s="90"/>
      <c r="ER55" s="90"/>
      <c r="ES55" s="90"/>
      <c r="ET55" s="90"/>
      <c r="EU55" s="90"/>
      <c r="EV55" s="90"/>
      <c r="EW55" s="90"/>
      <c r="EX55" s="90"/>
      <c r="EY55" s="90"/>
      <c r="EZ55" s="90"/>
      <c r="FA55" s="90"/>
      <c r="FB55" s="90"/>
      <c r="FC55" s="90"/>
      <c r="FD55" s="90"/>
      <c r="FE55" s="90"/>
      <c r="FF55" s="90"/>
      <c r="FG55" s="90"/>
      <c r="FH55" s="90"/>
      <c r="FI55" s="90"/>
      <c r="FJ55" s="90"/>
      <c r="FK55" s="90"/>
      <c r="FL55" s="90"/>
      <c r="FM55" s="90"/>
      <c r="FN55" s="90"/>
      <c r="FO55" s="90"/>
      <c r="FP55" s="90"/>
      <c r="FQ55" s="90"/>
      <c r="FR55" s="90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90"/>
      <c r="GD55" s="90"/>
      <c r="GE55" s="90"/>
      <c r="GF55" s="90"/>
      <c r="GG55" s="90"/>
      <c r="GH55" s="90"/>
      <c r="GI55" s="90"/>
      <c r="GJ55" s="90"/>
      <c r="GK55" s="90"/>
      <c r="GL55" s="90"/>
      <c r="GM55" s="90"/>
      <c r="GN55" s="90"/>
      <c r="GO55" s="90"/>
      <c r="GP55" s="90"/>
      <c r="GQ55" s="90"/>
      <c r="GR55" s="90"/>
      <c r="GS55" s="90"/>
      <c r="GT55" s="90"/>
      <c r="GU55" s="90"/>
      <c r="GV55" s="90"/>
      <c r="GW55" s="90"/>
      <c r="GX55" s="90"/>
      <c r="GY55" s="90"/>
      <c r="GZ55" s="90"/>
      <c r="HA55" s="90"/>
      <c r="HB55" s="90"/>
      <c r="HC55" s="90"/>
      <c r="HD55" s="90"/>
      <c r="HE55" s="90"/>
      <c r="HF55" s="90"/>
      <c r="HG55" s="90"/>
      <c r="HH55" s="90"/>
      <c r="HI55" s="90"/>
      <c r="HJ55" s="90"/>
      <c r="HK55" s="90"/>
      <c r="HL55" s="90"/>
      <c r="HM55" s="90"/>
      <c r="HN55" s="90"/>
      <c r="HO55" s="90"/>
      <c r="HP55" s="90"/>
      <c r="HQ55" s="90"/>
      <c r="HR55" s="90"/>
      <c r="HS55" s="90"/>
      <c r="HT55" s="90"/>
      <c r="HU55" s="90"/>
      <c r="HV55" s="90"/>
      <c r="HW55" s="90"/>
      <c r="HX55" s="90"/>
      <c r="HY55" s="90"/>
      <c r="HZ55" s="90"/>
    </row>
    <row r="56" spans="3:234" ht="15.75" thickBot="1" x14ac:dyDescent="0.3">
      <c r="C56" s="479"/>
      <c r="D56" s="108" t="s">
        <v>120</v>
      </c>
      <c r="E56" s="23">
        <f>'Table Format Calculations'!J142</f>
        <v>17309220</v>
      </c>
      <c r="F56" s="90"/>
      <c r="G56" s="316"/>
      <c r="K56" s="479"/>
      <c r="L56" s="345" t="s">
        <v>106</v>
      </c>
      <c r="M56" s="104">
        <v>799758.9</v>
      </c>
      <c r="N56" s="299"/>
      <c r="O56" s="299"/>
      <c r="P56" s="299"/>
      <c r="Q56" s="299"/>
      <c r="R56" s="299"/>
      <c r="S56" s="299"/>
      <c r="T56" s="299"/>
      <c r="U56" s="299"/>
      <c r="V56" s="299"/>
      <c r="W56" s="304"/>
      <c r="X56" s="299"/>
      <c r="Y56" s="299"/>
      <c r="Z56" s="299"/>
      <c r="AA56" s="299"/>
      <c r="AB56" s="299"/>
      <c r="AC56" s="299"/>
      <c r="AD56" s="299"/>
      <c r="AE56" s="299"/>
      <c r="AF56" s="299"/>
      <c r="AG56" s="415">
        <v>799758.9</v>
      </c>
      <c r="AH56" s="304"/>
      <c r="AI56" s="304"/>
      <c r="AJ56" s="304"/>
      <c r="AK56" s="304"/>
      <c r="AL56" s="304"/>
      <c r="AM56" s="304"/>
      <c r="AN56" s="304"/>
      <c r="AO56" s="304"/>
      <c r="AP56" s="289"/>
      <c r="AQ56" s="290"/>
      <c r="AR56" s="290"/>
      <c r="AS56" s="290"/>
      <c r="AT56" s="290"/>
      <c r="AU56" s="290"/>
      <c r="AV56" s="290"/>
      <c r="AW56" s="290"/>
      <c r="AX56" s="290"/>
      <c r="AY56" s="290"/>
      <c r="AZ56" s="290"/>
      <c r="BA56" s="290"/>
      <c r="BB56" s="290"/>
      <c r="BC56" s="290"/>
      <c r="BD56" s="290"/>
      <c r="BE56" s="290"/>
      <c r="BF56" s="290"/>
      <c r="BG56" s="290"/>
      <c r="BH56" s="290"/>
      <c r="BI56" s="290"/>
      <c r="BJ56" s="290"/>
      <c r="BK56" s="290"/>
      <c r="BL56" s="290"/>
      <c r="BM56" s="290"/>
      <c r="BN56" s="290"/>
      <c r="BO56" s="290"/>
      <c r="BP56" s="290"/>
      <c r="BQ56" s="290"/>
      <c r="BR56" s="290"/>
      <c r="BS56" s="290"/>
      <c r="BT56" s="290"/>
      <c r="BU56" s="352">
        <v>0</v>
      </c>
      <c r="BV56" s="90">
        <f>Calculator_Calculations!Q121</f>
        <v>0</v>
      </c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0"/>
      <c r="EO56" s="90"/>
      <c r="EP56" s="90"/>
      <c r="EQ56" s="90"/>
      <c r="ER56" s="90"/>
      <c r="ES56" s="90"/>
      <c r="ET56" s="90"/>
      <c r="EU56" s="90"/>
      <c r="EV56" s="90"/>
      <c r="EW56" s="90"/>
      <c r="EX56" s="90"/>
      <c r="EY56" s="90"/>
      <c r="EZ56" s="90"/>
      <c r="FA56" s="90"/>
      <c r="FB56" s="90"/>
      <c r="FC56" s="90"/>
      <c r="FD56" s="90"/>
      <c r="FE56" s="90"/>
      <c r="FF56" s="90"/>
      <c r="FG56" s="90"/>
      <c r="FH56" s="90"/>
      <c r="FI56" s="90"/>
      <c r="FJ56" s="90"/>
      <c r="FK56" s="90"/>
      <c r="FL56" s="90"/>
      <c r="FM56" s="90"/>
      <c r="FN56" s="90"/>
      <c r="FO56" s="90"/>
      <c r="FP56" s="90"/>
      <c r="FQ56" s="90"/>
      <c r="FR56" s="90"/>
      <c r="FS56" s="90"/>
      <c r="FT56" s="90"/>
      <c r="FU56" s="90"/>
      <c r="FV56" s="90"/>
      <c r="FW56" s="90"/>
      <c r="FX56" s="90"/>
      <c r="FY56" s="90"/>
      <c r="FZ56" s="90"/>
      <c r="GA56" s="90"/>
      <c r="GB56" s="90"/>
      <c r="GC56" s="90"/>
      <c r="GD56" s="90"/>
      <c r="GE56" s="90"/>
      <c r="GF56" s="90"/>
      <c r="GG56" s="90"/>
      <c r="GH56" s="90"/>
      <c r="GI56" s="90"/>
      <c r="GJ56" s="90"/>
      <c r="GK56" s="90"/>
      <c r="GL56" s="90"/>
      <c r="GM56" s="90"/>
      <c r="GN56" s="90"/>
      <c r="GO56" s="90"/>
      <c r="GP56" s="90"/>
      <c r="GQ56" s="90"/>
      <c r="GR56" s="90"/>
      <c r="GS56" s="90"/>
      <c r="GT56" s="90"/>
      <c r="GU56" s="90"/>
      <c r="GV56" s="90"/>
      <c r="GW56" s="90"/>
      <c r="GX56" s="90"/>
      <c r="GY56" s="90"/>
      <c r="GZ56" s="90"/>
      <c r="HA56" s="90"/>
      <c r="HB56" s="90"/>
      <c r="HC56" s="90"/>
      <c r="HD56" s="90"/>
      <c r="HE56" s="90"/>
      <c r="HF56" s="90"/>
      <c r="HG56" s="90"/>
      <c r="HH56" s="90"/>
      <c r="HI56" s="90"/>
      <c r="HJ56" s="90"/>
      <c r="HK56" s="90"/>
      <c r="HL56" s="90"/>
      <c r="HM56" s="90"/>
      <c r="HN56" s="90"/>
      <c r="HO56" s="90"/>
      <c r="HP56" s="90"/>
      <c r="HQ56" s="90"/>
      <c r="HR56" s="90"/>
      <c r="HS56" s="90"/>
      <c r="HT56" s="90"/>
      <c r="HU56" s="90"/>
      <c r="HV56" s="90"/>
      <c r="HW56" s="90"/>
      <c r="HX56" s="90"/>
      <c r="HY56" s="90"/>
      <c r="HZ56" s="90"/>
    </row>
    <row r="57" spans="3:234" ht="15.75" thickBot="1" x14ac:dyDescent="0.3">
      <c r="K57" s="347" t="s">
        <v>264</v>
      </c>
      <c r="L57" s="346" t="s">
        <v>252</v>
      </c>
      <c r="M57" s="104">
        <v>5652800</v>
      </c>
      <c r="N57" s="299"/>
      <c r="O57" s="299"/>
      <c r="P57" s="299"/>
      <c r="Q57" s="299"/>
      <c r="R57" s="299"/>
      <c r="S57" s="299"/>
      <c r="T57" s="299"/>
      <c r="U57" s="299"/>
      <c r="V57" s="299"/>
      <c r="W57" s="304"/>
      <c r="X57" s="299"/>
      <c r="Y57" s="299"/>
      <c r="Z57" s="299"/>
      <c r="AA57" s="299"/>
      <c r="AB57" s="299"/>
      <c r="AC57" s="299"/>
      <c r="AD57" s="299"/>
      <c r="AE57" s="299"/>
      <c r="AF57" s="299"/>
      <c r="AG57" s="415">
        <v>5652800</v>
      </c>
      <c r="AH57" s="304"/>
      <c r="AI57" s="304"/>
      <c r="AJ57" s="304"/>
      <c r="AK57" s="304"/>
      <c r="AL57" s="304"/>
      <c r="AM57" s="304"/>
      <c r="AN57" s="304"/>
      <c r="AO57" s="304"/>
      <c r="AP57" s="289"/>
      <c r="AQ57" s="290"/>
      <c r="AR57" s="290"/>
      <c r="AS57" s="290"/>
      <c r="AT57" s="290"/>
      <c r="AU57" s="290"/>
      <c r="AV57" s="290"/>
      <c r="AW57" s="290"/>
      <c r="AX57" s="290"/>
      <c r="AY57" s="290"/>
      <c r="AZ57" s="290"/>
      <c r="BA57" s="290"/>
      <c r="BB57" s="290"/>
      <c r="BC57" s="290"/>
      <c r="BD57" s="290"/>
      <c r="BE57" s="290"/>
      <c r="BF57" s="290"/>
      <c r="BG57" s="290"/>
      <c r="BH57" s="290"/>
      <c r="BI57" s="290"/>
      <c r="BJ57" s="290"/>
      <c r="BK57" s="290"/>
      <c r="BL57" s="290"/>
      <c r="BM57" s="290"/>
      <c r="BN57" s="290"/>
      <c r="BO57" s="290"/>
      <c r="BP57" s="290"/>
      <c r="BQ57" s="290"/>
      <c r="BR57" s="290"/>
      <c r="BS57" s="290"/>
      <c r="BT57" s="290"/>
      <c r="BU57" s="352">
        <v>0</v>
      </c>
      <c r="BV57" s="90">
        <f>Calculator_Calculations!S157</f>
        <v>0</v>
      </c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90"/>
      <c r="FC57" s="90"/>
      <c r="FD57" s="90"/>
      <c r="FE57" s="90"/>
      <c r="FF57" s="90"/>
      <c r="FG57" s="90"/>
      <c r="FH57" s="90"/>
      <c r="FI57" s="90"/>
      <c r="FJ57" s="90"/>
      <c r="FK57" s="90"/>
      <c r="FL57" s="90"/>
      <c r="FM57" s="90"/>
      <c r="FN57" s="90"/>
      <c r="FO57" s="90"/>
      <c r="FP57" s="90"/>
      <c r="FQ57" s="90"/>
      <c r="FR57" s="90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90"/>
      <c r="GD57" s="90"/>
      <c r="GE57" s="90"/>
      <c r="GF57" s="90"/>
      <c r="GG57" s="90"/>
      <c r="GH57" s="90"/>
      <c r="GI57" s="90"/>
      <c r="GJ57" s="90"/>
      <c r="GK57" s="90"/>
      <c r="GL57" s="90"/>
      <c r="GM57" s="90"/>
      <c r="GN57" s="90"/>
      <c r="GO57" s="90"/>
      <c r="GP57" s="90"/>
      <c r="GQ57" s="90"/>
      <c r="GR57" s="90"/>
      <c r="GS57" s="90"/>
      <c r="GT57" s="90"/>
      <c r="GU57" s="90"/>
      <c r="GV57" s="90"/>
      <c r="GW57" s="90"/>
      <c r="GX57" s="90"/>
      <c r="GY57" s="90"/>
      <c r="GZ57" s="90"/>
      <c r="HA57" s="90"/>
      <c r="HB57" s="90"/>
      <c r="HC57" s="90"/>
      <c r="HD57" s="90"/>
      <c r="HE57" s="90"/>
      <c r="HF57" s="90"/>
      <c r="HG57" s="90"/>
      <c r="HH57" s="90"/>
      <c r="HI57" s="90"/>
      <c r="HJ57" s="90"/>
      <c r="HK57" s="90"/>
      <c r="HL57" s="90"/>
      <c r="HM57" s="90"/>
      <c r="HN57" s="90"/>
      <c r="HO57" s="90"/>
      <c r="HP57" s="90"/>
      <c r="HQ57" s="90"/>
      <c r="HR57" s="90"/>
      <c r="HS57" s="90"/>
      <c r="HT57" s="90"/>
      <c r="HU57" s="90"/>
      <c r="HV57" s="90"/>
      <c r="HW57" s="90"/>
      <c r="HX57" s="90"/>
      <c r="HY57" s="90"/>
      <c r="HZ57" s="90"/>
    </row>
    <row r="58" spans="3:234" ht="16.5" thickBot="1" x14ac:dyDescent="0.3">
      <c r="C58" s="525" t="s">
        <v>255</v>
      </c>
      <c r="D58" s="524"/>
      <c r="E58" s="313" t="s">
        <v>12</v>
      </c>
      <c r="G58" s="64" t="s">
        <v>30</v>
      </c>
      <c r="M58" s="118"/>
      <c r="N58" s="118"/>
      <c r="O58" s="118"/>
      <c r="P58" s="118"/>
      <c r="Q58" s="118"/>
      <c r="R58" s="118"/>
      <c r="S58" s="118"/>
      <c r="T58" s="118"/>
      <c r="U58" s="118"/>
      <c r="V58" s="118"/>
      <c r="W58" s="119"/>
      <c r="X58" s="118"/>
      <c r="Y58" s="118"/>
      <c r="Z58" s="118"/>
      <c r="AA58" s="118"/>
      <c r="AB58" s="118"/>
      <c r="AC58" s="118"/>
      <c r="AD58" s="118"/>
      <c r="AE58" s="118"/>
      <c r="AF58" s="118"/>
      <c r="AG58" s="119"/>
      <c r="AH58" s="119"/>
      <c r="AI58" s="119"/>
      <c r="AJ58" s="119"/>
      <c r="AK58" s="119"/>
      <c r="AL58" s="119"/>
      <c r="AM58" s="119"/>
      <c r="AN58" s="119"/>
      <c r="AO58" s="119"/>
      <c r="AP58" s="120"/>
      <c r="AQ58" s="72"/>
      <c r="AR58" s="72"/>
      <c r="AS58" s="72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90"/>
      <c r="FC58" s="90"/>
      <c r="FD58" s="90"/>
      <c r="FE58" s="90"/>
      <c r="FF58" s="90"/>
      <c r="FG58" s="90"/>
      <c r="FH58" s="90"/>
      <c r="FI58" s="90"/>
      <c r="FJ58" s="90"/>
      <c r="FK58" s="90"/>
      <c r="FL58" s="90"/>
      <c r="FM58" s="90"/>
      <c r="FN58" s="90"/>
      <c r="FO58" s="90"/>
      <c r="FP58" s="90"/>
      <c r="FQ58" s="90"/>
      <c r="FR58" s="90"/>
      <c r="FS58" s="90"/>
      <c r="FT58" s="90"/>
      <c r="FU58" s="90"/>
      <c r="FV58" s="90"/>
      <c r="FW58" s="90"/>
      <c r="FX58" s="90"/>
      <c r="FY58" s="90"/>
      <c r="FZ58" s="90"/>
      <c r="GA58" s="90"/>
      <c r="GB58" s="90"/>
      <c r="GC58" s="90"/>
      <c r="GD58" s="90"/>
      <c r="GE58" s="90"/>
      <c r="GF58" s="90"/>
      <c r="GG58" s="90"/>
      <c r="GH58" s="90"/>
      <c r="GI58" s="90"/>
      <c r="GJ58" s="90"/>
      <c r="GK58" s="90"/>
      <c r="GL58" s="90"/>
      <c r="GM58" s="90"/>
      <c r="GN58" s="90"/>
      <c r="GO58" s="90"/>
      <c r="GP58" s="90"/>
      <c r="GQ58" s="90"/>
      <c r="GR58" s="90"/>
      <c r="GS58" s="90"/>
      <c r="GT58" s="90"/>
      <c r="GU58" s="90"/>
      <c r="GV58" s="90"/>
      <c r="GW58" s="90"/>
      <c r="GX58" s="90"/>
      <c r="GY58" s="90"/>
      <c r="GZ58" s="90"/>
      <c r="HA58" s="90"/>
      <c r="HB58" s="90"/>
      <c r="HC58" s="90"/>
      <c r="HD58" s="90"/>
      <c r="HE58" s="90"/>
      <c r="HF58" s="90"/>
      <c r="HG58" s="90"/>
      <c r="HH58" s="90"/>
      <c r="HI58" s="90"/>
      <c r="HJ58" s="90"/>
      <c r="HK58" s="90"/>
      <c r="HL58" s="90"/>
      <c r="HM58" s="90"/>
      <c r="HN58" s="90"/>
      <c r="HO58" s="90"/>
      <c r="HP58" s="90"/>
      <c r="HQ58" s="90"/>
      <c r="HR58" s="90"/>
      <c r="HS58" s="90"/>
      <c r="HT58" s="90"/>
      <c r="HU58" s="90"/>
      <c r="HV58" s="90"/>
      <c r="HW58" s="90"/>
      <c r="HX58" s="90"/>
      <c r="HY58" s="90"/>
      <c r="HZ58" s="90"/>
    </row>
    <row r="59" spans="3:234" ht="16.5" customHeight="1" thickBot="1" x14ac:dyDescent="0.3">
      <c r="C59" s="319" t="s">
        <v>251</v>
      </c>
      <c r="D59" s="556" t="s">
        <v>252</v>
      </c>
      <c r="E59" s="321">
        <v>2.1047994145076597E-2</v>
      </c>
      <c r="F59" s="318"/>
      <c r="G59" s="317">
        <v>1.6812770133844624E-2</v>
      </c>
      <c r="L59" s="117"/>
      <c r="M59" s="118"/>
      <c r="N59" s="118"/>
      <c r="O59" s="118"/>
      <c r="P59" s="118"/>
      <c r="Q59" s="118"/>
      <c r="R59" s="118"/>
      <c r="S59" s="118"/>
      <c r="T59" s="118"/>
      <c r="U59" s="118"/>
      <c r="V59" s="118"/>
      <c r="W59" s="119"/>
      <c r="X59" s="118"/>
      <c r="Y59" s="118"/>
      <c r="Z59" s="118"/>
      <c r="AA59" s="118"/>
      <c r="AB59" s="118"/>
      <c r="AC59" s="118"/>
      <c r="AD59" s="118"/>
      <c r="AE59" s="118"/>
      <c r="AF59" s="118"/>
      <c r="AG59" s="119"/>
      <c r="AH59" s="119"/>
      <c r="AI59" s="119"/>
      <c r="AJ59" s="119"/>
      <c r="AK59" s="119"/>
      <c r="AL59" s="119"/>
      <c r="AM59" s="119"/>
      <c r="AN59" s="119"/>
      <c r="AO59" s="119"/>
      <c r="AP59" s="120"/>
      <c r="AQ59" s="72"/>
      <c r="AR59" s="72"/>
      <c r="AS59" s="72"/>
      <c r="AT59" s="72"/>
      <c r="AU59" s="72"/>
      <c r="AV59" s="72"/>
      <c r="AW59" s="72"/>
      <c r="AX59" s="72"/>
      <c r="AY59" s="72"/>
      <c r="AZ59" s="72"/>
      <c r="BA59" s="72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90"/>
      <c r="FC59" s="90"/>
      <c r="FD59" s="90"/>
      <c r="FE59" s="90"/>
      <c r="FF59" s="90"/>
      <c r="FG59" s="90"/>
      <c r="FH59" s="90"/>
      <c r="FI59" s="90"/>
      <c r="FJ59" s="90"/>
      <c r="FK59" s="90"/>
      <c r="FL59" s="90"/>
      <c r="FM59" s="90"/>
      <c r="FN59" s="90"/>
      <c r="FO59" s="90"/>
      <c r="FP59" s="90"/>
      <c r="FQ59" s="90"/>
      <c r="FR59" s="90"/>
      <c r="FS59" s="90"/>
      <c r="FT59" s="90"/>
      <c r="FU59" s="90"/>
      <c r="FV59" s="90"/>
      <c r="FW59" s="90"/>
      <c r="FX59" s="90"/>
      <c r="FY59" s="90"/>
      <c r="FZ59" s="90"/>
      <c r="GA59" s="90"/>
      <c r="GB59" s="90"/>
      <c r="GC59" s="90"/>
      <c r="GD59" s="90"/>
      <c r="GE59" s="90"/>
      <c r="GF59" s="90"/>
      <c r="GG59" s="90"/>
      <c r="GH59" s="90"/>
      <c r="GI59" s="90"/>
      <c r="GJ59" s="90"/>
      <c r="GK59" s="90"/>
      <c r="GL59" s="90"/>
      <c r="GM59" s="90"/>
      <c r="GN59" s="90"/>
      <c r="GO59" s="90"/>
      <c r="GP59" s="90"/>
      <c r="GQ59" s="90"/>
      <c r="GR59" s="90"/>
      <c r="GS59" s="90"/>
      <c r="GT59" s="90"/>
      <c r="GU59" s="90"/>
      <c r="GV59" s="90"/>
      <c r="GW59" s="90"/>
      <c r="GX59" s="90"/>
      <c r="GY59" s="90"/>
      <c r="GZ59" s="90"/>
      <c r="HA59" s="90"/>
      <c r="HB59" s="90"/>
      <c r="HC59" s="90"/>
      <c r="HD59" s="90"/>
      <c r="HE59" s="90"/>
      <c r="HF59" s="90"/>
      <c r="HG59" s="90"/>
      <c r="HH59" s="90"/>
      <c r="HI59" s="90"/>
      <c r="HJ59" s="90"/>
      <c r="HK59" s="90"/>
      <c r="HL59" s="90"/>
      <c r="HM59" s="90"/>
      <c r="HN59" s="90"/>
      <c r="HO59" s="90"/>
      <c r="HP59" s="90"/>
      <c r="HQ59" s="90"/>
      <c r="HR59" s="90"/>
      <c r="HS59" s="90"/>
      <c r="HT59" s="90"/>
      <c r="HU59" s="90"/>
      <c r="HV59" s="90"/>
      <c r="HW59" s="90"/>
      <c r="HX59" s="90"/>
      <c r="HY59" s="90"/>
      <c r="HZ59" s="90"/>
    </row>
    <row r="60" spans="3:234" ht="15.75" thickBot="1" x14ac:dyDescent="0.3">
      <c r="C60" s="320" t="s">
        <v>95</v>
      </c>
      <c r="D60" s="556"/>
      <c r="E60" s="325">
        <v>75869258.460000008</v>
      </c>
      <c r="F60" s="326"/>
      <c r="G60" s="325">
        <v>5652800</v>
      </c>
      <c r="L60" s="117"/>
      <c r="M60" s="118"/>
      <c r="N60" s="118"/>
      <c r="O60" s="118"/>
      <c r="P60" s="118"/>
      <c r="Q60" s="118"/>
      <c r="R60" s="118"/>
      <c r="S60" s="118"/>
      <c r="T60" s="118"/>
      <c r="U60" s="118"/>
      <c r="V60" s="118"/>
      <c r="W60" s="119"/>
      <c r="X60" s="118"/>
      <c r="Y60" s="118"/>
      <c r="Z60" s="118"/>
      <c r="AA60" s="118"/>
      <c r="AB60" s="118"/>
      <c r="AC60" s="118"/>
      <c r="AD60" s="118"/>
      <c r="AE60" s="118"/>
      <c r="AF60" s="118"/>
      <c r="AG60" s="119"/>
      <c r="AH60" s="119"/>
      <c r="AI60" s="119"/>
      <c r="AJ60" s="119"/>
      <c r="AK60" s="119"/>
      <c r="AL60" s="119"/>
      <c r="AM60" s="119"/>
      <c r="AN60" s="119"/>
      <c r="AO60" s="119"/>
      <c r="AP60" s="120"/>
      <c r="AQ60" s="72"/>
      <c r="AR60" s="72"/>
      <c r="AS60" s="72"/>
      <c r="AT60" s="72"/>
      <c r="AU60" s="72"/>
      <c r="AV60" s="72"/>
      <c r="AW60" s="72"/>
      <c r="AX60" s="72"/>
      <c r="AY60" s="72"/>
      <c r="AZ60" s="72"/>
      <c r="BA60" s="72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90"/>
      <c r="FC60" s="90"/>
      <c r="FD60" s="90"/>
      <c r="FE60" s="90"/>
      <c r="FF60" s="90"/>
      <c r="FG60" s="90"/>
      <c r="FH60" s="90"/>
      <c r="FI60" s="90"/>
      <c r="FJ60" s="90"/>
      <c r="FK60" s="90"/>
      <c r="FL60" s="90"/>
      <c r="FM60" s="90"/>
      <c r="FN60" s="90"/>
      <c r="FO60" s="90"/>
      <c r="FP60" s="90"/>
      <c r="FQ60" s="90"/>
      <c r="FR60" s="90"/>
      <c r="FS60" s="90"/>
      <c r="FT60" s="90"/>
      <c r="FU60" s="90"/>
      <c r="FV60" s="90"/>
      <c r="FW60" s="90"/>
      <c r="FX60" s="90"/>
      <c r="FY60" s="90"/>
      <c r="FZ60" s="90"/>
      <c r="GA60" s="90"/>
      <c r="GB60" s="90"/>
      <c r="GC60" s="90"/>
      <c r="GD60" s="90"/>
      <c r="GE60" s="90"/>
      <c r="GF60" s="90"/>
      <c r="GG60" s="90"/>
      <c r="GH60" s="90"/>
      <c r="GI60" s="90"/>
      <c r="GJ60" s="90"/>
      <c r="GK60" s="90"/>
      <c r="GL60" s="90"/>
      <c r="GM60" s="90"/>
      <c r="GN60" s="90"/>
      <c r="GO60" s="90"/>
      <c r="GP60" s="90"/>
      <c r="GQ60" s="90"/>
      <c r="GR60" s="90"/>
      <c r="GS60" s="90"/>
      <c r="GT60" s="90"/>
      <c r="GU60" s="90"/>
      <c r="GV60" s="90"/>
      <c r="GW60" s="90"/>
      <c r="GX60" s="90"/>
      <c r="GY60" s="90"/>
      <c r="GZ60" s="90"/>
      <c r="HA60" s="90"/>
      <c r="HB60" s="90"/>
      <c r="HC60" s="90"/>
      <c r="HD60" s="90"/>
      <c r="HE60" s="90"/>
      <c r="HF60" s="90"/>
      <c r="HG60" s="90"/>
      <c r="HH60" s="90"/>
      <c r="HI60" s="90"/>
      <c r="HJ60" s="90"/>
      <c r="HK60" s="90"/>
      <c r="HL60" s="90"/>
      <c r="HM60" s="90"/>
      <c r="HN60" s="90"/>
      <c r="HO60" s="90"/>
      <c r="HP60" s="90"/>
      <c r="HQ60" s="90"/>
      <c r="HR60" s="90"/>
      <c r="HS60" s="90"/>
      <c r="HT60" s="90"/>
      <c r="HU60" s="90"/>
      <c r="HV60" s="90"/>
      <c r="HW60" s="90"/>
      <c r="HX60" s="90"/>
      <c r="HY60" s="90"/>
      <c r="HZ60" s="90"/>
    </row>
    <row r="61" spans="3:234" ht="15" customHeight="1" x14ac:dyDescent="0.25">
      <c r="E61" s="90"/>
      <c r="F61" s="90"/>
      <c r="G61" s="90"/>
      <c r="K61" s="493" t="s">
        <v>123</v>
      </c>
      <c r="L61" s="494"/>
      <c r="M61" s="494"/>
      <c r="N61" s="494"/>
      <c r="O61" s="494"/>
      <c r="P61" s="494"/>
      <c r="Q61" s="494"/>
      <c r="R61" s="494"/>
      <c r="S61" s="494"/>
      <c r="T61" s="494"/>
      <c r="U61" s="494"/>
      <c r="V61" s="494"/>
      <c r="W61" s="494"/>
      <c r="X61" s="494"/>
      <c r="Y61" s="494"/>
      <c r="Z61" s="494"/>
      <c r="AA61" s="494"/>
      <c r="AB61" s="494"/>
      <c r="AC61" s="494"/>
      <c r="AD61" s="494"/>
      <c r="AE61" s="494"/>
      <c r="AF61" s="494"/>
      <c r="AG61" s="494"/>
      <c r="AH61" s="494"/>
      <c r="AI61" s="494"/>
      <c r="AJ61" s="494"/>
      <c r="AK61" s="494"/>
      <c r="AL61" s="494"/>
      <c r="AM61" s="494"/>
      <c r="AN61" s="494"/>
      <c r="AO61" s="494"/>
      <c r="AP61" s="494"/>
      <c r="AQ61" s="494"/>
      <c r="AR61" s="494"/>
      <c r="AS61" s="494"/>
      <c r="AT61" s="494"/>
      <c r="AU61" s="494"/>
      <c r="AV61" s="494"/>
      <c r="AW61" s="494"/>
      <c r="AX61" s="494"/>
      <c r="AY61" s="494"/>
      <c r="AZ61" s="494"/>
      <c r="BA61" s="494"/>
      <c r="BB61" s="494"/>
      <c r="BC61" s="494"/>
      <c r="BD61" s="494"/>
      <c r="BE61" s="494"/>
      <c r="BF61" s="494"/>
      <c r="BG61" s="494"/>
      <c r="BH61" s="494"/>
      <c r="BI61" s="494"/>
      <c r="BJ61" s="494"/>
      <c r="BK61" s="494"/>
      <c r="BL61" s="494"/>
      <c r="BM61" s="494"/>
      <c r="BN61" s="494"/>
      <c r="BO61" s="494"/>
      <c r="BP61" s="494"/>
      <c r="BQ61" s="494"/>
      <c r="BR61" s="494"/>
      <c r="BS61" s="494"/>
      <c r="BT61" s="495"/>
      <c r="BU61" s="514" t="s">
        <v>393</v>
      </c>
      <c r="BV61" s="554" t="s">
        <v>394</v>
      </c>
    </row>
    <row r="62" spans="3:234" ht="15" customHeight="1" thickBot="1" x14ac:dyDescent="0.3">
      <c r="E62" t="s">
        <v>258</v>
      </c>
      <c r="G62" t="s">
        <v>258</v>
      </c>
      <c r="K62" s="496"/>
      <c r="L62" s="497"/>
      <c r="M62" s="497"/>
      <c r="N62" s="497"/>
      <c r="O62" s="497"/>
      <c r="P62" s="497"/>
      <c r="Q62" s="497"/>
      <c r="R62" s="497"/>
      <c r="S62" s="497"/>
      <c r="T62" s="497"/>
      <c r="U62" s="497"/>
      <c r="V62" s="497"/>
      <c r="W62" s="497"/>
      <c r="X62" s="497"/>
      <c r="Y62" s="497"/>
      <c r="Z62" s="497"/>
      <c r="AA62" s="497"/>
      <c r="AB62" s="497"/>
      <c r="AC62" s="497"/>
      <c r="AD62" s="497"/>
      <c r="AE62" s="497"/>
      <c r="AF62" s="497"/>
      <c r="AG62" s="497"/>
      <c r="AH62" s="497"/>
      <c r="AI62" s="497"/>
      <c r="AJ62" s="497"/>
      <c r="AK62" s="497"/>
      <c r="AL62" s="497"/>
      <c r="AM62" s="497"/>
      <c r="AN62" s="497"/>
      <c r="AO62" s="497"/>
      <c r="AP62" s="497"/>
      <c r="AQ62" s="497"/>
      <c r="AR62" s="497"/>
      <c r="AS62" s="497"/>
      <c r="AT62" s="497"/>
      <c r="AU62" s="497"/>
      <c r="AV62" s="497"/>
      <c r="AW62" s="497"/>
      <c r="AX62" s="497"/>
      <c r="AY62" s="497"/>
      <c r="AZ62" s="497"/>
      <c r="BA62" s="497"/>
      <c r="BB62" s="497"/>
      <c r="BC62" s="497"/>
      <c r="BD62" s="497"/>
      <c r="BE62" s="497"/>
      <c r="BF62" s="497"/>
      <c r="BG62" s="497"/>
      <c r="BH62" s="497"/>
      <c r="BI62" s="497"/>
      <c r="BJ62" s="497"/>
      <c r="BK62" s="497"/>
      <c r="BL62" s="497"/>
      <c r="BM62" s="497"/>
      <c r="BN62" s="497"/>
      <c r="BO62" s="497"/>
      <c r="BP62" s="497"/>
      <c r="BQ62" s="497"/>
      <c r="BR62" s="497"/>
      <c r="BS62" s="497"/>
      <c r="BT62" s="498"/>
      <c r="BU62" s="515"/>
      <c r="BV62" s="555"/>
    </row>
    <row r="63" spans="3:234" ht="15.75" customHeight="1" thickBot="1" x14ac:dyDescent="0.3">
      <c r="C63" s="525" t="s">
        <v>255</v>
      </c>
      <c r="D63" s="524"/>
      <c r="E63" s="313" t="s">
        <v>12</v>
      </c>
      <c r="G63" s="64" t="s">
        <v>30</v>
      </c>
      <c r="K63" s="499"/>
      <c r="L63" s="500"/>
      <c r="M63" s="500"/>
      <c r="N63" s="500"/>
      <c r="O63" s="500"/>
      <c r="P63" s="500"/>
      <c r="Q63" s="500"/>
      <c r="R63" s="500"/>
      <c r="S63" s="500"/>
      <c r="T63" s="500"/>
      <c r="U63" s="500"/>
      <c r="V63" s="500"/>
      <c r="W63" s="500"/>
      <c r="X63" s="500"/>
      <c r="Y63" s="500"/>
      <c r="Z63" s="500"/>
      <c r="AA63" s="500"/>
      <c r="AB63" s="500"/>
      <c r="AC63" s="500"/>
      <c r="AD63" s="500"/>
      <c r="AE63" s="500"/>
      <c r="AF63" s="500"/>
      <c r="AG63" s="500"/>
      <c r="AH63" s="500"/>
      <c r="AI63" s="500"/>
      <c r="AJ63" s="500"/>
      <c r="AK63" s="500"/>
      <c r="AL63" s="500"/>
      <c r="AM63" s="500"/>
      <c r="AN63" s="500"/>
      <c r="AO63" s="500"/>
      <c r="AP63" s="500"/>
      <c r="AQ63" s="500"/>
      <c r="AR63" s="500"/>
      <c r="AS63" s="500"/>
      <c r="AT63" s="500"/>
      <c r="AU63" s="500"/>
      <c r="AV63" s="500"/>
      <c r="AW63" s="500"/>
      <c r="AX63" s="500"/>
      <c r="AY63" s="500"/>
      <c r="AZ63" s="500"/>
      <c r="BA63" s="500"/>
      <c r="BB63" s="500"/>
      <c r="BC63" s="500"/>
      <c r="BD63" s="500"/>
      <c r="BE63" s="500"/>
      <c r="BF63" s="500"/>
      <c r="BG63" s="500"/>
      <c r="BH63" s="500"/>
      <c r="BI63" s="500"/>
      <c r="BJ63" s="500"/>
      <c r="BK63" s="500"/>
      <c r="BL63" s="500"/>
      <c r="BM63" s="500"/>
      <c r="BN63" s="500"/>
      <c r="BO63" s="500"/>
      <c r="BP63" s="500"/>
      <c r="BQ63" s="500"/>
      <c r="BR63" s="500"/>
      <c r="BS63" s="500"/>
      <c r="BT63" s="501"/>
      <c r="BU63" s="515"/>
      <c r="BV63" s="555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17"/>
      <c r="ET63" s="17"/>
      <c r="EU63" s="17"/>
      <c r="EV63" s="17"/>
      <c r="EW63" s="17"/>
      <c r="EX63" s="17"/>
      <c r="EY63" s="17"/>
      <c r="EZ63" s="17"/>
      <c r="FA63" s="17"/>
      <c r="FB63" s="17"/>
      <c r="FC63" s="17"/>
      <c r="FD63" s="17"/>
      <c r="FE63" s="17"/>
      <c r="FF63" s="17"/>
      <c r="FG63" s="17"/>
      <c r="FH63" s="17"/>
      <c r="FI63" s="17"/>
      <c r="FJ63" s="17"/>
      <c r="FK63" s="17"/>
      <c r="FL63" s="17"/>
      <c r="FM63" s="17"/>
      <c r="FN63" s="17"/>
      <c r="FO63" s="17"/>
      <c r="FP63" s="17"/>
      <c r="FQ63" s="17"/>
      <c r="FR63" s="17"/>
      <c r="FS63" s="17"/>
      <c r="FT63" s="17"/>
      <c r="FU63" s="17"/>
      <c r="FV63" s="17"/>
      <c r="FW63" s="17"/>
      <c r="FX63" s="17"/>
      <c r="FY63" s="17"/>
      <c r="FZ63" s="17"/>
      <c r="GA63" s="17"/>
      <c r="GB63" s="17"/>
      <c r="GC63" s="17"/>
      <c r="GD63" s="17"/>
      <c r="GE63" s="17"/>
      <c r="GF63" s="17"/>
      <c r="GG63" s="17"/>
      <c r="GH63" s="17"/>
      <c r="GI63" s="17"/>
      <c r="GJ63" s="17"/>
      <c r="GK63" s="17"/>
      <c r="GL63" s="17"/>
      <c r="GM63" s="17"/>
      <c r="GN63" s="17"/>
      <c r="GO63" s="17"/>
      <c r="GP63" s="17"/>
      <c r="GQ63" s="17"/>
      <c r="GR63" s="17"/>
      <c r="GS63" s="17"/>
      <c r="GT63" s="17"/>
      <c r="GU63" s="17"/>
      <c r="GV63" s="17"/>
      <c r="GW63" s="17"/>
      <c r="GX63" s="17"/>
      <c r="GY63" s="17"/>
      <c r="GZ63" s="17"/>
      <c r="HA63" s="17"/>
      <c r="HB63" s="17"/>
      <c r="HC63" s="17"/>
      <c r="HD63" s="17"/>
      <c r="HE63" s="17"/>
      <c r="HF63" s="17"/>
      <c r="HG63" s="17"/>
      <c r="HH63" s="17"/>
      <c r="HI63" s="17"/>
      <c r="HJ63" s="17"/>
      <c r="HK63" s="17"/>
      <c r="HL63" s="17"/>
      <c r="HM63" s="17"/>
      <c r="HN63" s="17"/>
      <c r="HO63" s="17"/>
      <c r="HP63" s="17"/>
      <c r="HQ63" s="17"/>
      <c r="HR63" s="17"/>
      <c r="HS63" s="17"/>
      <c r="HT63" s="17"/>
      <c r="HU63" s="17"/>
      <c r="HV63" s="17"/>
      <c r="HW63" s="17"/>
      <c r="HX63" s="17"/>
      <c r="HY63" s="17"/>
      <c r="HZ63" s="17"/>
    </row>
    <row r="64" spans="3:234" ht="30.75" thickBot="1" x14ac:dyDescent="0.3">
      <c r="C64" s="319" t="s">
        <v>251</v>
      </c>
      <c r="D64" s="556" t="s">
        <v>252</v>
      </c>
      <c r="E64" s="322">
        <v>2.1047994145076597E-2</v>
      </c>
      <c r="F64" s="323"/>
      <c r="G64" s="324">
        <v>1.6812770133844624E-2</v>
      </c>
      <c r="K64" s="95" t="s">
        <v>115</v>
      </c>
      <c r="L64" s="96" t="s">
        <v>117</v>
      </c>
      <c r="M64" s="306"/>
      <c r="N64" s="306"/>
      <c r="O64" s="107">
        <v>29.479149059948661</v>
      </c>
      <c r="P64" s="107">
        <v>29.542317471848889</v>
      </c>
      <c r="Q64" s="306"/>
      <c r="R64" s="306"/>
      <c r="S64" s="306"/>
      <c r="T64" s="306"/>
      <c r="U64" s="306"/>
      <c r="V64" s="306"/>
      <c r="W64" s="306"/>
      <c r="X64" s="306"/>
      <c r="Y64" s="306"/>
      <c r="Z64" s="107">
        <v>12.524858109043448</v>
      </c>
      <c r="AA64" s="306"/>
      <c r="AB64" s="306"/>
      <c r="AC64" s="107">
        <v>14.302068492427839</v>
      </c>
      <c r="AD64" s="107">
        <v>14.132208560096787</v>
      </c>
      <c r="AE64" s="107">
        <v>10.486109047737465</v>
      </c>
      <c r="AF64" s="107">
        <v>10.029355963188261</v>
      </c>
      <c r="AG64" s="294"/>
      <c r="AH64" s="294"/>
      <c r="AI64" s="412">
        <v>29.479149059948661</v>
      </c>
      <c r="AJ64" s="412">
        <v>29.542317471848889</v>
      </c>
      <c r="AK64" s="294"/>
      <c r="AL64" s="294"/>
      <c r="AM64" s="294"/>
      <c r="AN64" s="294"/>
      <c r="AO64" s="294"/>
      <c r="AP64" s="294"/>
      <c r="AQ64" s="294"/>
      <c r="AR64" s="294"/>
      <c r="AS64" s="294"/>
      <c r="AT64" s="412">
        <v>12.524858109043448</v>
      </c>
      <c r="AU64" s="294"/>
      <c r="AV64" s="294"/>
      <c r="AW64" s="412">
        <v>14.302068492427839</v>
      </c>
      <c r="AX64" s="412">
        <v>14.132208560096787</v>
      </c>
      <c r="AY64" s="412">
        <v>10.486109047737465</v>
      </c>
      <c r="AZ64" s="412">
        <v>10.029355963188261</v>
      </c>
      <c r="BA64" s="116">
        <v>0</v>
      </c>
      <c r="BB64" s="116">
        <v>0</v>
      </c>
      <c r="BC64" s="116">
        <v>0</v>
      </c>
      <c r="BD64" s="116">
        <v>0</v>
      </c>
      <c r="BE64" s="116">
        <v>0</v>
      </c>
      <c r="BF64" s="116">
        <v>0</v>
      </c>
      <c r="BG64" s="116">
        <v>0</v>
      </c>
      <c r="BH64" s="116">
        <v>0</v>
      </c>
      <c r="BI64" s="116">
        <v>0</v>
      </c>
      <c r="BJ64" s="116">
        <v>0</v>
      </c>
      <c r="BK64" s="116">
        <v>0</v>
      </c>
      <c r="BL64" s="116">
        <v>0</v>
      </c>
      <c r="BM64" s="116">
        <v>0</v>
      </c>
      <c r="BN64" s="116">
        <v>0</v>
      </c>
      <c r="BO64" s="116">
        <v>0</v>
      </c>
      <c r="BP64" s="116">
        <v>0</v>
      </c>
      <c r="BQ64" s="116">
        <v>0</v>
      </c>
      <c r="BR64" s="116">
        <v>0</v>
      </c>
      <c r="BS64" s="116">
        <v>0</v>
      </c>
      <c r="BT64" s="116">
        <v>0</v>
      </c>
      <c r="BU64" s="353">
        <v>0</v>
      </c>
      <c r="BV64" s="4">
        <f>Calculator_Calculations!FM21</f>
        <v>0</v>
      </c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17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17"/>
      <c r="ET64" s="17"/>
      <c r="EU64" s="17"/>
      <c r="EV64" s="17"/>
      <c r="EW64" s="17"/>
      <c r="EX64" s="17"/>
      <c r="EY64" s="17"/>
      <c r="EZ64" s="17"/>
      <c r="FA64" s="17"/>
      <c r="FB64" s="17"/>
      <c r="FC64" s="17"/>
      <c r="FD64" s="17"/>
      <c r="FE64" s="17"/>
      <c r="FF64" s="17"/>
      <c r="FG64" s="17"/>
      <c r="FH64" s="17"/>
      <c r="FI64" s="17"/>
      <c r="FJ64" s="17"/>
      <c r="FK64" s="17"/>
      <c r="FL64" s="17"/>
      <c r="FM64" s="17"/>
      <c r="FN64" s="17"/>
      <c r="FO64" s="17"/>
      <c r="FP64" s="17"/>
      <c r="FQ64" s="17"/>
      <c r="FR64" s="17"/>
      <c r="FS64" s="17"/>
      <c r="FT64" s="17"/>
      <c r="FU64" s="17"/>
      <c r="FV64" s="17"/>
      <c r="FW64" s="17"/>
      <c r="FX64" s="17"/>
      <c r="FY64" s="17"/>
      <c r="FZ64" s="17"/>
      <c r="GA64" s="17"/>
      <c r="GB64" s="17"/>
      <c r="GC64" s="17"/>
      <c r="GD64" s="17"/>
      <c r="GE64" s="17"/>
      <c r="GF64" s="17"/>
      <c r="GG64" s="17"/>
      <c r="GH64" s="17"/>
      <c r="GI64" s="17"/>
      <c r="GJ64" s="17"/>
      <c r="GK64" s="17"/>
      <c r="GL64" s="17"/>
      <c r="GM64" s="17"/>
      <c r="GN64" s="17"/>
      <c r="GO64" s="17"/>
      <c r="GP64" s="17"/>
      <c r="GQ64" s="17"/>
      <c r="GR64" s="17"/>
      <c r="GS64" s="17"/>
      <c r="GT64" s="17"/>
      <c r="GU64" s="17"/>
      <c r="GV64" s="17"/>
      <c r="GW64" s="17"/>
      <c r="GX64" s="17"/>
      <c r="GY64" s="17"/>
      <c r="GZ64" s="17"/>
      <c r="HA64" s="17"/>
      <c r="HB64" s="17"/>
      <c r="HC64" s="17"/>
      <c r="HD64" s="17"/>
      <c r="HE64" s="17"/>
      <c r="HF64" s="17"/>
      <c r="HG64" s="17"/>
      <c r="HH64" s="17"/>
      <c r="HI64" s="17"/>
      <c r="HJ64" s="17"/>
      <c r="HK64" s="17"/>
      <c r="HL64" s="17"/>
      <c r="HM64" s="17"/>
      <c r="HN64" s="17"/>
      <c r="HO64" s="17"/>
      <c r="HP64" s="17"/>
      <c r="HQ64" s="17"/>
      <c r="HR64" s="17"/>
      <c r="HS64" s="17"/>
      <c r="HT64" s="17"/>
      <c r="HU64" s="17"/>
      <c r="HV64" s="17"/>
      <c r="HW64" s="17"/>
      <c r="HX64" s="17"/>
      <c r="HY64" s="17"/>
      <c r="HZ64" s="17"/>
    </row>
    <row r="65" spans="3:234" ht="15.75" thickBot="1" x14ac:dyDescent="0.3">
      <c r="C65" s="320" t="s">
        <v>95</v>
      </c>
      <c r="D65" s="556"/>
      <c r="E65" s="325">
        <f>Calculator_Calculations!J151</f>
        <v>75869258.460000008</v>
      </c>
      <c r="F65" s="326"/>
      <c r="G65" s="23">
        <f>Calculator_Calculations!J157</f>
        <v>5652800</v>
      </c>
      <c r="K65" s="85" t="s">
        <v>85</v>
      </c>
      <c r="L65" s="55" t="s">
        <v>117</v>
      </c>
      <c r="M65" s="307"/>
      <c r="N65" s="307"/>
      <c r="O65" s="94">
        <v>12</v>
      </c>
      <c r="P65" s="94">
        <v>0</v>
      </c>
      <c r="Q65" s="307"/>
      <c r="R65" s="307"/>
      <c r="S65" s="307"/>
      <c r="T65" s="307"/>
      <c r="U65" s="307"/>
      <c r="V65" s="307"/>
      <c r="W65" s="307"/>
      <c r="X65" s="307"/>
      <c r="Y65" s="307"/>
      <c r="Z65" s="94">
        <v>3</v>
      </c>
      <c r="AA65" s="307"/>
      <c r="AB65" s="307"/>
      <c r="AC65" s="94">
        <v>1</v>
      </c>
      <c r="AD65" s="94">
        <v>21</v>
      </c>
      <c r="AE65" s="94">
        <v>22</v>
      </c>
      <c r="AF65" s="94">
        <v>5</v>
      </c>
      <c r="AG65" s="289"/>
      <c r="AH65" s="289"/>
      <c r="AI65" s="413">
        <v>15.36</v>
      </c>
      <c r="AJ65" s="413">
        <v>0</v>
      </c>
      <c r="AK65" s="289"/>
      <c r="AL65" s="289"/>
      <c r="AM65" s="289"/>
      <c r="AN65" s="289"/>
      <c r="AO65" s="289"/>
      <c r="AP65" s="289"/>
      <c r="AQ65" s="289"/>
      <c r="AR65" s="289"/>
      <c r="AS65" s="289"/>
      <c r="AT65" s="413">
        <v>3</v>
      </c>
      <c r="AU65" s="289"/>
      <c r="AV65" s="289"/>
      <c r="AW65" s="413">
        <v>1.28</v>
      </c>
      <c r="AX65" s="413">
        <v>26.88</v>
      </c>
      <c r="AY65" s="413">
        <v>28.16</v>
      </c>
      <c r="AZ65" s="413">
        <v>6.4</v>
      </c>
      <c r="BA65" s="20">
        <v>0</v>
      </c>
      <c r="BB65" s="20">
        <v>0</v>
      </c>
      <c r="BC65" s="20">
        <v>342287.03363107354</v>
      </c>
      <c r="BD65" s="20">
        <v>0</v>
      </c>
      <c r="BE65" s="20">
        <v>0</v>
      </c>
      <c r="BF65" s="20">
        <v>0</v>
      </c>
      <c r="BG65" s="20">
        <v>0</v>
      </c>
      <c r="BH65" s="20">
        <v>0</v>
      </c>
      <c r="BI65" s="20">
        <v>0</v>
      </c>
      <c r="BJ65" s="20">
        <v>0</v>
      </c>
      <c r="BK65" s="20">
        <v>0</v>
      </c>
      <c r="BL65" s="20">
        <v>0</v>
      </c>
      <c r="BM65" s="20">
        <v>0</v>
      </c>
      <c r="BN65" s="20">
        <v>0</v>
      </c>
      <c r="BO65" s="20">
        <v>0</v>
      </c>
      <c r="BP65" s="20">
        <v>0</v>
      </c>
      <c r="BQ65" s="20">
        <v>55235.607650734317</v>
      </c>
      <c r="BR65" s="20">
        <v>311670.65224344778</v>
      </c>
      <c r="BS65" s="20">
        <v>1929133.6596172375</v>
      </c>
      <c r="BT65" s="20">
        <v>480388.35959755263</v>
      </c>
      <c r="BU65" s="23">
        <v>3118715.3127400456</v>
      </c>
      <c r="BV65" s="4">
        <f>Calculator_Calculations!FM24</f>
        <v>3118715.3127400456</v>
      </c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/>
      <c r="CR65" s="72"/>
      <c r="CS65" s="72"/>
      <c r="CT65" s="72"/>
      <c r="CU65" s="72"/>
      <c r="CV65" s="72"/>
      <c r="CW65" s="72"/>
      <c r="CX65" s="72"/>
      <c r="CY65" s="72"/>
      <c r="CZ65" s="72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17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17"/>
      <c r="ET65" s="17"/>
      <c r="EU65" s="17"/>
      <c r="EV65" s="17"/>
      <c r="EW65" s="17"/>
      <c r="EX65" s="17"/>
      <c r="EY65" s="17"/>
      <c r="EZ65" s="17"/>
      <c r="FA65" s="17"/>
      <c r="FB65" s="17"/>
      <c r="FC65" s="17"/>
      <c r="FD65" s="17"/>
      <c r="FE65" s="17"/>
      <c r="FF65" s="17"/>
      <c r="FG65" s="17"/>
      <c r="FH65" s="17"/>
      <c r="FI65" s="17"/>
      <c r="FJ65" s="17"/>
      <c r="FK65" s="17"/>
      <c r="FL65" s="17"/>
      <c r="FM65" s="17"/>
      <c r="FN65" s="17"/>
      <c r="FO65" s="17"/>
      <c r="FP65" s="17"/>
      <c r="FQ65" s="17"/>
      <c r="FR65" s="17"/>
      <c r="FS65" s="17"/>
      <c r="FT65" s="17"/>
      <c r="FU65" s="17"/>
      <c r="FV65" s="17"/>
      <c r="FW65" s="17"/>
      <c r="FX65" s="17"/>
      <c r="FY65" s="17"/>
      <c r="FZ65" s="17"/>
      <c r="GA65" s="17"/>
      <c r="GB65" s="17"/>
      <c r="GC65" s="17"/>
      <c r="GD65" s="17"/>
      <c r="GE65" s="17"/>
      <c r="GF65" s="17"/>
      <c r="GG65" s="17"/>
      <c r="GH65" s="17"/>
      <c r="GI65" s="17"/>
      <c r="GJ65" s="17"/>
      <c r="GK65" s="17"/>
      <c r="GL65" s="17"/>
      <c r="GM65" s="17"/>
      <c r="GN65" s="17"/>
      <c r="GO65" s="17"/>
      <c r="GP65" s="17"/>
      <c r="GQ65" s="17"/>
      <c r="GR65" s="17"/>
      <c r="GS65" s="17"/>
      <c r="GT65" s="17"/>
      <c r="GU65" s="17"/>
      <c r="GV65" s="17"/>
      <c r="GW65" s="17"/>
      <c r="GX65" s="17"/>
      <c r="GY65" s="17"/>
      <c r="GZ65" s="17"/>
      <c r="HA65" s="17"/>
      <c r="HB65" s="17"/>
      <c r="HC65" s="17"/>
      <c r="HD65" s="17"/>
      <c r="HE65" s="17"/>
      <c r="HF65" s="17"/>
      <c r="HG65" s="17"/>
      <c r="HH65" s="17"/>
      <c r="HI65" s="17"/>
      <c r="HJ65" s="17"/>
      <c r="HK65" s="17"/>
      <c r="HL65" s="17"/>
      <c r="HM65" s="17"/>
      <c r="HN65" s="17"/>
      <c r="HO65" s="17"/>
      <c r="HP65" s="17"/>
      <c r="HQ65" s="17"/>
      <c r="HR65" s="17"/>
      <c r="HS65" s="17"/>
      <c r="HT65" s="17"/>
      <c r="HU65" s="17"/>
      <c r="HV65" s="17"/>
      <c r="HW65" s="17"/>
      <c r="HX65" s="17"/>
      <c r="HY65" s="17"/>
      <c r="HZ65" s="17"/>
    </row>
    <row r="66" spans="3:234" ht="15.75" thickBot="1" x14ac:dyDescent="0.3">
      <c r="K66" s="87" t="s">
        <v>89</v>
      </c>
      <c r="L66" s="88" t="s">
        <v>117</v>
      </c>
      <c r="M66" s="307"/>
      <c r="N66" s="300"/>
      <c r="O66" s="61">
        <v>0.20780605666360774</v>
      </c>
      <c r="P66" s="61">
        <v>0</v>
      </c>
      <c r="Q66" s="299"/>
      <c r="R66" s="299"/>
      <c r="S66" s="299"/>
      <c r="T66" s="299"/>
      <c r="U66" s="299"/>
      <c r="V66" s="299"/>
      <c r="W66" s="299"/>
      <c r="X66" s="300"/>
      <c r="Y66" s="300"/>
      <c r="Z66" s="61">
        <v>0</v>
      </c>
      <c r="AA66" s="301"/>
      <c r="AB66" s="301"/>
      <c r="AC66" s="302">
        <v>9.2919953070730778E-3</v>
      </c>
      <c r="AD66" s="302">
        <v>6.9279217535748713E-2</v>
      </c>
      <c r="AE66" s="302">
        <v>0.67222135746396083</v>
      </c>
      <c r="AF66" s="302">
        <v>2.1192049903005099E-2</v>
      </c>
      <c r="AG66" s="301"/>
      <c r="AH66" s="301"/>
      <c r="AI66" s="302">
        <v>0.20780605666360774</v>
      </c>
      <c r="AJ66" s="302">
        <v>0</v>
      </c>
      <c r="AK66" s="301"/>
      <c r="AL66" s="301"/>
      <c r="AM66" s="301"/>
      <c r="AN66" s="301"/>
      <c r="AO66" s="301"/>
      <c r="AP66" s="301"/>
      <c r="AQ66" s="301"/>
      <c r="AR66" s="301"/>
      <c r="AS66" s="301"/>
      <c r="AT66" s="302">
        <v>0</v>
      </c>
      <c r="AU66" s="301"/>
      <c r="AV66" s="301"/>
      <c r="AW66" s="302">
        <v>9.2919953070730778E-3</v>
      </c>
      <c r="AX66" s="302">
        <v>6.9279217535748713E-2</v>
      </c>
      <c r="AY66" s="302">
        <v>0.67222135746396083</v>
      </c>
      <c r="AZ66" s="302">
        <v>2.1192049903005099E-2</v>
      </c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3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17"/>
      <c r="DU66" s="17"/>
      <c r="DV66" s="17"/>
      <c r="DW66" s="17"/>
      <c r="DX66" s="17"/>
      <c r="DY66" s="17"/>
      <c r="DZ66" s="17"/>
      <c r="EA66" s="17"/>
      <c r="EB66" s="17"/>
      <c r="EC66" s="17"/>
      <c r="ED66" s="17"/>
      <c r="EE66" s="17"/>
      <c r="EF66" s="17"/>
      <c r="EG66" s="17"/>
      <c r="EH66" s="17"/>
      <c r="EI66" s="17"/>
      <c r="EJ66" s="17"/>
      <c r="EK66" s="17"/>
      <c r="EL66" s="17"/>
      <c r="EM66" s="17"/>
      <c r="EN66" s="17"/>
      <c r="EO66" s="17"/>
      <c r="EP66" s="17"/>
      <c r="EQ66" s="17"/>
      <c r="ER66" s="17"/>
      <c r="ES66" s="17"/>
      <c r="ET66" s="17"/>
      <c r="EU66" s="17"/>
      <c r="EV66" s="17"/>
      <c r="EW66" s="17"/>
      <c r="EX66" s="17"/>
      <c r="EY66" s="17"/>
      <c r="EZ66" s="17"/>
      <c r="FA66" s="17"/>
      <c r="FB66" s="17"/>
      <c r="FC66" s="17"/>
      <c r="FD66" s="17"/>
      <c r="FE66" s="17"/>
      <c r="FF66" s="17"/>
      <c r="FG66" s="17"/>
      <c r="FH66" s="17"/>
      <c r="FI66" s="17"/>
      <c r="FJ66" s="17"/>
      <c r="FK66" s="17"/>
      <c r="FL66" s="17"/>
      <c r="FM66" s="17"/>
      <c r="FN66" s="17"/>
      <c r="FO66" s="17"/>
      <c r="FP66" s="17"/>
      <c r="FQ66" s="17"/>
      <c r="FR66" s="17"/>
      <c r="FS66" s="17"/>
      <c r="FT66" s="17"/>
      <c r="FU66" s="17"/>
      <c r="FV66" s="17"/>
      <c r="FW66" s="17"/>
      <c r="FX66" s="17"/>
      <c r="FY66" s="17"/>
      <c r="FZ66" s="17"/>
      <c r="GA66" s="17"/>
      <c r="GB66" s="17"/>
      <c r="GC66" s="17"/>
      <c r="GD66" s="17"/>
      <c r="GE66" s="17"/>
      <c r="GF66" s="17"/>
      <c r="GG66" s="17"/>
      <c r="GH66" s="17"/>
      <c r="GI66" s="17"/>
      <c r="GJ66" s="17"/>
      <c r="GK66" s="17"/>
      <c r="GL66" s="17"/>
      <c r="GM66" s="17"/>
      <c r="GN66" s="17"/>
      <c r="GO66" s="17"/>
      <c r="GP66" s="17"/>
      <c r="GQ66" s="17"/>
      <c r="GR66" s="17"/>
      <c r="GS66" s="17"/>
      <c r="GT66" s="17"/>
      <c r="GU66" s="17"/>
      <c r="GV66" s="17"/>
      <c r="GW66" s="17"/>
      <c r="GX66" s="17"/>
      <c r="GY66" s="17"/>
      <c r="GZ66" s="17"/>
      <c r="HA66" s="17"/>
      <c r="HB66" s="17"/>
      <c r="HC66" s="17"/>
      <c r="HD66" s="17"/>
      <c r="HE66" s="17"/>
      <c r="HF66" s="17"/>
      <c r="HG66" s="17"/>
      <c r="HH66" s="17"/>
      <c r="HI66" s="17"/>
      <c r="HJ66" s="17"/>
      <c r="HK66" s="17"/>
      <c r="HL66" s="17"/>
      <c r="HM66" s="17"/>
      <c r="HN66" s="17"/>
      <c r="HO66" s="17"/>
      <c r="HP66" s="17"/>
      <c r="HQ66" s="17"/>
      <c r="HR66" s="17"/>
      <c r="HS66" s="17"/>
      <c r="HT66" s="17"/>
      <c r="HU66" s="17"/>
      <c r="HV66" s="17"/>
      <c r="HW66" s="17"/>
      <c r="HX66" s="17"/>
      <c r="HY66" s="17"/>
      <c r="HZ66" s="17"/>
    </row>
    <row r="67" spans="3:234" ht="15.75" thickBot="1" x14ac:dyDescent="0.3">
      <c r="C67" s="39" t="s">
        <v>52</v>
      </c>
      <c r="D67" s="74" t="s">
        <v>112</v>
      </c>
      <c r="E67" s="74"/>
      <c r="F67" s="74"/>
      <c r="G67" s="75" t="s">
        <v>113</v>
      </c>
      <c r="K67" s="486" t="s">
        <v>90</v>
      </c>
      <c r="L67" s="487"/>
      <c r="M67" s="100">
        <v>0.16734845875000001</v>
      </c>
      <c r="N67" s="303"/>
      <c r="O67" s="303"/>
      <c r="P67" s="303"/>
      <c r="Q67" s="299"/>
      <c r="R67" s="299"/>
      <c r="S67" s="299"/>
      <c r="T67" s="299"/>
      <c r="U67" s="299"/>
      <c r="V67" s="299"/>
      <c r="W67" s="303"/>
      <c r="X67" s="303"/>
      <c r="Y67" s="303"/>
      <c r="Z67" s="303"/>
      <c r="AA67" s="299"/>
      <c r="AB67" s="299"/>
      <c r="AC67" s="299"/>
      <c r="AD67" s="299"/>
      <c r="AE67" s="299"/>
      <c r="AF67" s="299"/>
      <c r="AG67" s="414">
        <v>0.2</v>
      </c>
      <c r="AH67" s="299"/>
      <c r="AI67" s="299"/>
      <c r="AJ67" s="299"/>
      <c r="AK67" s="299"/>
      <c r="AL67" s="299"/>
      <c r="AM67" s="299"/>
      <c r="AN67" s="299"/>
      <c r="AO67" s="299"/>
      <c r="AP67" s="289"/>
      <c r="AQ67" s="290"/>
      <c r="AR67" s="290"/>
      <c r="AS67" s="290"/>
      <c r="AT67" s="290"/>
      <c r="AU67" s="290"/>
      <c r="AV67" s="290"/>
      <c r="AW67" s="290"/>
      <c r="AX67" s="290"/>
      <c r="AY67" s="290"/>
      <c r="AZ67" s="290"/>
      <c r="BA67" s="290"/>
      <c r="BB67" s="290"/>
      <c r="BC67" s="290"/>
      <c r="BD67" s="290"/>
      <c r="BE67" s="290"/>
      <c r="BF67" s="290"/>
      <c r="BG67" s="290"/>
      <c r="BH67" s="290"/>
      <c r="BI67" s="290"/>
      <c r="BJ67" s="290"/>
      <c r="BK67" s="290"/>
      <c r="BL67" s="290"/>
      <c r="BM67" s="290"/>
      <c r="BN67" s="290"/>
      <c r="BO67" s="290"/>
      <c r="BP67" s="290"/>
      <c r="BQ67" s="290"/>
      <c r="BR67" s="290"/>
      <c r="BS67" s="290"/>
      <c r="BT67" s="290"/>
      <c r="BU67" s="352">
        <v>93807.565445468761</v>
      </c>
      <c r="BV67" s="72">
        <f>Calculator_Calculations!R173</f>
        <v>93807.565445468761</v>
      </c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/>
      <c r="CX67" s="72"/>
      <c r="CY67" s="72"/>
      <c r="CZ67" s="72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17"/>
      <c r="DU67" s="17"/>
      <c r="DV67" s="17"/>
      <c r="DW67" s="17"/>
      <c r="DX67" s="17"/>
      <c r="DY67" s="17"/>
      <c r="DZ67" s="17"/>
      <c r="EA67" s="17"/>
      <c r="EB67" s="17"/>
      <c r="EC67" s="17"/>
      <c r="ED67" s="17"/>
      <c r="EE67" s="17"/>
      <c r="EF67" s="17"/>
      <c r="EG67" s="17"/>
      <c r="EH67" s="17"/>
      <c r="EI67" s="17"/>
      <c r="EJ67" s="17"/>
      <c r="EK67" s="17"/>
      <c r="EL67" s="17"/>
      <c r="EM67" s="17"/>
      <c r="EN67" s="17"/>
      <c r="EO67" s="17"/>
      <c r="EP67" s="17"/>
      <c r="EQ67" s="17"/>
      <c r="ER67" s="17"/>
      <c r="ES67" s="17"/>
      <c r="ET67" s="17"/>
      <c r="EU67" s="17"/>
      <c r="EV67" s="17"/>
      <c r="EW67" s="17"/>
      <c r="EX67" s="17"/>
      <c r="EY67" s="17"/>
      <c r="EZ67" s="17"/>
      <c r="FA67" s="17"/>
      <c r="FB67" s="17"/>
      <c r="FC67" s="17"/>
      <c r="FD67" s="17"/>
      <c r="FE67" s="17"/>
      <c r="FF67" s="17"/>
      <c r="FG67" s="17"/>
      <c r="FH67" s="17"/>
      <c r="FI67" s="17"/>
      <c r="FJ67" s="17"/>
      <c r="FK67" s="17"/>
      <c r="FL67" s="17"/>
      <c r="FM67" s="17"/>
      <c r="FN67" s="17"/>
      <c r="FO67" s="17"/>
      <c r="FP67" s="17"/>
      <c r="FQ67" s="17"/>
      <c r="FR67" s="17"/>
      <c r="FS67" s="17"/>
      <c r="FT67" s="17"/>
      <c r="FU67" s="17"/>
      <c r="FV67" s="17"/>
      <c r="FW67" s="17"/>
      <c r="FX67" s="17"/>
      <c r="FY67" s="17"/>
      <c r="FZ67" s="17"/>
      <c r="GA67" s="17"/>
      <c r="GB67" s="17"/>
      <c r="GC67" s="17"/>
      <c r="GD67" s="17"/>
      <c r="GE67" s="17"/>
      <c r="GF67" s="17"/>
      <c r="GG67" s="17"/>
      <c r="GH67" s="17"/>
      <c r="GI67" s="17"/>
      <c r="GJ67" s="17"/>
      <c r="GK67" s="17"/>
      <c r="GL67" s="17"/>
      <c r="GM67" s="17"/>
      <c r="GN67" s="17"/>
      <c r="GO67" s="17"/>
      <c r="GP67" s="17"/>
      <c r="GQ67" s="17"/>
      <c r="GR67" s="17"/>
      <c r="GS67" s="17"/>
      <c r="GT67" s="17"/>
      <c r="GU67" s="17"/>
      <c r="GV67" s="17"/>
      <c r="GW67" s="17"/>
      <c r="GX67" s="17"/>
      <c r="GY67" s="17"/>
      <c r="GZ67" s="17"/>
      <c r="HA67" s="17"/>
      <c r="HB67" s="17"/>
      <c r="HC67" s="17"/>
      <c r="HD67" s="17"/>
      <c r="HE67" s="17"/>
      <c r="HF67" s="17"/>
      <c r="HG67" s="17"/>
      <c r="HH67" s="17"/>
      <c r="HI67" s="17"/>
      <c r="HJ67" s="17"/>
      <c r="HK67" s="17"/>
      <c r="HL67" s="17"/>
      <c r="HM67" s="17"/>
      <c r="HN67" s="17"/>
      <c r="HO67" s="17"/>
      <c r="HP67" s="17"/>
      <c r="HQ67" s="17"/>
      <c r="HR67" s="17"/>
      <c r="HS67" s="17"/>
      <c r="HT67" s="17"/>
      <c r="HU67" s="17"/>
      <c r="HV67" s="17"/>
      <c r="HW67" s="17"/>
      <c r="HX67" s="17"/>
      <c r="HY67" s="17"/>
      <c r="HZ67" s="17"/>
    </row>
    <row r="68" spans="3:234" ht="15" x14ac:dyDescent="0.25">
      <c r="C68" s="76" t="s">
        <v>12</v>
      </c>
      <c r="D68" s="17" t="s">
        <v>152</v>
      </c>
      <c r="E68" s="17"/>
      <c r="F68" s="17"/>
      <c r="G68" s="77">
        <v>325</v>
      </c>
      <c r="K68" s="488" t="s">
        <v>94</v>
      </c>
      <c r="L68" s="89" t="s">
        <v>95</v>
      </c>
      <c r="M68" s="82">
        <f>Calculator_Calculations!J89</f>
        <v>16660625</v>
      </c>
      <c r="N68" s="299"/>
      <c r="O68" s="299"/>
      <c r="P68" s="299"/>
      <c r="Q68" s="299"/>
      <c r="R68" s="299"/>
      <c r="S68" s="299"/>
      <c r="T68" s="299"/>
      <c r="U68" s="299"/>
      <c r="V68" s="299"/>
      <c r="W68" s="308"/>
      <c r="X68" s="299"/>
      <c r="Y68" s="299"/>
      <c r="Z68" s="299"/>
      <c r="AA68" s="299"/>
      <c r="AB68" s="299"/>
      <c r="AC68" s="299"/>
      <c r="AD68" s="299"/>
      <c r="AE68" s="299"/>
      <c r="AF68" s="299"/>
      <c r="AG68" s="305">
        <f>Calculator_Calculations!Q89</f>
        <v>22543575.833333336</v>
      </c>
      <c r="AH68" s="304"/>
      <c r="AI68" s="304"/>
      <c r="AJ68" s="304"/>
      <c r="AK68" s="304"/>
      <c r="AL68" s="304"/>
      <c r="AM68" s="304"/>
      <c r="AN68" s="304"/>
      <c r="AO68" s="304"/>
      <c r="AP68" s="304"/>
      <c r="AQ68" s="290"/>
      <c r="AR68" s="290"/>
      <c r="AS68" s="290"/>
      <c r="AT68" s="290"/>
      <c r="AU68" s="290"/>
      <c r="AV68" s="290"/>
      <c r="AW68" s="290"/>
      <c r="AX68" s="290"/>
      <c r="AY68" s="290"/>
      <c r="AZ68" s="290"/>
      <c r="BA68" s="290"/>
      <c r="BB68" s="290"/>
      <c r="BC68" s="290"/>
      <c r="BD68" s="290"/>
      <c r="BE68" s="290"/>
      <c r="BF68" s="290"/>
      <c r="BG68" s="290"/>
      <c r="BH68" s="290"/>
      <c r="BI68" s="290"/>
      <c r="BJ68" s="290"/>
      <c r="BK68" s="290"/>
      <c r="BL68" s="290"/>
      <c r="BM68" s="290"/>
      <c r="BN68" s="290"/>
      <c r="BO68" s="290"/>
      <c r="BP68" s="290"/>
      <c r="BQ68" s="290"/>
      <c r="BR68" s="290"/>
      <c r="BS68" s="290"/>
      <c r="BT68" s="290"/>
      <c r="BU68" s="35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17"/>
      <c r="DU68" s="17"/>
      <c r="DV68" s="17"/>
      <c r="DW68" s="17"/>
      <c r="DX68" s="17"/>
      <c r="DY68" s="17"/>
      <c r="DZ68" s="17"/>
      <c r="EA68" s="17"/>
      <c r="EB68" s="17"/>
      <c r="EC68" s="17"/>
      <c r="ED68" s="17"/>
      <c r="EE68" s="17"/>
      <c r="EF68" s="17"/>
      <c r="EG68" s="17"/>
      <c r="EH68" s="17"/>
      <c r="EI68" s="17"/>
      <c r="EJ68" s="17"/>
      <c r="EK68" s="17"/>
      <c r="EL68" s="17"/>
      <c r="EM68" s="17"/>
      <c r="EN68" s="17"/>
      <c r="EO68" s="17"/>
      <c r="EP68" s="17"/>
      <c r="EQ68" s="17"/>
      <c r="ER68" s="17"/>
      <c r="ES68" s="17"/>
      <c r="ET68" s="17"/>
      <c r="EU68" s="17"/>
      <c r="EV68" s="17"/>
      <c r="EW68" s="17"/>
      <c r="EX68" s="17"/>
      <c r="EY68" s="17"/>
      <c r="EZ68" s="17"/>
      <c r="FA68" s="17"/>
      <c r="FB68" s="17"/>
      <c r="FC68" s="17"/>
      <c r="FD68" s="17"/>
      <c r="FE68" s="17"/>
      <c r="FF68" s="17"/>
      <c r="FG68" s="17"/>
      <c r="FH68" s="17"/>
      <c r="FI68" s="17"/>
      <c r="FJ68" s="17"/>
      <c r="FK68" s="17"/>
      <c r="FL68" s="17"/>
      <c r="FM68" s="17"/>
      <c r="FN68" s="17"/>
      <c r="FO68" s="17"/>
      <c r="FP68" s="17"/>
      <c r="FQ68" s="17"/>
      <c r="FR68" s="17"/>
      <c r="FS68" s="17"/>
      <c r="FT68" s="17"/>
      <c r="FU68" s="17"/>
      <c r="FV68" s="17"/>
      <c r="FW68" s="17"/>
      <c r="FX68" s="17"/>
      <c r="FY68" s="17"/>
      <c r="FZ68" s="17"/>
      <c r="GA68" s="17"/>
      <c r="GB68" s="17"/>
      <c r="GC68" s="17"/>
      <c r="GD68" s="17"/>
      <c r="GE68" s="17"/>
      <c r="GF68" s="17"/>
      <c r="GG68" s="17"/>
      <c r="GH68" s="17"/>
      <c r="GI68" s="17"/>
      <c r="GJ68" s="17"/>
      <c r="GK68" s="17"/>
      <c r="GL68" s="17"/>
      <c r="GM68" s="17"/>
      <c r="GN68" s="17"/>
      <c r="GO68" s="17"/>
      <c r="GP68" s="17"/>
      <c r="GQ68" s="17"/>
      <c r="GR68" s="17"/>
      <c r="GS68" s="17"/>
      <c r="GT68" s="17"/>
      <c r="GU68" s="17"/>
      <c r="GV68" s="17"/>
      <c r="GW68" s="17"/>
      <c r="GX68" s="17"/>
      <c r="GY68" s="17"/>
      <c r="GZ68" s="17"/>
      <c r="HA68" s="17"/>
      <c r="HB68" s="17"/>
      <c r="HC68" s="17"/>
      <c r="HD68" s="17"/>
      <c r="HE68" s="17"/>
      <c r="HF68" s="17"/>
      <c r="HG68" s="17"/>
      <c r="HH68" s="17"/>
      <c r="HI68" s="17"/>
      <c r="HJ68" s="17"/>
      <c r="HK68" s="17"/>
      <c r="HL68" s="17"/>
      <c r="HM68" s="17"/>
      <c r="HN68" s="17"/>
      <c r="HO68" s="17"/>
      <c r="HP68" s="17"/>
      <c r="HQ68" s="17"/>
      <c r="HR68" s="17"/>
      <c r="HS68" s="17"/>
      <c r="HT68" s="17"/>
      <c r="HU68" s="17"/>
      <c r="HV68" s="17"/>
      <c r="HW68" s="17"/>
      <c r="HX68" s="17"/>
      <c r="HY68" s="17"/>
      <c r="HZ68" s="17"/>
    </row>
    <row r="69" spans="3:234" ht="15" x14ac:dyDescent="0.25">
      <c r="C69" s="76" t="s">
        <v>30</v>
      </c>
      <c r="D69" s="17" t="s">
        <v>153</v>
      </c>
      <c r="E69" s="17"/>
      <c r="F69" s="17"/>
      <c r="G69" s="78">
        <v>750</v>
      </c>
      <c r="K69" s="489"/>
      <c r="L69" s="65" t="s">
        <v>96</v>
      </c>
      <c r="M69" s="93">
        <f>SUM(M70:M75)</f>
        <v>1248.56</v>
      </c>
      <c r="N69" s="299"/>
      <c r="O69" s="299"/>
      <c r="P69" s="299"/>
      <c r="Q69" s="299"/>
      <c r="R69" s="299"/>
      <c r="S69" s="299"/>
      <c r="T69" s="299"/>
      <c r="U69" s="299"/>
      <c r="V69" s="299"/>
      <c r="W69" s="304"/>
      <c r="X69" s="299"/>
      <c r="Y69" s="299"/>
      <c r="Z69" s="299"/>
      <c r="AA69" s="299"/>
      <c r="AB69" s="299"/>
      <c r="AC69" s="299"/>
      <c r="AD69" s="299"/>
      <c r="AE69" s="299"/>
      <c r="AF69" s="299"/>
      <c r="AG69" s="297">
        <f>SUM(AG70:AG75)</f>
        <v>1800</v>
      </c>
      <c r="AH69" s="304"/>
      <c r="AI69" s="304"/>
      <c r="AJ69" s="304"/>
      <c r="AK69" s="304"/>
      <c r="AL69" s="304"/>
      <c r="AM69" s="304"/>
      <c r="AN69" s="304"/>
      <c r="AO69" s="304"/>
      <c r="AP69" s="289"/>
      <c r="AQ69" s="290"/>
      <c r="AR69" s="290"/>
      <c r="AS69" s="290"/>
      <c r="AT69" s="290"/>
      <c r="AU69" s="290"/>
      <c r="AV69" s="290"/>
      <c r="AW69" s="290"/>
      <c r="AX69" s="290"/>
      <c r="AY69" s="290"/>
      <c r="AZ69" s="290"/>
      <c r="BA69" s="290"/>
      <c r="BB69" s="290"/>
      <c r="BC69" s="290"/>
      <c r="BD69" s="290"/>
      <c r="BE69" s="290"/>
      <c r="BF69" s="290"/>
      <c r="BG69" s="290"/>
      <c r="BH69" s="290"/>
      <c r="BI69" s="290"/>
      <c r="BJ69" s="290"/>
      <c r="BK69" s="290"/>
      <c r="BL69" s="290"/>
      <c r="BM69" s="290"/>
      <c r="BN69" s="290"/>
      <c r="BO69" s="290"/>
      <c r="BP69" s="290"/>
      <c r="BQ69" s="290"/>
      <c r="BR69" s="290"/>
      <c r="BS69" s="290"/>
      <c r="BT69" s="290"/>
      <c r="BU69" s="35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17"/>
      <c r="DU69" s="17"/>
      <c r="DV69" s="17"/>
      <c r="DW69" s="17"/>
      <c r="DX69" s="17"/>
      <c r="DY69" s="17"/>
      <c r="DZ69" s="17"/>
      <c r="EA69" s="17"/>
      <c r="EB69" s="17"/>
      <c r="EC69" s="17"/>
      <c r="ED69" s="17"/>
      <c r="EE69" s="17"/>
      <c r="EF69" s="17"/>
      <c r="EG69" s="17"/>
      <c r="EH69" s="17"/>
      <c r="EI69" s="17"/>
      <c r="EJ69" s="17"/>
      <c r="EK69" s="17"/>
      <c r="EL69" s="17"/>
      <c r="EM69" s="17"/>
      <c r="EN69" s="17"/>
      <c r="EO69" s="17"/>
      <c r="EP69" s="17"/>
      <c r="EQ69" s="17"/>
      <c r="ER69" s="17"/>
      <c r="ES69" s="17"/>
      <c r="ET69" s="17"/>
      <c r="EU69" s="17"/>
      <c r="EV69" s="17"/>
      <c r="EW69" s="17"/>
      <c r="EX69" s="17"/>
      <c r="EY69" s="17"/>
      <c r="EZ69" s="17"/>
      <c r="FA69" s="17"/>
      <c r="FB69" s="17"/>
      <c r="FC69" s="17"/>
      <c r="FD69" s="17"/>
      <c r="FE69" s="17"/>
      <c r="FF69" s="17"/>
      <c r="FG69" s="17"/>
      <c r="FH69" s="17"/>
      <c r="FI69" s="17"/>
      <c r="FJ69" s="17"/>
      <c r="FK69" s="17"/>
      <c r="FL69" s="17"/>
      <c r="FM69" s="17"/>
      <c r="FN69" s="17"/>
      <c r="FO69" s="17"/>
      <c r="FP69" s="17"/>
      <c r="FQ69" s="17"/>
      <c r="FR69" s="17"/>
      <c r="FS69" s="17"/>
      <c r="FT69" s="17"/>
      <c r="FU69" s="17"/>
      <c r="FV69" s="17"/>
      <c r="FW69" s="17"/>
      <c r="FX69" s="17"/>
      <c r="FY69" s="17"/>
      <c r="FZ69" s="17"/>
      <c r="GA69" s="17"/>
      <c r="GB69" s="17"/>
      <c r="GC69" s="17"/>
      <c r="GD69" s="17"/>
      <c r="GE69" s="17"/>
      <c r="GF69" s="17"/>
      <c r="GG69" s="17"/>
      <c r="GH69" s="17"/>
      <c r="GI69" s="17"/>
      <c r="GJ69" s="17"/>
      <c r="GK69" s="17"/>
      <c r="GL69" s="17"/>
      <c r="GM69" s="17"/>
      <c r="GN69" s="17"/>
      <c r="GO69" s="17"/>
      <c r="GP69" s="17"/>
      <c r="GQ69" s="17"/>
      <c r="GR69" s="17"/>
      <c r="GS69" s="17"/>
      <c r="GT69" s="17"/>
      <c r="GU69" s="17"/>
      <c r="GV69" s="17"/>
      <c r="GW69" s="17"/>
      <c r="GX69" s="17"/>
      <c r="GY69" s="17"/>
      <c r="GZ69" s="17"/>
      <c r="HA69" s="17"/>
      <c r="HB69" s="17"/>
      <c r="HC69" s="17"/>
      <c r="HD69" s="17"/>
      <c r="HE69" s="17"/>
      <c r="HF69" s="17"/>
      <c r="HG69" s="17"/>
      <c r="HH69" s="17"/>
      <c r="HI69" s="17"/>
      <c r="HJ69" s="17"/>
      <c r="HK69" s="17"/>
      <c r="HL69" s="17"/>
      <c r="HM69" s="17"/>
      <c r="HN69" s="17"/>
      <c r="HO69" s="17"/>
      <c r="HP69" s="17"/>
      <c r="HQ69" s="17"/>
      <c r="HR69" s="17"/>
      <c r="HS69" s="17"/>
      <c r="HT69" s="17"/>
      <c r="HU69" s="17"/>
      <c r="HV69" s="17"/>
      <c r="HW69" s="17"/>
      <c r="HX69" s="17"/>
      <c r="HY69" s="17"/>
      <c r="HZ69" s="17"/>
    </row>
    <row r="70" spans="3:234" ht="15" customHeight="1" x14ac:dyDescent="0.25">
      <c r="C70" s="79" t="s">
        <v>38</v>
      </c>
      <c r="D70" s="80" t="s">
        <v>154</v>
      </c>
      <c r="E70" s="80"/>
      <c r="F70" s="80"/>
      <c r="G70" s="81">
        <v>800</v>
      </c>
      <c r="K70" s="489"/>
      <c r="L70" s="71" t="s">
        <v>97</v>
      </c>
      <c r="M70" s="93">
        <v>453</v>
      </c>
      <c r="N70" s="299"/>
      <c r="O70" s="299"/>
      <c r="P70" s="299"/>
      <c r="Q70" s="299"/>
      <c r="R70" s="299"/>
      <c r="S70" s="299"/>
      <c r="T70" s="299"/>
      <c r="U70" s="299"/>
      <c r="V70" s="299"/>
      <c r="W70" s="304"/>
      <c r="X70" s="299"/>
      <c r="Y70" s="299"/>
      <c r="Z70" s="299"/>
      <c r="AA70" s="299"/>
      <c r="AB70" s="299"/>
      <c r="AC70" s="299"/>
      <c r="AD70" s="299"/>
      <c r="AE70" s="299"/>
      <c r="AF70" s="299"/>
      <c r="AG70" s="413">
        <v>407.7</v>
      </c>
      <c r="AH70" s="304"/>
      <c r="AI70" s="304"/>
      <c r="AJ70" s="304"/>
      <c r="AK70" s="304"/>
      <c r="AL70" s="304"/>
      <c r="AM70" s="304"/>
      <c r="AN70" s="304"/>
      <c r="AO70" s="304"/>
      <c r="AP70" s="289"/>
      <c r="AQ70" s="290"/>
      <c r="AR70" s="290"/>
      <c r="AS70" s="290"/>
      <c r="AT70" s="290"/>
      <c r="AU70" s="290"/>
      <c r="AV70" s="290"/>
      <c r="AW70" s="290"/>
      <c r="AX70" s="290"/>
      <c r="AY70" s="290"/>
      <c r="AZ70" s="290"/>
      <c r="BA70" s="290"/>
      <c r="BB70" s="290"/>
      <c r="BC70" s="290"/>
      <c r="BD70" s="290"/>
      <c r="BE70" s="290"/>
      <c r="BF70" s="290"/>
      <c r="BG70" s="290"/>
      <c r="BH70" s="290"/>
      <c r="BI70" s="290"/>
      <c r="BJ70" s="290"/>
      <c r="BK70" s="290"/>
      <c r="BL70" s="290"/>
      <c r="BM70" s="290"/>
      <c r="BN70" s="290"/>
      <c r="BO70" s="290"/>
      <c r="BP70" s="290"/>
      <c r="BQ70" s="290"/>
      <c r="BR70" s="290"/>
      <c r="BS70" s="290"/>
      <c r="BT70" s="290"/>
      <c r="BU70" s="352">
        <v>-679.5</v>
      </c>
      <c r="BV70" s="72">
        <f>Calculator_Calculations!T83</f>
        <v>-679.5</v>
      </c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  <c r="DA70" s="17"/>
      <c r="DB70" s="17"/>
      <c r="DC70" s="17"/>
      <c r="DD70" s="17"/>
      <c r="DE70" s="17"/>
      <c r="DF70" s="17"/>
      <c r="DG70" s="17"/>
      <c r="DH70" s="17"/>
      <c r="DI70" s="17"/>
      <c r="DJ70" s="17"/>
      <c r="DK70" s="17"/>
      <c r="DL70" s="17"/>
      <c r="DM70" s="17"/>
      <c r="DN70" s="17"/>
      <c r="DO70" s="17"/>
      <c r="DP70" s="17"/>
      <c r="DQ70" s="17"/>
      <c r="DR70" s="17"/>
      <c r="DS70" s="17"/>
      <c r="DT70" s="17"/>
      <c r="DU70" s="17"/>
      <c r="DV70" s="17"/>
      <c r="DW70" s="17"/>
      <c r="DX70" s="17"/>
      <c r="DY70" s="17"/>
      <c r="DZ70" s="17"/>
      <c r="EA70" s="17"/>
      <c r="EB70" s="17"/>
      <c r="EC70" s="17"/>
      <c r="ED70" s="17"/>
      <c r="EE70" s="17"/>
      <c r="EF70" s="17"/>
      <c r="EG70" s="17"/>
      <c r="EH70" s="17"/>
      <c r="EI70" s="17"/>
      <c r="EJ70" s="17"/>
      <c r="EK70" s="17"/>
      <c r="EL70" s="17"/>
      <c r="EM70" s="17"/>
      <c r="EN70" s="17"/>
      <c r="EO70" s="17"/>
      <c r="EP70" s="17"/>
      <c r="EQ70" s="17"/>
      <c r="ER70" s="17"/>
      <c r="ES70" s="17"/>
      <c r="ET70" s="17"/>
      <c r="EU70" s="17"/>
      <c r="EV70" s="17"/>
      <c r="EW70" s="17"/>
      <c r="EX70" s="17"/>
      <c r="EY70" s="17"/>
      <c r="EZ70" s="17"/>
      <c r="FA70" s="17"/>
      <c r="FB70" s="17"/>
      <c r="FC70" s="17"/>
      <c r="FD70" s="17"/>
      <c r="FE70" s="17"/>
      <c r="FF70" s="17"/>
      <c r="FG70" s="17"/>
      <c r="FH70" s="17"/>
      <c r="FI70" s="17"/>
      <c r="FJ70" s="17"/>
      <c r="FK70" s="17"/>
      <c r="FL70" s="17"/>
      <c r="FM70" s="17"/>
      <c r="FN70" s="17"/>
      <c r="FO70" s="17"/>
      <c r="FP70" s="17"/>
      <c r="FQ70" s="17"/>
      <c r="FR70" s="17"/>
      <c r="FS70" s="17"/>
      <c r="FT70" s="17"/>
      <c r="FU70" s="17"/>
      <c r="FV70" s="17"/>
      <c r="FW70" s="17"/>
      <c r="FX70" s="17"/>
      <c r="FY70" s="17"/>
      <c r="FZ70" s="17"/>
      <c r="GA70" s="17"/>
      <c r="GB70" s="17"/>
      <c r="GC70" s="17"/>
      <c r="GD70" s="17"/>
      <c r="GE70" s="17"/>
      <c r="GF70" s="17"/>
      <c r="GG70" s="17"/>
      <c r="GH70" s="17"/>
      <c r="GI70" s="17"/>
      <c r="GJ70" s="17"/>
      <c r="GK70" s="17"/>
      <c r="GL70" s="17"/>
      <c r="GM70" s="17"/>
      <c r="GN70" s="17"/>
      <c r="GO70" s="17"/>
      <c r="GP70" s="17"/>
      <c r="GQ70" s="17"/>
      <c r="GR70" s="17"/>
      <c r="GS70" s="17"/>
      <c r="GT70" s="17"/>
      <c r="GU70" s="17"/>
      <c r="GV70" s="17"/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</row>
    <row r="71" spans="3:234" ht="15" x14ac:dyDescent="0.25">
      <c r="K71" s="489"/>
      <c r="L71" s="71" t="s">
        <v>98</v>
      </c>
      <c r="M71" s="93">
        <v>193</v>
      </c>
      <c r="N71" s="299"/>
      <c r="O71" s="299"/>
      <c r="P71" s="299"/>
      <c r="Q71" s="299"/>
      <c r="R71" s="299"/>
      <c r="S71" s="299"/>
      <c r="T71" s="299"/>
      <c r="U71" s="299"/>
      <c r="V71" s="299"/>
      <c r="W71" s="304"/>
      <c r="X71" s="299"/>
      <c r="Y71" s="299"/>
      <c r="Z71" s="299"/>
      <c r="AA71" s="299"/>
      <c r="AB71" s="299"/>
      <c r="AC71" s="299"/>
      <c r="AD71" s="299"/>
      <c r="AE71" s="299"/>
      <c r="AF71" s="299"/>
      <c r="AG71" s="413">
        <v>173.70000000000002</v>
      </c>
      <c r="AH71" s="304"/>
      <c r="AI71" s="304"/>
      <c r="AJ71" s="304"/>
      <c r="AK71" s="304"/>
      <c r="AL71" s="304"/>
      <c r="AM71" s="304"/>
      <c r="AN71" s="304"/>
      <c r="AO71" s="304"/>
      <c r="AP71" s="289"/>
      <c r="AQ71" s="290"/>
      <c r="AR71" s="290"/>
      <c r="AS71" s="290"/>
      <c r="AT71" s="290"/>
      <c r="AU71" s="290"/>
      <c r="AV71" s="290"/>
      <c r="AW71" s="290"/>
      <c r="AX71" s="290"/>
      <c r="AY71" s="290"/>
      <c r="AZ71" s="290"/>
      <c r="BA71" s="290"/>
      <c r="BB71" s="290"/>
      <c r="BC71" s="290"/>
      <c r="BD71" s="290"/>
      <c r="BE71" s="290"/>
      <c r="BF71" s="290"/>
      <c r="BG71" s="290"/>
      <c r="BH71" s="290"/>
      <c r="BI71" s="290"/>
      <c r="BJ71" s="290"/>
      <c r="BK71" s="290"/>
      <c r="BL71" s="290"/>
      <c r="BM71" s="290"/>
      <c r="BN71" s="290"/>
      <c r="BO71" s="290"/>
      <c r="BP71" s="290"/>
      <c r="BQ71" s="290"/>
      <c r="BR71" s="290"/>
      <c r="BS71" s="290"/>
      <c r="BT71" s="290"/>
      <c r="BU71" s="352">
        <v>-501.79999999999927</v>
      </c>
      <c r="BV71" s="72">
        <f>Calculator_Calculations!T84</f>
        <v>-501.79999999999927</v>
      </c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  <c r="DA71" s="17"/>
      <c r="DB71" s="17"/>
      <c r="DC71" s="17"/>
      <c r="DD71" s="17"/>
      <c r="DE71" s="17"/>
      <c r="DF71" s="17"/>
      <c r="DG71" s="17"/>
      <c r="DH71" s="17"/>
      <c r="DI71" s="17"/>
      <c r="DJ71" s="17"/>
      <c r="DK71" s="17"/>
      <c r="DL71" s="17"/>
      <c r="DM71" s="17"/>
      <c r="DN71" s="17"/>
      <c r="DO71" s="17"/>
      <c r="DP71" s="17"/>
      <c r="DQ71" s="17"/>
      <c r="DR71" s="17"/>
      <c r="DS71" s="17"/>
      <c r="DT71" s="17"/>
      <c r="DU71" s="17"/>
      <c r="DV71" s="17"/>
      <c r="DW71" s="17"/>
      <c r="DX71" s="17"/>
      <c r="DY71" s="17"/>
      <c r="DZ71" s="17"/>
      <c r="EA71" s="17"/>
      <c r="EB71" s="17"/>
      <c r="EC71" s="17"/>
      <c r="ED71" s="17"/>
      <c r="EE71" s="17"/>
      <c r="EF71" s="17"/>
      <c r="EG71" s="17"/>
      <c r="EH71" s="17"/>
      <c r="EI71" s="17"/>
      <c r="EJ71" s="17"/>
      <c r="EK71" s="17"/>
      <c r="EL71" s="17"/>
      <c r="EM71" s="17"/>
      <c r="EN71" s="17"/>
      <c r="EO71" s="17"/>
      <c r="EP71" s="17"/>
      <c r="EQ71" s="17"/>
      <c r="ER71" s="17"/>
      <c r="ES71" s="17"/>
      <c r="ET71" s="17"/>
      <c r="EU71" s="17"/>
      <c r="EV71" s="17"/>
      <c r="EW71" s="17"/>
      <c r="EX71" s="17"/>
      <c r="EY71" s="17"/>
      <c r="EZ71" s="17"/>
      <c r="FA71" s="17"/>
      <c r="FB71" s="17"/>
      <c r="FC71" s="17"/>
      <c r="FD71" s="17"/>
      <c r="FE71" s="17"/>
      <c r="FF71" s="17"/>
      <c r="FG71" s="17"/>
      <c r="FH71" s="17"/>
      <c r="FI71" s="17"/>
      <c r="FJ71" s="17"/>
      <c r="FK71" s="17"/>
      <c r="FL71" s="17"/>
      <c r="FM71" s="17"/>
      <c r="FN71" s="17"/>
      <c r="FO71" s="17"/>
      <c r="FP71" s="17"/>
      <c r="FQ71" s="17"/>
      <c r="FR71" s="17"/>
      <c r="FS71" s="17"/>
      <c r="FT71" s="17"/>
      <c r="FU71" s="17"/>
      <c r="FV71" s="17"/>
      <c r="FW71" s="17"/>
      <c r="FX71" s="17"/>
      <c r="FY71" s="17"/>
      <c r="FZ71" s="17"/>
      <c r="GA71" s="17"/>
      <c r="GB71" s="17"/>
      <c r="GC71" s="17"/>
      <c r="GD71" s="17"/>
      <c r="GE71" s="17"/>
      <c r="GF71" s="17"/>
      <c r="GG71" s="17"/>
      <c r="GH71" s="17"/>
      <c r="GI71" s="17"/>
      <c r="GJ71" s="17"/>
      <c r="GK71" s="17"/>
      <c r="GL71" s="17"/>
      <c r="GM71" s="17"/>
      <c r="GN71" s="17"/>
      <c r="GO71" s="17"/>
      <c r="GP71" s="17"/>
      <c r="GQ71" s="17"/>
      <c r="GR71" s="17"/>
      <c r="GS71" s="17"/>
      <c r="GT71" s="17"/>
      <c r="GU71" s="17"/>
      <c r="GV71" s="17"/>
      <c r="GW71" s="17"/>
      <c r="GX71" s="17"/>
      <c r="GY71" s="17"/>
      <c r="GZ71" s="17"/>
      <c r="HA71" s="17"/>
      <c r="HB71" s="17"/>
      <c r="HC71" s="17"/>
      <c r="HD71" s="17"/>
      <c r="HE71" s="17"/>
      <c r="HF71" s="17"/>
      <c r="HG71" s="17"/>
      <c r="HH71" s="17"/>
      <c r="HI71" s="17"/>
      <c r="HJ71" s="17"/>
      <c r="HK71" s="17"/>
      <c r="HL71" s="17"/>
      <c r="HM71" s="17"/>
      <c r="HN71" s="17"/>
      <c r="HO71" s="17"/>
      <c r="HP71" s="17"/>
      <c r="HQ71" s="17"/>
      <c r="HR71" s="17"/>
      <c r="HS71" s="17"/>
      <c r="HT71" s="17"/>
      <c r="HU71" s="17"/>
      <c r="HV71" s="17"/>
      <c r="HW71" s="17"/>
      <c r="HX71" s="17"/>
      <c r="HY71" s="17"/>
      <c r="HZ71" s="17"/>
    </row>
    <row r="72" spans="3:234" ht="15" x14ac:dyDescent="0.25">
      <c r="K72" s="489"/>
      <c r="L72" s="71" t="s">
        <v>114</v>
      </c>
      <c r="M72" s="93">
        <v>333</v>
      </c>
      <c r="N72" s="299"/>
      <c r="O72" s="299"/>
      <c r="P72" s="299"/>
      <c r="Q72" s="299"/>
      <c r="R72" s="299"/>
      <c r="S72" s="299"/>
      <c r="T72" s="299"/>
      <c r="U72" s="299"/>
      <c r="V72" s="299"/>
      <c r="W72" s="304"/>
      <c r="X72" s="299"/>
      <c r="Y72" s="299"/>
      <c r="Z72" s="299"/>
      <c r="AA72" s="299"/>
      <c r="AB72" s="299"/>
      <c r="AC72" s="299"/>
      <c r="AD72" s="299"/>
      <c r="AE72" s="299"/>
      <c r="AF72" s="299"/>
      <c r="AG72" s="413">
        <v>299.7</v>
      </c>
      <c r="AH72" s="304"/>
      <c r="AI72" s="304"/>
      <c r="AJ72" s="304"/>
      <c r="AK72" s="304"/>
      <c r="AL72" s="304"/>
      <c r="AM72" s="304"/>
      <c r="AN72" s="304"/>
      <c r="AO72" s="304"/>
      <c r="AP72" s="289"/>
      <c r="AQ72" s="290"/>
      <c r="AR72" s="290"/>
      <c r="AS72" s="290"/>
      <c r="AT72" s="290"/>
      <c r="AU72" s="290"/>
      <c r="AV72" s="290"/>
      <c r="AW72" s="290"/>
      <c r="AX72" s="290"/>
      <c r="AY72" s="290"/>
      <c r="AZ72" s="290"/>
      <c r="BA72" s="290"/>
      <c r="BB72" s="290"/>
      <c r="BC72" s="290"/>
      <c r="BD72" s="290"/>
      <c r="BE72" s="290"/>
      <c r="BF72" s="290"/>
      <c r="BG72" s="290"/>
      <c r="BH72" s="290"/>
      <c r="BI72" s="290"/>
      <c r="BJ72" s="290"/>
      <c r="BK72" s="290"/>
      <c r="BL72" s="290"/>
      <c r="BM72" s="290"/>
      <c r="BN72" s="290"/>
      <c r="BO72" s="290"/>
      <c r="BP72" s="290"/>
      <c r="BQ72" s="290"/>
      <c r="BR72" s="290"/>
      <c r="BS72" s="290"/>
      <c r="BT72" s="290"/>
      <c r="BU72" s="352">
        <v>-666</v>
      </c>
      <c r="BV72" s="72">
        <f>Calculator_Calculations!T86</f>
        <v>-666</v>
      </c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  <c r="DA72" s="17"/>
      <c r="DB72" s="17"/>
      <c r="DC72" s="17"/>
      <c r="DD72" s="17"/>
      <c r="DE72" s="17"/>
      <c r="DF72" s="17"/>
      <c r="DG72" s="17"/>
      <c r="DH72" s="17"/>
      <c r="DI72" s="17"/>
      <c r="DJ72" s="17"/>
      <c r="DK72" s="17"/>
      <c r="DL72" s="17"/>
      <c r="DM72" s="17"/>
      <c r="DN72" s="17"/>
      <c r="DO72" s="17"/>
      <c r="DP72" s="17"/>
      <c r="DQ72" s="17"/>
      <c r="DR72" s="17"/>
      <c r="DS72" s="17"/>
      <c r="DT72" s="17"/>
      <c r="DU72" s="17"/>
      <c r="DV72" s="17"/>
      <c r="DW72" s="17"/>
      <c r="DX72" s="17"/>
      <c r="DY72" s="17"/>
      <c r="DZ72" s="17"/>
      <c r="EA72" s="17"/>
      <c r="EB72" s="17"/>
      <c r="EC72" s="17"/>
      <c r="ED72" s="17"/>
      <c r="EE72" s="17"/>
      <c r="EF72" s="17"/>
      <c r="EG72" s="17"/>
      <c r="EH72" s="17"/>
      <c r="EI72" s="17"/>
      <c r="EJ72" s="17"/>
      <c r="EK72" s="17"/>
      <c r="EL72" s="17"/>
      <c r="EM72" s="17"/>
      <c r="EN72" s="17"/>
      <c r="EO72" s="17"/>
      <c r="EP72" s="17"/>
      <c r="EQ72" s="17"/>
      <c r="ER72" s="17"/>
      <c r="ES72" s="17"/>
      <c r="ET72" s="17"/>
      <c r="EU72" s="17"/>
      <c r="EV72" s="17"/>
      <c r="EW72" s="17"/>
      <c r="EX72" s="17"/>
      <c r="EY72" s="17"/>
      <c r="EZ72" s="17"/>
      <c r="FA72" s="17"/>
      <c r="FB72" s="17"/>
      <c r="FC72" s="17"/>
      <c r="FD72" s="17"/>
      <c r="FE72" s="17"/>
      <c r="FF72" s="17"/>
      <c r="FG72" s="17"/>
      <c r="FH72" s="17"/>
      <c r="FI72" s="17"/>
      <c r="FJ72" s="17"/>
      <c r="FK72" s="17"/>
      <c r="FL72" s="17"/>
      <c r="FM72" s="17"/>
      <c r="FN72" s="17"/>
      <c r="FO72" s="17"/>
      <c r="FP72" s="17"/>
      <c r="FQ72" s="17"/>
      <c r="FR72" s="17"/>
      <c r="FS72" s="17"/>
      <c r="FT72" s="17"/>
      <c r="FU72" s="17"/>
      <c r="FV72" s="17"/>
      <c r="FW72" s="17"/>
      <c r="FX72" s="17"/>
      <c r="FY72" s="17"/>
      <c r="FZ72" s="17"/>
      <c r="GA72" s="17"/>
      <c r="GB72" s="17"/>
      <c r="GC72" s="17"/>
      <c r="GD72" s="17"/>
      <c r="GE72" s="17"/>
      <c r="GF72" s="17"/>
      <c r="GG72" s="17"/>
      <c r="GH72" s="17"/>
      <c r="GI72" s="17"/>
      <c r="GJ72" s="17"/>
      <c r="GK72" s="17"/>
      <c r="GL72" s="17"/>
      <c r="GM72" s="17"/>
      <c r="GN72" s="17"/>
      <c r="GO72" s="17"/>
      <c r="GP72" s="17"/>
      <c r="GQ72" s="17"/>
      <c r="GR72" s="17"/>
      <c r="GS72" s="17"/>
      <c r="GT72" s="17"/>
      <c r="GU72" s="17"/>
      <c r="GV72" s="17"/>
      <c r="GW72" s="17"/>
      <c r="GX72" s="17"/>
      <c r="GY72" s="17"/>
      <c r="GZ72" s="17"/>
      <c r="HA72" s="17"/>
      <c r="HB72" s="17"/>
      <c r="HC72" s="17"/>
      <c r="HD72" s="17"/>
      <c r="HE72" s="17"/>
      <c r="HF72" s="17"/>
      <c r="HG72" s="17"/>
      <c r="HH72" s="17"/>
      <c r="HI72" s="17"/>
      <c r="HJ72" s="17"/>
      <c r="HK72" s="17"/>
      <c r="HL72" s="17"/>
      <c r="HM72" s="17"/>
      <c r="HN72" s="17"/>
      <c r="HO72" s="17"/>
      <c r="HP72" s="17"/>
      <c r="HQ72" s="17"/>
      <c r="HR72" s="17"/>
      <c r="HS72" s="17"/>
      <c r="HT72" s="17"/>
      <c r="HU72" s="17"/>
      <c r="HV72" s="17"/>
      <c r="HW72" s="17"/>
      <c r="HX72" s="17"/>
      <c r="HY72" s="17"/>
      <c r="HZ72" s="17"/>
    </row>
    <row r="73" spans="3:234" ht="15" x14ac:dyDescent="0.25">
      <c r="K73" s="489"/>
      <c r="L73" s="71" t="s">
        <v>100</v>
      </c>
      <c r="M73" s="93">
        <v>171</v>
      </c>
      <c r="N73" s="299"/>
      <c r="O73" s="299"/>
      <c r="P73" s="299"/>
      <c r="Q73" s="299"/>
      <c r="R73" s="299"/>
      <c r="S73" s="299"/>
      <c r="T73" s="299"/>
      <c r="U73" s="299"/>
      <c r="V73" s="299"/>
      <c r="W73" s="304"/>
      <c r="X73" s="299"/>
      <c r="Y73" s="299"/>
      <c r="Z73" s="299"/>
      <c r="AA73" s="299"/>
      <c r="AB73" s="299"/>
      <c r="AC73" s="299"/>
      <c r="AD73" s="299"/>
      <c r="AE73" s="299"/>
      <c r="AF73" s="299"/>
      <c r="AG73" s="413">
        <v>153.9</v>
      </c>
      <c r="AH73" s="304"/>
      <c r="AI73" s="304"/>
      <c r="AJ73" s="304"/>
      <c r="AK73" s="304"/>
      <c r="AL73" s="304"/>
      <c r="AM73" s="304"/>
      <c r="AN73" s="304"/>
      <c r="AO73" s="304"/>
      <c r="AP73" s="289"/>
      <c r="AQ73" s="290"/>
      <c r="AR73" s="290"/>
      <c r="AS73" s="290"/>
      <c r="AT73" s="290"/>
      <c r="AU73" s="290"/>
      <c r="AV73" s="290"/>
      <c r="AW73" s="290"/>
      <c r="AX73" s="290"/>
      <c r="AY73" s="290"/>
      <c r="AZ73" s="290"/>
      <c r="BA73" s="290"/>
      <c r="BB73" s="290"/>
      <c r="BC73" s="290"/>
      <c r="BD73" s="290"/>
      <c r="BE73" s="290"/>
      <c r="BF73" s="290"/>
      <c r="BG73" s="290"/>
      <c r="BH73" s="290"/>
      <c r="BI73" s="290"/>
      <c r="BJ73" s="290"/>
      <c r="BK73" s="290"/>
      <c r="BL73" s="290"/>
      <c r="BM73" s="290"/>
      <c r="BN73" s="290"/>
      <c r="BO73" s="290"/>
      <c r="BP73" s="290"/>
      <c r="BQ73" s="290"/>
      <c r="BR73" s="290"/>
      <c r="BS73" s="290"/>
      <c r="BT73" s="290"/>
      <c r="BU73" s="352">
        <v>-786.59999999999945</v>
      </c>
      <c r="BV73" s="72">
        <f>Calculator_Calculations!T85</f>
        <v>-786.59999999999945</v>
      </c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  <c r="DA73" s="17"/>
      <c r="DB73" s="17"/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/>
      <c r="DO73" s="17"/>
      <c r="DP73" s="17"/>
      <c r="DQ73" s="17"/>
      <c r="DR73" s="17"/>
      <c r="DS73" s="17"/>
      <c r="DT73" s="17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/>
      <c r="EL73" s="17"/>
      <c r="EM73" s="17"/>
      <c r="EN73" s="17"/>
      <c r="EO73" s="17"/>
      <c r="EP73" s="17"/>
      <c r="EQ73" s="17"/>
      <c r="ER73" s="17"/>
      <c r="ES73" s="17"/>
      <c r="ET73" s="17"/>
      <c r="EU73" s="17"/>
      <c r="EV73" s="17"/>
      <c r="EW73" s="17"/>
      <c r="EX73" s="17"/>
      <c r="EY73" s="17"/>
      <c r="EZ73" s="17"/>
      <c r="FA73" s="17"/>
      <c r="FB73" s="17"/>
      <c r="FC73" s="17"/>
      <c r="FD73" s="17"/>
      <c r="FE73" s="17"/>
      <c r="FF73" s="17"/>
      <c r="FG73" s="17"/>
      <c r="FH73" s="17"/>
      <c r="FI73" s="17"/>
      <c r="FJ73" s="17"/>
      <c r="FK73" s="17"/>
      <c r="FL73" s="17"/>
      <c r="FM73" s="17"/>
      <c r="FN73" s="17"/>
      <c r="FO73" s="17"/>
      <c r="FP73" s="17"/>
      <c r="FQ73" s="17"/>
      <c r="FR73" s="17"/>
      <c r="FS73" s="17"/>
      <c r="FT73" s="17"/>
      <c r="FU73" s="17"/>
      <c r="FV73" s="17"/>
      <c r="FW73" s="17"/>
      <c r="FX73" s="17"/>
      <c r="FY73" s="17"/>
      <c r="FZ73" s="17"/>
      <c r="GA73" s="17"/>
      <c r="GB73" s="17"/>
      <c r="GC73" s="17"/>
      <c r="GD73" s="17"/>
      <c r="GE73" s="17"/>
      <c r="GF73" s="17"/>
      <c r="GG73" s="17"/>
      <c r="GH73" s="17"/>
      <c r="GI73" s="17"/>
      <c r="GJ73" s="17"/>
      <c r="GK73" s="17"/>
      <c r="GL73" s="17"/>
      <c r="GM73" s="17"/>
      <c r="GN73" s="17"/>
      <c r="GO73" s="17"/>
      <c r="GP73" s="17"/>
      <c r="GQ73" s="17"/>
      <c r="GR73" s="17"/>
      <c r="GS73" s="17"/>
      <c r="GT73" s="17"/>
      <c r="GU73" s="17"/>
      <c r="GV73" s="17"/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</row>
    <row r="74" spans="3:234" ht="15" x14ac:dyDescent="0.25">
      <c r="K74" s="489"/>
      <c r="L74" s="71" t="s">
        <v>118</v>
      </c>
      <c r="M74" s="93">
        <v>93</v>
      </c>
      <c r="N74" s="299"/>
      <c r="O74" s="299"/>
      <c r="P74" s="299"/>
      <c r="Q74" s="299"/>
      <c r="R74" s="299"/>
      <c r="S74" s="299"/>
      <c r="T74" s="299"/>
      <c r="U74" s="299"/>
      <c r="V74" s="299"/>
      <c r="W74" s="304"/>
      <c r="X74" s="299"/>
      <c r="Y74" s="299"/>
      <c r="Z74" s="299"/>
      <c r="AA74" s="299"/>
      <c r="AB74" s="299"/>
      <c r="AC74" s="299"/>
      <c r="AD74" s="299"/>
      <c r="AE74" s="299"/>
      <c r="AF74" s="299"/>
      <c r="AG74" s="413">
        <v>759.44</v>
      </c>
      <c r="AH74" s="304"/>
      <c r="AI74" s="304"/>
      <c r="AJ74" s="304"/>
      <c r="AK74" s="304"/>
      <c r="AL74" s="304"/>
      <c r="AM74" s="304"/>
      <c r="AN74" s="304"/>
      <c r="AO74" s="304"/>
      <c r="AP74" s="289"/>
      <c r="AQ74" s="290"/>
      <c r="AR74" s="290"/>
      <c r="AS74" s="290"/>
      <c r="AT74" s="290"/>
      <c r="AU74" s="290"/>
      <c r="AV74" s="290"/>
      <c r="AW74" s="290"/>
      <c r="AX74" s="290"/>
      <c r="AY74" s="290"/>
      <c r="AZ74" s="290"/>
      <c r="BA74" s="290"/>
      <c r="BB74" s="290"/>
      <c r="BC74" s="290"/>
      <c r="BD74" s="290"/>
      <c r="BE74" s="290"/>
      <c r="BF74" s="290"/>
      <c r="BG74" s="290"/>
      <c r="BH74" s="290"/>
      <c r="BI74" s="290"/>
      <c r="BJ74" s="290"/>
      <c r="BK74" s="290"/>
      <c r="BL74" s="290"/>
      <c r="BM74" s="290"/>
      <c r="BN74" s="290"/>
      <c r="BO74" s="290"/>
      <c r="BP74" s="290"/>
      <c r="BQ74" s="290"/>
      <c r="BR74" s="290"/>
      <c r="BS74" s="290"/>
      <c r="BT74" s="290"/>
      <c r="BU74" s="352">
        <v>32655.560000000005</v>
      </c>
      <c r="BV74" s="72">
        <f>Calculator_Calculations!T87</f>
        <v>32655.560000000005</v>
      </c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72"/>
      <c r="CH74" s="72"/>
      <c r="CI74" s="72"/>
      <c r="CJ74" s="72"/>
      <c r="CK74" s="72"/>
      <c r="CL74" s="72"/>
      <c r="CM74" s="72"/>
      <c r="CN74" s="72"/>
      <c r="CO74" s="72"/>
      <c r="CP74" s="72"/>
      <c r="CQ74" s="72"/>
      <c r="CR74" s="72"/>
      <c r="CS74" s="72"/>
      <c r="CT74" s="72"/>
      <c r="CU74" s="72"/>
      <c r="CV74" s="72"/>
      <c r="CW74" s="72"/>
      <c r="CX74" s="72"/>
      <c r="CY74" s="72"/>
      <c r="CZ74" s="72"/>
      <c r="DA74" s="17"/>
      <c r="DB74" s="17"/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/>
      <c r="DR74" s="17"/>
      <c r="DS74" s="17"/>
      <c r="DT74" s="17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17"/>
      <c r="EY74" s="17"/>
      <c r="EZ74" s="17"/>
      <c r="FA74" s="17"/>
      <c r="FB74" s="17"/>
      <c r="FC74" s="17"/>
      <c r="FD74" s="17"/>
      <c r="FE74" s="17"/>
      <c r="FF74" s="17"/>
      <c r="FG74" s="17"/>
      <c r="FH74" s="17"/>
      <c r="FI74" s="17"/>
      <c r="FJ74" s="17"/>
      <c r="FK74" s="17"/>
      <c r="FL74" s="17"/>
      <c r="FM74" s="17"/>
      <c r="FN74" s="17"/>
      <c r="FO74" s="17"/>
      <c r="FP74" s="17"/>
      <c r="FQ74" s="17"/>
      <c r="FR74" s="17"/>
      <c r="FS74" s="17"/>
      <c r="FT74" s="17"/>
      <c r="FU74" s="17"/>
      <c r="FV74" s="17"/>
      <c r="FW74" s="17"/>
      <c r="FX74" s="17"/>
      <c r="FY74" s="17"/>
      <c r="FZ74" s="17"/>
      <c r="GA74" s="17"/>
      <c r="GB74" s="17"/>
      <c r="GC74" s="17"/>
      <c r="GD74" s="17"/>
      <c r="GE74" s="17"/>
      <c r="GF74" s="17"/>
      <c r="GG74" s="17"/>
      <c r="GH74" s="17"/>
      <c r="GI74" s="17"/>
      <c r="GJ74" s="17"/>
      <c r="GK74" s="17"/>
      <c r="GL74" s="17"/>
      <c r="GM74" s="17"/>
      <c r="GN74" s="17"/>
      <c r="GO74" s="17"/>
      <c r="GP74" s="17"/>
      <c r="GQ74" s="17"/>
      <c r="GR74" s="17"/>
      <c r="GS74" s="17"/>
      <c r="GT74" s="17"/>
      <c r="GU74" s="17"/>
      <c r="GV74" s="17"/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</row>
    <row r="75" spans="3:234" ht="15.75" thickBot="1" x14ac:dyDescent="0.3">
      <c r="K75" s="490"/>
      <c r="L75" s="73" t="s">
        <v>105</v>
      </c>
      <c r="M75" s="93">
        <v>5.56</v>
      </c>
      <c r="N75" s="290"/>
      <c r="O75" s="290"/>
      <c r="P75" s="290"/>
      <c r="Q75" s="290"/>
      <c r="R75" s="290"/>
      <c r="S75" s="290"/>
      <c r="T75" s="290"/>
      <c r="U75" s="290"/>
      <c r="V75" s="290"/>
      <c r="W75" s="290"/>
      <c r="X75" s="290"/>
      <c r="Y75" s="290"/>
      <c r="Z75" s="290"/>
      <c r="AA75" s="290"/>
      <c r="AB75" s="290"/>
      <c r="AC75" s="290"/>
      <c r="AD75" s="290"/>
      <c r="AE75" s="290"/>
      <c r="AF75" s="290"/>
      <c r="AG75" s="413">
        <v>5.56</v>
      </c>
      <c r="AH75" s="290"/>
      <c r="AI75" s="290"/>
      <c r="AJ75" s="290"/>
      <c r="AK75" s="290"/>
      <c r="AL75" s="290"/>
      <c r="AM75" s="290"/>
      <c r="AN75" s="290"/>
      <c r="AO75" s="290"/>
      <c r="AP75" s="290"/>
      <c r="AQ75" s="290"/>
      <c r="AR75" s="290"/>
      <c r="AS75" s="290"/>
      <c r="AT75" s="290"/>
      <c r="AU75" s="290"/>
      <c r="AV75" s="290"/>
      <c r="AW75" s="290"/>
      <c r="AX75" s="290"/>
      <c r="AY75" s="290"/>
      <c r="AZ75" s="290"/>
      <c r="BA75" s="290"/>
      <c r="BB75" s="290"/>
      <c r="BC75" s="290"/>
      <c r="BD75" s="290"/>
      <c r="BE75" s="290"/>
      <c r="BF75" s="290"/>
      <c r="BG75" s="290"/>
      <c r="BH75" s="290"/>
      <c r="BI75" s="290"/>
      <c r="BJ75" s="290"/>
      <c r="BK75" s="290"/>
      <c r="BL75" s="290"/>
      <c r="BM75" s="290"/>
      <c r="BN75" s="290"/>
      <c r="BO75" s="290"/>
      <c r="BP75" s="290"/>
      <c r="BQ75" s="290"/>
      <c r="BR75" s="290"/>
      <c r="BS75" s="290"/>
      <c r="BT75" s="290"/>
      <c r="BU75" s="352">
        <v>0</v>
      </c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17"/>
      <c r="FE75" s="17"/>
      <c r="FF75" s="17"/>
      <c r="FG75" s="17"/>
      <c r="FH75" s="17"/>
      <c r="FI75" s="17"/>
      <c r="FJ75" s="17"/>
      <c r="FK75" s="17"/>
      <c r="FL75" s="17"/>
      <c r="FM75" s="17"/>
      <c r="FN75" s="17"/>
      <c r="FO75" s="17"/>
      <c r="FP75" s="17"/>
      <c r="FQ75" s="17"/>
      <c r="FR75" s="17"/>
      <c r="FS75" s="17"/>
      <c r="FT75" s="17"/>
      <c r="FU75" s="17"/>
      <c r="FV75" s="17"/>
      <c r="FW75" s="17"/>
      <c r="FX75" s="17"/>
      <c r="FY75" s="17"/>
      <c r="FZ75" s="17"/>
      <c r="GA75" s="17"/>
      <c r="GB75" s="17"/>
      <c r="GC75" s="17"/>
      <c r="GD75" s="17"/>
      <c r="GE75" s="17"/>
      <c r="GF75" s="17"/>
      <c r="GG75" s="17"/>
      <c r="GH75" s="17"/>
      <c r="GI75" s="17"/>
      <c r="GJ75" s="17"/>
      <c r="GK75" s="17"/>
      <c r="GL75" s="17"/>
      <c r="GM75" s="17"/>
      <c r="GN75" s="17"/>
      <c r="GO75" s="17"/>
      <c r="GP75" s="17"/>
      <c r="GQ75" s="17"/>
      <c r="GR75" s="17"/>
      <c r="GS75" s="17"/>
      <c r="GT75" s="17"/>
      <c r="GU75" s="17"/>
      <c r="GV75" s="17"/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</row>
    <row r="76" spans="3:234" ht="15" x14ac:dyDescent="0.25">
      <c r="K76" s="483" t="s">
        <v>107</v>
      </c>
      <c r="L76" s="89" t="s">
        <v>108</v>
      </c>
      <c r="M76" s="104">
        <f>SUM(M77:M81)</f>
        <v>26497535.899999999</v>
      </c>
      <c r="N76" s="290"/>
      <c r="O76" s="290"/>
      <c r="P76" s="290"/>
      <c r="Q76" s="290"/>
      <c r="R76" s="290"/>
      <c r="S76" s="290"/>
      <c r="T76" s="290"/>
      <c r="U76" s="290"/>
      <c r="V76" s="290"/>
      <c r="W76" s="290"/>
      <c r="X76" s="290"/>
      <c r="Y76" s="290"/>
      <c r="Z76" s="290"/>
      <c r="AA76" s="290"/>
      <c r="AB76" s="290"/>
      <c r="AC76" s="290"/>
      <c r="AD76" s="290"/>
      <c r="AE76" s="290"/>
      <c r="AF76" s="290"/>
      <c r="AG76" s="305">
        <f>SUM(AG77:AG81)</f>
        <v>39746303.849999994</v>
      </c>
      <c r="AH76" s="290"/>
      <c r="AI76" s="290"/>
      <c r="AJ76" s="290"/>
      <c r="AK76" s="290"/>
      <c r="AL76" s="290"/>
      <c r="AM76" s="290"/>
      <c r="AN76" s="290"/>
      <c r="AO76" s="290"/>
      <c r="AP76" s="290"/>
      <c r="AQ76" s="290"/>
      <c r="AR76" s="290"/>
      <c r="AS76" s="290"/>
      <c r="AT76" s="290"/>
      <c r="AU76" s="290"/>
      <c r="AV76" s="290"/>
      <c r="AW76" s="290"/>
      <c r="AX76" s="290"/>
      <c r="AY76" s="290"/>
      <c r="AZ76" s="290"/>
      <c r="BA76" s="290"/>
      <c r="BB76" s="290"/>
      <c r="BC76" s="290"/>
      <c r="BD76" s="290"/>
      <c r="BE76" s="290"/>
      <c r="BF76" s="290"/>
      <c r="BG76" s="290"/>
      <c r="BH76" s="290"/>
      <c r="BI76" s="290"/>
      <c r="BJ76" s="290"/>
      <c r="BK76" s="290"/>
      <c r="BL76" s="290"/>
      <c r="BM76" s="290"/>
      <c r="BN76" s="290"/>
      <c r="BO76" s="290"/>
      <c r="BP76" s="290"/>
      <c r="BQ76" s="290"/>
      <c r="BR76" s="290"/>
      <c r="BS76" s="290"/>
      <c r="BT76" s="290"/>
      <c r="BU76" s="35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17"/>
      <c r="FE76" s="17"/>
      <c r="FF76" s="17"/>
      <c r="FG76" s="17"/>
      <c r="FH76" s="17"/>
      <c r="FI76" s="17"/>
      <c r="FJ76" s="17"/>
      <c r="FK76" s="17"/>
      <c r="FL76" s="17"/>
      <c r="FM76" s="17"/>
      <c r="FN76" s="17"/>
      <c r="FO76" s="17"/>
      <c r="FP76" s="17"/>
      <c r="FQ76" s="17"/>
      <c r="FR76" s="17"/>
      <c r="FS76" s="17"/>
      <c r="FT76" s="17"/>
      <c r="FU76" s="17"/>
      <c r="FV76" s="17"/>
      <c r="FW76" s="17"/>
      <c r="FX76" s="17"/>
      <c r="FY76" s="17"/>
      <c r="FZ76" s="17"/>
      <c r="GA76" s="17"/>
      <c r="GB76" s="17"/>
      <c r="GC76" s="17"/>
      <c r="GD76" s="17"/>
      <c r="GE76" s="17"/>
      <c r="GF76" s="17"/>
      <c r="GG76" s="17"/>
      <c r="GH76" s="17"/>
      <c r="GI76" s="17"/>
      <c r="GJ76" s="17"/>
      <c r="GK76" s="17"/>
      <c r="GL76" s="17"/>
      <c r="GM76" s="17"/>
      <c r="GN76" s="17"/>
      <c r="GO76" s="17"/>
      <c r="GP76" s="17"/>
      <c r="GQ76" s="17"/>
      <c r="GR76" s="17"/>
      <c r="GS76" s="17"/>
      <c r="GT76" s="17"/>
      <c r="GU76" s="17"/>
      <c r="GV76" s="17"/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</row>
    <row r="77" spans="3:234" ht="15" x14ac:dyDescent="0.25">
      <c r="K77" s="484"/>
      <c r="L77" s="71" t="s">
        <v>121</v>
      </c>
      <c r="M77" s="104">
        <v>1581466</v>
      </c>
      <c r="N77" s="290"/>
      <c r="O77" s="290"/>
      <c r="P77" s="290"/>
      <c r="Q77" s="290"/>
      <c r="R77" s="290"/>
      <c r="S77" s="290"/>
      <c r="T77" s="290"/>
      <c r="U77" s="290"/>
      <c r="V77" s="290"/>
      <c r="W77" s="290"/>
      <c r="X77" s="290"/>
      <c r="Y77" s="290"/>
      <c r="Z77" s="290"/>
      <c r="AA77" s="290"/>
      <c r="AB77" s="290"/>
      <c r="AC77" s="290"/>
      <c r="AD77" s="290"/>
      <c r="AE77" s="290"/>
      <c r="AF77" s="290"/>
      <c r="AG77" s="415">
        <v>1581465.9999999739</v>
      </c>
      <c r="AH77" s="290"/>
      <c r="AI77" s="290"/>
      <c r="AJ77" s="290"/>
      <c r="AK77" s="290"/>
      <c r="AL77" s="290"/>
      <c r="AM77" s="290"/>
      <c r="AN77" s="290"/>
      <c r="AO77" s="290"/>
      <c r="AP77" s="290"/>
      <c r="AQ77" s="290"/>
      <c r="AR77" s="290"/>
      <c r="AS77" s="290"/>
      <c r="AT77" s="290"/>
      <c r="AU77" s="290"/>
      <c r="AV77" s="290"/>
      <c r="AW77" s="290"/>
      <c r="AX77" s="290"/>
      <c r="AY77" s="290"/>
      <c r="AZ77" s="290"/>
      <c r="BA77" s="290"/>
      <c r="BB77" s="290"/>
      <c r="BC77" s="290"/>
      <c r="BD77" s="290"/>
      <c r="BE77" s="290"/>
      <c r="BF77" s="290"/>
      <c r="BG77" s="290"/>
      <c r="BH77" s="290"/>
      <c r="BI77" s="290"/>
      <c r="BJ77" s="290"/>
      <c r="BK77" s="290"/>
      <c r="BL77" s="290"/>
      <c r="BM77" s="290"/>
      <c r="BN77" s="290"/>
      <c r="BO77" s="290"/>
      <c r="BP77" s="290"/>
      <c r="BQ77" s="290"/>
      <c r="BR77" s="290"/>
      <c r="BS77" s="290"/>
      <c r="BT77" s="290"/>
      <c r="BU77" s="352">
        <v>-1.7233732220128214E-10</v>
      </c>
      <c r="BV77" s="330">
        <f>Calculator_Calculations!Q129</f>
        <v>-1.7233732220128214E-10</v>
      </c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17"/>
      <c r="DT77" s="17"/>
      <c r="DU77" s="17"/>
      <c r="DV77" s="17"/>
      <c r="DW77" s="17"/>
      <c r="DX77" s="17"/>
      <c r="DY77" s="17"/>
      <c r="DZ77" s="17"/>
      <c r="EA77" s="17"/>
      <c r="EB77" s="17"/>
      <c r="EC77" s="17"/>
      <c r="ED77" s="17"/>
      <c r="EE77" s="17"/>
      <c r="EF77" s="17"/>
      <c r="EG77" s="17"/>
      <c r="EH77" s="17"/>
      <c r="EI77" s="17"/>
      <c r="EJ77" s="17"/>
      <c r="EK77" s="17"/>
      <c r="EL77" s="17"/>
      <c r="EM77" s="17"/>
      <c r="EN77" s="17"/>
      <c r="EO77" s="17"/>
      <c r="EP77" s="17"/>
      <c r="EQ77" s="17"/>
      <c r="ER77" s="17"/>
      <c r="ES77" s="17"/>
      <c r="ET77" s="17"/>
      <c r="EU77" s="17"/>
      <c r="EV77" s="17"/>
      <c r="EW77" s="17"/>
      <c r="EX77" s="17"/>
      <c r="EY77" s="17"/>
      <c r="EZ77" s="17"/>
      <c r="FA77" s="17"/>
      <c r="FB77" s="17"/>
      <c r="FC77" s="17"/>
      <c r="FD77" s="17"/>
      <c r="FE77" s="17"/>
      <c r="FF77" s="17"/>
      <c r="FG77" s="17"/>
      <c r="FH77" s="17"/>
      <c r="FI77" s="17"/>
      <c r="FJ77" s="17"/>
      <c r="FK77" s="17"/>
      <c r="FL77" s="17"/>
      <c r="FM77" s="17"/>
      <c r="FN77" s="17"/>
      <c r="FO77" s="17"/>
      <c r="FP77" s="17"/>
      <c r="FQ77" s="17"/>
      <c r="FR77" s="17"/>
      <c r="FS77" s="17"/>
      <c r="FT77" s="17"/>
      <c r="FU77" s="17"/>
      <c r="FV77" s="17"/>
      <c r="FW77" s="17"/>
      <c r="FX77" s="17"/>
      <c r="FY77" s="17"/>
      <c r="FZ77" s="17"/>
      <c r="GA77" s="17"/>
      <c r="GB77" s="17"/>
      <c r="GC77" s="17"/>
      <c r="GD77" s="17"/>
      <c r="GE77" s="17"/>
      <c r="GF77" s="17"/>
      <c r="GG77" s="17"/>
      <c r="GH77" s="17"/>
      <c r="GI77" s="17"/>
      <c r="GJ77" s="17"/>
      <c r="GK77" s="17"/>
      <c r="GL77" s="17"/>
      <c r="GM77" s="17"/>
      <c r="GN77" s="17"/>
      <c r="GO77" s="17"/>
      <c r="GP77" s="17"/>
      <c r="GQ77" s="17"/>
      <c r="GR77" s="17"/>
      <c r="GS77" s="17"/>
      <c r="GT77" s="17"/>
      <c r="GU77" s="17"/>
      <c r="GV77" s="17"/>
      <c r="GW77" s="17"/>
      <c r="GX77" s="17"/>
      <c r="GY77" s="17"/>
      <c r="GZ77" s="17"/>
      <c r="HA77" s="17"/>
      <c r="HB77" s="17"/>
      <c r="HC77" s="17"/>
      <c r="HD77" s="17"/>
      <c r="HE77" s="17"/>
      <c r="HF77" s="17"/>
      <c r="HG77" s="17"/>
      <c r="HH77" s="17"/>
      <c r="HI77" s="17"/>
      <c r="HJ77" s="17"/>
      <c r="HK77" s="17"/>
      <c r="HL77" s="17"/>
      <c r="HM77" s="17"/>
      <c r="HN77" s="17"/>
      <c r="HO77" s="17"/>
      <c r="HP77" s="17"/>
      <c r="HQ77" s="17"/>
      <c r="HR77" s="17"/>
      <c r="HS77" s="17"/>
      <c r="HT77" s="17"/>
      <c r="HU77" s="17"/>
      <c r="HV77" s="17"/>
      <c r="HW77" s="17"/>
      <c r="HX77" s="17"/>
      <c r="HY77" s="17"/>
      <c r="HZ77" s="17"/>
    </row>
    <row r="78" spans="3:234" ht="15" x14ac:dyDescent="0.25">
      <c r="K78" s="484"/>
      <c r="L78" s="71" t="s">
        <v>110</v>
      </c>
      <c r="M78" s="104">
        <v>10713001</v>
      </c>
      <c r="N78" s="290"/>
      <c r="O78" s="290"/>
      <c r="P78" s="290"/>
      <c r="Q78" s="290"/>
      <c r="R78" s="290"/>
      <c r="S78" s="290"/>
      <c r="T78" s="290"/>
      <c r="U78" s="290"/>
      <c r="V78" s="290"/>
      <c r="W78" s="290"/>
      <c r="X78" s="290"/>
      <c r="Y78" s="290"/>
      <c r="Z78" s="290"/>
      <c r="AA78" s="290"/>
      <c r="AB78" s="290"/>
      <c r="AC78" s="290"/>
      <c r="AD78" s="290"/>
      <c r="AE78" s="290"/>
      <c r="AF78" s="290"/>
      <c r="AG78" s="415">
        <v>15809065.181377295</v>
      </c>
      <c r="AH78" s="290"/>
      <c r="AI78" s="290"/>
      <c r="AJ78" s="290"/>
      <c r="AK78" s="290"/>
      <c r="AL78" s="290"/>
      <c r="AM78" s="290"/>
      <c r="AN78" s="290"/>
      <c r="AO78" s="290"/>
      <c r="AP78" s="290"/>
      <c r="AQ78" s="290"/>
      <c r="AR78" s="290"/>
      <c r="AS78" s="290"/>
      <c r="AT78" s="290"/>
      <c r="AU78" s="290"/>
      <c r="AV78" s="290"/>
      <c r="AW78" s="290"/>
      <c r="AX78" s="290"/>
      <c r="AY78" s="290"/>
      <c r="AZ78" s="290"/>
      <c r="BA78" s="290"/>
      <c r="BB78" s="290"/>
      <c r="BC78" s="290"/>
      <c r="BD78" s="290"/>
      <c r="BE78" s="290"/>
      <c r="BF78" s="290"/>
      <c r="BG78" s="290"/>
      <c r="BH78" s="290"/>
      <c r="BI78" s="290"/>
      <c r="BJ78" s="290"/>
      <c r="BK78" s="290"/>
      <c r="BL78" s="290"/>
      <c r="BM78" s="290"/>
      <c r="BN78" s="290"/>
      <c r="BO78" s="290"/>
      <c r="BP78" s="290"/>
      <c r="BQ78" s="290"/>
      <c r="BR78" s="290"/>
      <c r="BS78" s="290"/>
      <c r="BT78" s="290"/>
      <c r="BU78" s="352">
        <v>41475.108632684904</v>
      </c>
      <c r="BV78" s="330">
        <f>Calculator_Calculations!Q130</f>
        <v>41475.108632684904</v>
      </c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</row>
    <row r="79" spans="3:234" ht="15" x14ac:dyDescent="0.25">
      <c r="K79" s="484"/>
      <c r="L79" s="71" t="s">
        <v>212</v>
      </c>
      <c r="M79" s="104">
        <v>1248949</v>
      </c>
      <c r="N79" s="290"/>
      <c r="O79" s="290"/>
      <c r="P79" s="290"/>
      <c r="Q79" s="290"/>
      <c r="R79" s="290"/>
      <c r="S79" s="290"/>
      <c r="T79" s="290"/>
      <c r="U79" s="290"/>
      <c r="V79" s="290"/>
      <c r="W79" s="290"/>
      <c r="X79" s="290"/>
      <c r="Y79" s="290"/>
      <c r="Z79" s="290"/>
      <c r="AA79" s="290"/>
      <c r="AB79" s="290"/>
      <c r="AC79" s="290"/>
      <c r="AD79" s="290"/>
      <c r="AE79" s="290"/>
      <c r="AF79" s="290"/>
      <c r="AG79" s="415">
        <v>1248949</v>
      </c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352">
        <v>0</v>
      </c>
      <c r="BV79" s="330">
        <f>Calculator_Calculations!Q131</f>
        <v>0</v>
      </c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72"/>
      <c r="CH79" s="72"/>
      <c r="CI79" s="72"/>
      <c r="CJ79" s="72"/>
      <c r="CK79" s="72"/>
      <c r="CL79" s="72"/>
      <c r="CM79" s="72"/>
      <c r="CN79" s="72"/>
      <c r="CO79" s="72"/>
      <c r="CP79" s="72"/>
      <c r="CQ79" s="72"/>
      <c r="CR79" s="72"/>
      <c r="CS79" s="72"/>
      <c r="CT79" s="72"/>
      <c r="CU79" s="72"/>
      <c r="CV79" s="72"/>
      <c r="CW79" s="72"/>
      <c r="CX79" s="72"/>
      <c r="CY79" s="72"/>
      <c r="CZ79" s="72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  <c r="DR79" s="17"/>
      <c r="DS79" s="17"/>
      <c r="DT79" s="17"/>
      <c r="DU79" s="17"/>
      <c r="DV79" s="17"/>
      <c r="DW79" s="17"/>
      <c r="DX79" s="17"/>
      <c r="DY79" s="17"/>
      <c r="DZ79" s="17"/>
      <c r="EA79" s="17"/>
      <c r="EB79" s="17"/>
      <c r="EC79" s="17"/>
      <c r="ED79" s="17"/>
      <c r="EE79" s="17"/>
      <c r="EF79" s="17"/>
      <c r="EG79" s="17"/>
      <c r="EH79" s="17"/>
      <c r="EI79" s="17"/>
      <c r="EJ79" s="17"/>
      <c r="EK79" s="17"/>
      <c r="EL79" s="17"/>
      <c r="EM79" s="17"/>
      <c r="EN79" s="17"/>
      <c r="EO79" s="17"/>
      <c r="EP79" s="17"/>
      <c r="EQ79" s="17"/>
      <c r="ER79" s="17"/>
      <c r="ES79" s="17"/>
      <c r="ET79" s="17"/>
      <c r="EU79" s="17"/>
      <c r="EV79" s="17"/>
      <c r="EW79" s="17"/>
      <c r="EX79" s="17"/>
      <c r="EY79" s="17"/>
      <c r="EZ79" s="17"/>
      <c r="FA79" s="17"/>
      <c r="FB79" s="17"/>
      <c r="FC79" s="17"/>
      <c r="FD79" s="17"/>
      <c r="FE79" s="17"/>
      <c r="FF79" s="17"/>
      <c r="FG79" s="17"/>
      <c r="FH79" s="17"/>
      <c r="FI79" s="17"/>
      <c r="FJ79" s="17"/>
      <c r="FK79" s="17"/>
      <c r="FL79" s="17"/>
      <c r="FM79" s="17"/>
      <c r="FN79" s="17"/>
      <c r="FO79" s="17"/>
      <c r="FP79" s="17"/>
      <c r="FQ79" s="17"/>
      <c r="FR79" s="17"/>
      <c r="FS79" s="17"/>
      <c r="FT79" s="17"/>
      <c r="FU79" s="17"/>
      <c r="FV79" s="17"/>
      <c r="FW79" s="17"/>
      <c r="FX79" s="17"/>
      <c r="FY79" s="17"/>
      <c r="FZ79" s="17"/>
      <c r="GA79" s="17"/>
      <c r="GB79" s="17"/>
      <c r="GC79" s="17"/>
      <c r="GD79" s="17"/>
      <c r="GE79" s="17"/>
      <c r="GF79" s="17"/>
      <c r="GG79" s="17"/>
      <c r="GH79" s="17"/>
      <c r="GI79" s="17"/>
      <c r="GJ79" s="17"/>
      <c r="GK79" s="17"/>
      <c r="GL79" s="17"/>
      <c r="GM79" s="17"/>
      <c r="GN79" s="17"/>
      <c r="GO79" s="17"/>
      <c r="GP79" s="17"/>
      <c r="GQ79" s="17"/>
      <c r="GR79" s="17"/>
      <c r="GS79" s="17"/>
      <c r="GT79" s="17"/>
      <c r="GU79" s="17"/>
      <c r="GV79" s="17"/>
      <c r="GW79" s="17"/>
      <c r="GX79" s="17"/>
      <c r="GY79" s="17"/>
      <c r="GZ79" s="17"/>
      <c r="HA79" s="17"/>
      <c r="HB79" s="17"/>
      <c r="HC79" s="17"/>
      <c r="HD79" s="17"/>
      <c r="HE79" s="17"/>
      <c r="HF79" s="17"/>
      <c r="HG79" s="17"/>
      <c r="HH79" s="17"/>
      <c r="HI79" s="17"/>
      <c r="HJ79" s="17"/>
      <c r="HK79" s="17"/>
      <c r="HL79" s="17"/>
      <c r="HM79" s="17"/>
      <c r="HN79" s="17"/>
      <c r="HO79" s="17"/>
      <c r="HP79" s="17"/>
      <c r="HQ79" s="17"/>
      <c r="HR79" s="17"/>
      <c r="HS79" s="17"/>
      <c r="HT79" s="17"/>
      <c r="HU79" s="17"/>
      <c r="HV79" s="17"/>
      <c r="HW79" s="17"/>
      <c r="HX79" s="17"/>
      <c r="HY79" s="17"/>
      <c r="HZ79" s="17"/>
    </row>
    <row r="80" spans="3:234" ht="15" x14ac:dyDescent="0.25">
      <c r="K80" s="484"/>
      <c r="L80" s="71" t="s">
        <v>106</v>
      </c>
      <c r="M80" s="104">
        <v>578495.69999999995</v>
      </c>
      <c r="N80" s="290"/>
      <c r="O80" s="290"/>
      <c r="P80" s="290"/>
      <c r="Q80" s="290"/>
      <c r="R80" s="290"/>
      <c r="S80" s="290"/>
      <c r="T80" s="290"/>
      <c r="U80" s="290"/>
      <c r="V80" s="290"/>
      <c r="W80" s="290"/>
      <c r="X80" s="290"/>
      <c r="Y80" s="290"/>
      <c r="Z80" s="290"/>
      <c r="AA80" s="290"/>
      <c r="AB80" s="290"/>
      <c r="AC80" s="290"/>
      <c r="AD80" s="290"/>
      <c r="AE80" s="290"/>
      <c r="AF80" s="290"/>
      <c r="AG80" s="415">
        <v>8731199.4686227199</v>
      </c>
      <c r="AH80" s="290"/>
      <c r="AI80" s="290"/>
      <c r="AJ80" s="290"/>
      <c r="AK80" s="290"/>
      <c r="AL80" s="290"/>
      <c r="AM80" s="290"/>
      <c r="AN80" s="290"/>
      <c r="AO80" s="290"/>
      <c r="AP80" s="290"/>
      <c r="AQ80" s="290"/>
      <c r="AR80" s="290"/>
      <c r="AS80" s="290"/>
      <c r="AT80" s="290"/>
      <c r="AU80" s="290"/>
      <c r="AV80" s="290"/>
      <c r="AW80" s="290"/>
      <c r="AX80" s="290"/>
      <c r="AY80" s="290"/>
      <c r="AZ80" s="290"/>
      <c r="BA80" s="290"/>
      <c r="BB80" s="290"/>
      <c r="BC80" s="290"/>
      <c r="BD80" s="290"/>
      <c r="BE80" s="290"/>
      <c r="BF80" s="290"/>
      <c r="BG80" s="290"/>
      <c r="BH80" s="290"/>
      <c r="BI80" s="290"/>
      <c r="BJ80" s="290"/>
      <c r="BK80" s="290"/>
      <c r="BL80" s="290"/>
      <c r="BM80" s="290"/>
      <c r="BN80" s="290"/>
      <c r="BO80" s="290"/>
      <c r="BP80" s="290"/>
      <c r="BQ80" s="290"/>
      <c r="BR80" s="290"/>
      <c r="BS80" s="290"/>
      <c r="BT80" s="290"/>
      <c r="BU80" s="352">
        <v>218887.08072551744</v>
      </c>
      <c r="BV80" s="330">
        <f>Calculator_Calculations!Q132</f>
        <v>218887.08072551744</v>
      </c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  <c r="DR80" s="17"/>
      <c r="DS80" s="17"/>
      <c r="DT80" s="17"/>
      <c r="DU80" s="17"/>
      <c r="DV80" s="17"/>
      <c r="DW80" s="17"/>
      <c r="DX80" s="17"/>
      <c r="DY80" s="17"/>
      <c r="DZ80" s="17"/>
      <c r="EA80" s="17"/>
      <c r="EB80" s="17"/>
      <c r="EC80" s="17"/>
      <c r="ED80" s="17"/>
      <c r="EE80" s="17"/>
      <c r="EF80" s="17"/>
      <c r="EG80" s="17"/>
      <c r="EH80" s="17"/>
      <c r="EI80" s="17"/>
      <c r="EJ80" s="17"/>
      <c r="EK80" s="17"/>
      <c r="EL80" s="17"/>
      <c r="EM80" s="17"/>
      <c r="EN80" s="17"/>
      <c r="EO80" s="17"/>
      <c r="EP80" s="17"/>
      <c r="EQ80" s="17"/>
      <c r="ER80" s="17"/>
      <c r="ES80" s="17"/>
      <c r="ET80" s="17"/>
      <c r="EU80" s="17"/>
      <c r="EV80" s="17"/>
      <c r="EW80" s="17"/>
      <c r="EX80" s="17"/>
      <c r="EY80" s="17"/>
      <c r="EZ80" s="17"/>
      <c r="FA80" s="17"/>
      <c r="FB80" s="17"/>
      <c r="FC80" s="17"/>
      <c r="FD80" s="17"/>
      <c r="FE80" s="17"/>
      <c r="FF80" s="17"/>
      <c r="FG80" s="17"/>
      <c r="FH80" s="17"/>
      <c r="FI80" s="17"/>
      <c r="FJ80" s="17"/>
      <c r="FK80" s="17"/>
      <c r="FL80" s="17"/>
      <c r="FM80" s="17"/>
      <c r="FN80" s="17"/>
      <c r="FO80" s="17"/>
      <c r="FP80" s="17"/>
      <c r="FQ80" s="17"/>
      <c r="FR80" s="17"/>
      <c r="FS80" s="17"/>
      <c r="FT80" s="17"/>
      <c r="FU80" s="17"/>
      <c r="FV80" s="17"/>
      <c r="FW80" s="17"/>
      <c r="FX80" s="17"/>
      <c r="FY80" s="17"/>
      <c r="FZ80" s="17"/>
      <c r="GA80" s="17"/>
      <c r="GB80" s="17"/>
      <c r="GC80" s="17"/>
      <c r="GD80" s="17"/>
      <c r="GE80" s="17"/>
      <c r="GF80" s="17"/>
      <c r="GG80" s="17"/>
      <c r="GH80" s="17"/>
      <c r="GI80" s="17"/>
      <c r="GJ80" s="17"/>
      <c r="GK80" s="17"/>
      <c r="GL80" s="17"/>
      <c r="GM80" s="17"/>
      <c r="GN80" s="17"/>
      <c r="GO80" s="17"/>
      <c r="GP80" s="17"/>
      <c r="GQ80" s="17"/>
      <c r="GR80" s="17"/>
      <c r="GS80" s="17"/>
      <c r="GT80" s="17"/>
      <c r="GU80" s="17"/>
      <c r="GV80" s="17"/>
      <c r="GW80" s="17"/>
      <c r="GX80" s="17"/>
      <c r="GY80" s="17"/>
      <c r="GZ80" s="17"/>
      <c r="HA80" s="17"/>
      <c r="HB80" s="17"/>
      <c r="HC80" s="17"/>
      <c r="HD80" s="17"/>
      <c r="HE80" s="17"/>
      <c r="HF80" s="17"/>
      <c r="HG80" s="17"/>
      <c r="HH80" s="17"/>
      <c r="HI80" s="17"/>
      <c r="HJ80" s="17"/>
      <c r="HK80" s="17"/>
      <c r="HL80" s="17"/>
      <c r="HM80" s="17"/>
      <c r="HN80" s="17"/>
      <c r="HO80" s="17"/>
      <c r="HP80" s="17"/>
      <c r="HQ80" s="17"/>
      <c r="HR80" s="17"/>
      <c r="HS80" s="17"/>
      <c r="HT80" s="17"/>
      <c r="HU80" s="17"/>
      <c r="HV80" s="17"/>
      <c r="HW80" s="17"/>
      <c r="HX80" s="17"/>
      <c r="HY80" s="17"/>
      <c r="HZ80" s="17"/>
    </row>
    <row r="81" spans="11:234" ht="15.75" thickBot="1" x14ac:dyDescent="0.3">
      <c r="K81" s="485"/>
      <c r="L81" s="73" t="s">
        <v>111</v>
      </c>
      <c r="M81" s="104">
        <v>12375624.199999999</v>
      </c>
      <c r="N81" s="290"/>
      <c r="O81" s="290"/>
      <c r="P81" s="290"/>
      <c r="Q81" s="290"/>
      <c r="R81" s="290"/>
      <c r="S81" s="290"/>
      <c r="T81" s="290"/>
      <c r="U81" s="290"/>
      <c r="V81" s="290"/>
      <c r="W81" s="290"/>
      <c r="X81" s="290"/>
      <c r="Y81" s="290"/>
      <c r="Z81" s="290"/>
      <c r="AA81" s="290"/>
      <c r="AB81" s="290"/>
      <c r="AC81" s="290"/>
      <c r="AD81" s="290"/>
      <c r="AE81" s="290"/>
      <c r="AF81" s="290"/>
      <c r="AG81" s="415">
        <v>12375624.199999999</v>
      </c>
      <c r="AH81" s="290"/>
      <c r="AI81" s="290"/>
      <c r="AJ81" s="290"/>
      <c r="AK81" s="290"/>
      <c r="AL81" s="290"/>
      <c r="AM81" s="290"/>
      <c r="AN81" s="290"/>
      <c r="AO81" s="290"/>
      <c r="AP81" s="290"/>
      <c r="AQ81" s="290"/>
      <c r="AR81" s="290"/>
      <c r="AS81" s="290"/>
      <c r="AT81" s="290"/>
      <c r="AU81" s="290"/>
      <c r="AV81" s="290"/>
      <c r="AW81" s="290"/>
      <c r="AX81" s="290"/>
      <c r="AY81" s="290"/>
      <c r="AZ81" s="290"/>
      <c r="BA81" s="290"/>
      <c r="BB81" s="290"/>
      <c r="BC81" s="290"/>
      <c r="BD81" s="290"/>
      <c r="BE81" s="290"/>
      <c r="BF81" s="290"/>
      <c r="BG81" s="290"/>
      <c r="BH81" s="290"/>
      <c r="BI81" s="290"/>
      <c r="BJ81" s="290"/>
      <c r="BK81" s="290"/>
      <c r="BL81" s="290"/>
      <c r="BM81" s="290"/>
      <c r="BN81" s="290"/>
      <c r="BO81" s="290"/>
      <c r="BP81" s="290"/>
      <c r="BQ81" s="290"/>
      <c r="BR81" s="290"/>
      <c r="BS81" s="290"/>
      <c r="BT81" s="290"/>
      <c r="BU81" s="352">
        <v>0</v>
      </c>
      <c r="BV81" s="330">
        <f>Calculator_Calculations!Q133</f>
        <v>0</v>
      </c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/>
      <c r="DO81" s="17"/>
      <c r="DP81" s="17"/>
      <c r="DQ81" s="17"/>
      <c r="DR81" s="17"/>
      <c r="DS81" s="17"/>
      <c r="DT81" s="17"/>
      <c r="DU81" s="17"/>
      <c r="DV81" s="17"/>
      <c r="DW81" s="17"/>
      <c r="DX81" s="17"/>
      <c r="DY81" s="17"/>
      <c r="DZ81" s="17"/>
      <c r="EA81" s="17"/>
      <c r="EB81" s="17"/>
      <c r="EC81" s="17"/>
      <c r="ED81" s="17"/>
      <c r="EE81" s="17"/>
      <c r="EF81" s="17"/>
      <c r="EG81" s="17"/>
      <c r="EH81" s="17"/>
      <c r="EI81" s="17"/>
      <c r="EJ81" s="17"/>
      <c r="EK81" s="17"/>
      <c r="EL81" s="17"/>
      <c r="EM81" s="17"/>
      <c r="EN81" s="17"/>
      <c r="EO81" s="17"/>
      <c r="EP81" s="17"/>
      <c r="EQ81" s="17"/>
      <c r="ER81" s="17"/>
      <c r="ES81" s="17"/>
      <c r="ET81" s="17"/>
      <c r="EU81" s="17"/>
      <c r="EV81" s="17"/>
      <c r="EW81" s="17"/>
      <c r="EX81" s="17"/>
      <c r="EY81" s="17"/>
      <c r="EZ81" s="17"/>
      <c r="FA81" s="17"/>
      <c r="FB81" s="17"/>
      <c r="FC81" s="17"/>
      <c r="FD81" s="17"/>
      <c r="FE81" s="17"/>
      <c r="FF81" s="17"/>
      <c r="FG81" s="17"/>
      <c r="FH81" s="17"/>
      <c r="FI81" s="17"/>
      <c r="FJ81" s="17"/>
      <c r="FK81" s="17"/>
      <c r="FL81" s="17"/>
      <c r="FM81" s="17"/>
      <c r="FN81" s="17"/>
      <c r="FO81" s="17"/>
      <c r="FP81" s="17"/>
      <c r="FQ81" s="17"/>
      <c r="FR81" s="17"/>
      <c r="FS81" s="17"/>
      <c r="FT81" s="17"/>
      <c r="FU81" s="17"/>
      <c r="FV81" s="17"/>
      <c r="FW81" s="17"/>
      <c r="FX81" s="17"/>
      <c r="FY81" s="17"/>
      <c r="FZ81" s="17"/>
      <c r="GA81" s="17"/>
      <c r="GB81" s="17"/>
      <c r="GC81" s="17"/>
      <c r="GD81" s="17"/>
      <c r="GE81" s="17"/>
      <c r="GF81" s="17"/>
      <c r="GG81" s="17"/>
      <c r="GH81" s="17"/>
      <c r="GI81" s="17"/>
      <c r="GJ81" s="17"/>
      <c r="GK81" s="17"/>
      <c r="GL81" s="17"/>
      <c r="GM81" s="17"/>
      <c r="GN81" s="17"/>
      <c r="GO81" s="17"/>
      <c r="GP81" s="17"/>
      <c r="GQ81" s="17"/>
      <c r="GR81" s="17"/>
      <c r="GS81" s="17"/>
      <c r="GT81" s="17"/>
      <c r="GU81" s="17"/>
      <c r="GV81" s="17"/>
      <c r="GW81" s="17"/>
      <c r="GX81" s="17"/>
      <c r="GY81" s="17"/>
      <c r="GZ81" s="17"/>
      <c r="HA81" s="17"/>
      <c r="HB81" s="17"/>
      <c r="HC81" s="17"/>
      <c r="HD81" s="17"/>
      <c r="HE81" s="17"/>
      <c r="HF81" s="17"/>
      <c r="HG81" s="17"/>
      <c r="HH81" s="17"/>
      <c r="HI81" s="17"/>
      <c r="HJ81" s="17"/>
      <c r="HK81" s="17"/>
      <c r="HL81" s="17"/>
      <c r="HM81" s="17"/>
      <c r="HN81" s="17"/>
      <c r="HO81" s="17"/>
      <c r="HP81" s="17"/>
      <c r="HQ81" s="17"/>
      <c r="HR81" s="17"/>
      <c r="HS81" s="17"/>
      <c r="HT81" s="17"/>
      <c r="HU81" s="17"/>
      <c r="HV81" s="17"/>
      <c r="HW81" s="17"/>
      <c r="HX81" s="17"/>
      <c r="HY81" s="17"/>
      <c r="HZ81" s="17"/>
    </row>
    <row r="82" spans="11:234" ht="15.75" thickBot="1" x14ac:dyDescent="0.3">
      <c r="K82" s="347" t="s">
        <v>263</v>
      </c>
      <c r="L82" s="346" t="s">
        <v>253</v>
      </c>
      <c r="M82" s="104">
        <v>4296500</v>
      </c>
      <c r="N82" s="299"/>
      <c r="O82" s="299"/>
      <c r="P82" s="299"/>
      <c r="Q82" s="299"/>
      <c r="R82" s="299"/>
      <c r="S82" s="299"/>
      <c r="T82" s="299"/>
      <c r="U82" s="299"/>
      <c r="V82" s="299"/>
      <c r="W82" s="304"/>
      <c r="X82" s="299"/>
      <c r="Y82" s="299"/>
      <c r="Z82" s="299"/>
      <c r="AA82" s="299"/>
      <c r="AB82" s="299"/>
      <c r="AC82" s="299"/>
      <c r="AD82" s="299"/>
      <c r="AE82" s="299"/>
      <c r="AF82" s="299"/>
      <c r="AG82" s="415">
        <v>4296500</v>
      </c>
      <c r="AH82" s="304"/>
      <c r="AI82" s="304"/>
      <c r="AJ82" s="304"/>
      <c r="AK82" s="304"/>
      <c r="AL82" s="304"/>
      <c r="AM82" s="304"/>
      <c r="AN82" s="304"/>
      <c r="AO82" s="304"/>
      <c r="AP82" s="289"/>
      <c r="AQ82" s="290"/>
      <c r="AR82" s="290"/>
      <c r="AS82" s="290"/>
      <c r="AT82" s="290"/>
      <c r="AU82" s="290"/>
      <c r="AV82" s="290"/>
      <c r="AW82" s="290"/>
      <c r="AX82" s="290"/>
      <c r="AY82" s="290"/>
      <c r="AZ82" s="290"/>
      <c r="BA82" s="290"/>
      <c r="BB82" s="290"/>
      <c r="BC82" s="290"/>
      <c r="BD82" s="290"/>
      <c r="BE82" s="290"/>
      <c r="BF82" s="290"/>
      <c r="BG82" s="290"/>
      <c r="BH82" s="290"/>
      <c r="BI82" s="290"/>
      <c r="BJ82" s="290"/>
      <c r="BK82" s="290"/>
      <c r="BL82" s="290"/>
      <c r="BM82" s="290"/>
      <c r="BN82" s="290"/>
      <c r="BO82" s="290"/>
      <c r="BP82" s="290"/>
      <c r="BQ82" s="290"/>
      <c r="BR82" s="290"/>
      <c r="BS82" s="290"/>
      <c r="BT82" s="290"/>
      <c r="BU82" s="352">
        <v>0</v>
      </c>
      <c r="BV82" s="467">
        <f>Calculator_Calculations!Q147</f>
        <v>0</v>
      </c>
      <c r="BW82" s="17"/>
      <c r="BX82" s="17"/>
      <c r="BY82" s="17"/>
      <c r="BZ82" s="17"/>
      <c r="CA82" s="17"/>
      <c r="CB82" s="17"/>
      <c r="CC82" s="17"/>
      <c r="CD82" s="17"/>
      <c r="CE82" s="17"/>
      <c r="CF82" s="1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17"/>
      <c r="DR82" s="17"/>
      <c r="DS82" s="17"/>
      <c r="DT82" s="17"/>
      <c r="DU82" s="17"/>
      <c r="DV82" s="17"/>
      <c r="DW82" s="17"/>
      <c r="DX82" s="17"/>
      <c r="DY82" s="17"/>
      <c r="DZ82" s="17"/>
      <c r="EA82" s="17"/>
      <c r="EB82" s="17"/>
      <c r="EC82" s="17"/>
      <c r="ED82" s="17"/>
      <c r="EE82" s="17"/>
      <c r="EF82" s="17"/>
      <c r="EG82" s="17"/>
      <c r="EH82" s="17"/>
      <c r="EI82" s="17"/>
      <c r="EJ82" s="17"/>
      <c r="EK82" s="17"/>
      <c r="EL82" s="17"/>
      <c r="EM82" s="17"/>
      <c r="EN82" s="17"/>
      <c r="EO82" s="17"/>
      <c r="EP82" s="17"/>
      <c r="EQ82" s="17"/>
      <c r="ER82" s="17"/>
      <c r="ES82" s="17"/>
      <c r="ET82" s="17"/>
      <c r="EU82" s="17"/>
      <c r="EV82" s="17"/>
      <c r="EW82" s="17"/>
      <c r="EX82" s="17"/>
      <c r="EY82" s="17"/>
      <c r="EZ82" s="17"/>
      <c r="FA82" s="17"/>
      <c r="FB82" s="17"/>
      <c r="FC82" s="17"/>
      <c r="FD82" s="17"/>
      <c r="FE82" s="17"/>
      <c r="FF82" s="17"/>
      <c r="FG82" s="17"/>
      <c r="FH82" s="17"/>
      <c r="FI82" s="17"/>
      <c r="FJ82" s="17"/>
      <c r="FK82" s="17"/>
      <c r="FL82" s="17"/>
      <c r="FM82" s="17"/>
      <c r="FN82" s="17"/>
      <c r="FO82" s="17"/>
      <c r="FP82" s="17"/>
      <c r="FQ82" s="17"/>
      <c r="FR82" s="17"/>
      <c r="FS82" s="17"/>
      <c r="FT82" s="17"/>
      <c r="FU82" s="17"/>
      <c r="FV82" s="17"/>
      <c r="FW82" s="17"/>
      <c r="FX82" s="17"/>
      <c r="FY82" s="17"/>
      <c r="FZ82" s="17"/>
      <c r="GA82" s="17"/>
      <c r="GB82" s="17"/>
      <c r="GC82" s="17"/>
      <c r="GD82" s="17"/>
      <c r="GE82" s="17"/>
      <c r="GF82" s="17"/>
      <c r="GG82" s="17"/>
      <c r="GH82" s="17"/>
      <c r="GI82" s="17"/>
      <c r="GJ82" s="17"/>
      <c r="GK82" s="17"/>
      <c r="GL82" s="17"/>
      <c r="GM82" s="17"/>
      <c r="GN82" s="17"/>
      <c r="GO82" s="17"/>
      <c r="GP82" s="17"/>
      <c r="GQ82" s="17"/>
      <c r="GR82" s="17"/>
      <c r="GS82" s="17"/>
      <c r="GT82" s="17"/>
      <c r="GU82" s="17"/>
      <c r="GV82" s="17"/>
      <c r="GW82" s="17"/>
      <c r="GX82" s="17"/>
      <c r="GY82" s="17"/>
      <c r="GZ82" s="17"/>
      <c r="HA82" s="17"/>
      <c r="HB82" s="17"/>
      <c r="HC82" s="17"/>
      <c r="HD82" s="17"/>
      <c r="HE82" s="17"/>
      <c r="HF82" s="17"/>
      <c r="HG82" s="17"/>
      <c r="HH82" s="17"/>
      <c r="HI82" s="17"/>
      <c r="HJ82" s="17"/>
      <c r="HK82" s="17"/>
      <c r="HL82" s="17"/>
      <c r="HM82" s="17"/>
      <c r="HN82" s="17"/>
      <c r="HO82" s="17"/>
      <c r="HP82" s="17"/>
      <c r="HQ82" s="17"/>
      <c r="HR82" s="17"/>
      <c r="HS82" s="17"/>
      <c r="HT82" s="17"/>
      <c r="HU82" s="17"/>
      <c r="HV82" s="17"/>
      <c r="HW82" s="17"/>
      <c r="HX82" s="17"/>
      <c r="HY82" s="17"/>
      <c r="HZ82" s="17"/>
    </row>
    <row r="83" spans="11:234" ht="15" x14ac:dyDescent="0.25"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17"/>
      <c r="CF83" s="1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17"/>
      <c r="DR83" s="17"/>
      <c r="DS83" s="17"/>
      <c r="DT83" s="17"/>
      <c r="DU83" s="17"/>
      <c r="DV83" s="17"/>
      <c r="DW83" s="17"/>
      <c r="DX83" s="17"/>
      <c r="DY83" s="17"/>
      <c r="DZ83" s="17"/>
      <c r="EA83" s="17"/>
      <c r="EB83" s="17"/>
      <c r="EC83" s="17"/>
      <c r="ED83" s="17"/>
      <c r="EE83" s="17"/>
      <c r="EF83" s="17"/>
      <c r="EG83" s="17"/>
      <c r="EH83" s="17"/>
      <c r="EI83" s="17"/>
      <c r="EJ83" s="17"/>
      <c r="EK83" s="17"/>
      <c r="EL83" s="17"/>
      <c r="EM83" s="17"/>
      <c r="EN83" s="17"/>
      <c r="EO83" s="17"/>
      <c r="EP83" s="17"/>
      <c r="EQ83" s="17"/>
      <c r="ER83" s="17"/>
      <c r="ES83" s="17"/>
      <c r="ET83" s="17"/>
      <c r="EU83" s="17"/>
      <c r="EV83" s="17"/>
      <c r="EW83" s="17"/>
      <c r="EX83" s="17"/>
      <c r="EY83" s="17"/>
      <c r="EZ83" s="17"/>
      <c r="FA83" s="17"/>
      <c r="FB83" s="17"/>
      <c r="FC83" s="17"/>
      <c r="FD83" s="17"/>
      <c r="FE83" s="17"/>
      <c r="FF83" s="17"/>
      <c r="FG83" s="17"/>
      <c r="FH83" s="17"/>
      <c r="FI83" s="17"/>
      <c r="FJ83" s="17"/>
      <c r="FK83" s="17"/>
      <c r="FL83" s="17"/>
      <c r="FM83" s="17"/>
      <c r="FN83" s="17"/>
      <c r="FO83" s="17"/>
      <c r="FP83" s="17"/>
      <c r="FQ83" s="17"/>
      <c r="FR83" s="17"/>
      <c r="FS83" s="17"/>
      <c r="FT83" s="17"/>
      <c r="FU83" s="17"/>
      <c r="FV83" s="17"/>
      <c r="FW83" s="17"/>
      <c r="FX83" s="17"/>
      <c r="FY83" s="17"/>
      <c r="FZ83" s="17"/>
      <c r="GA83" s="17"/>
      <c r="GB83" s="17"/>
      <c r="GC83" s="17"/>
      <c r="GD83" s="17"/>
      <c r="GE83" s="17"/>
      <c r="GF83" s="17"/>
      <c r="GG83" s="17"/>
      <c r="GH83" s="17"/>
      <c r="GI83" s="17"/>
      <c r="GJ83" s="17"/>
      <c r="GK83" s="17"/>
      <c r="GL83" s="17"/>
      <c r="GM83" s="17"/>
      <c r="GN83" s="17"/>
      <c r="GO83" s="17"/>
      <c r="GP83" s="17"/>
      <c r="GQ83" s="17"/>
      <c r="GR83" s="17"/>
      <c r="GS83" s="17"/>
      <c r="GT83" s="17"/>
      <c r="GU83" s="17"/>
      <c r="GV83" s="17"/>
      <c r="GW83" s="17"/>
      <c r="GX83" s="17"/>
      <c r="GY83" s="17"/>
      <c r="GZ83" s="17"/>
      <c r="HA83" s="17"/>
      <c r="HB83" s="17"/>
      <c r="HC83" s="17"/>
      <c r="HD83" s="17"/>
      <c r="HE83" s="17"/>
      <c r="HF83" s="17"/>
      <c r="HG83" s="17"/>
      <c r="HH83" s="17"/>
      <c r="HI83" s="17"/>
      <c r="HJ83" s="17"/>
      <c r="HK83" s="17"/>
      <c r="HL83" s="17"/>
      <c r="HM83" s="17"/>
      <c r="HN83" s="17"/>
      <c r="HO83" s="17"/>
      <c r="HP83" s="17"/>
      <c r="HQ83" s="17"/>
      <c r="HR83" s="17"/>
      <c r="HS83" s="17"/>
      <c r="HT83" s="17"/>
      <c r="HU83" s="17"/>
      <c r="HV83" s="17"/>
      <c r="HW83" s="17"/>
      <c r="HX83" s="17"/>
      <c r="HY83" s="17"/>
      <c r="HZ83" s="17"/>
    </row>
    <row r="84" spans="11:234" ht="15" x14ac:dyDescent="0.25"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CF84" s="1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  <c r="CZ84" s="17"/>
      <c r="DA84" s="17"/>
      <c r="DB84" s="17"/>
      <c r="DC84" s="17"/>
      <c r="DD84" s="17"/>
      <c r="DE84" s="17"/>
      <c r="DF84" s="17"/>
      <c r="DG84" s="17"/>
      <c r="DH84" s="17"/>
      <c r="DI84" s="17"/>
      <c r="DJ84" s="17"/>
      <c r="DK84" s="17"/>
      <c r="DL84" s="17"/>
      <c r="DM84" s="17"/>
      <c r="DN84" s="17"/>
      <c r="DO84" s="17"/>
      <c r="DP84" s="17"/>
      <c r="DQ84" s="17"/>
      <c r="DR84" s="17"/>
      <c r="DS84" s="17"/>
      <c r="DT84" s="17"/>
      <c r="DU84" s="17"/>
      <c r="DV84" s="17"/>
      <c r="DW84" s="17"/>
      <c r="DX84" s="17"/>
      <c r="DY84" s="17"/>
      <c r="DZ84" s="17"/>
      <c r="EA84" s="17"/>
      <c r="EB84" s="17"/>
      <c r="EC84" s="17"/>
      <c r="ED84" s="17"/>
      <c r="EE84" s="17"/>
      <c r="EF84" s="17"/>
      <c r="EG84" s="17"/>
      <c r="EH84" s="17"/>
      <c r="EI84" s="17"/>
      <c r="EJ84" s="17"/>
      <c r="EK84" s="17"/>
      <c r="EL84" s="17"/>
      <c r="EM84" s="17"/>
      <c r="EN84" s="17"/>
      <c r="EO84" s="17"/>
      <c r="EP84" s="17"/>
      <c r="EQ84" s="17"/>
      <c r="ER84" s="17"/>
      <c r="ES84" s="17"/>
      <c r="ET84" s="17"/>
      <c r="EU84" s="17"/>
      <c r="EV84" s="17"/>
      <c r="EW84" s="17"/>
      <c r="EX84" s="17"/>
      <c r="EY84" s="17"/>
      <c r="EZ84" s="17"/>
      <c r="FA84" s="17"/>
      <c r="FB84" s="17"/>
      <c r="FC84" s="17"/>
      <c r="FD84" s="17"/>
      <c r="FE84" s="17"/>
      <c r="FF84" s="17"/>
      <c r="FG84" s="17"/>
      <c r="FH84" s="17"/>
      <c r="FI84" s="17"/>
      <c r="FJ84" s="17"/>
      <c r="FK84" s="17"/>
      <c r="FL84" s="17"/>
      <c r="FM84" s="17"/>
      <c r="FN84" s="17"/>
      <c r="FO84" s="17"/>
      <c r="FP84" s="17"/>
      <c r="FQ84" s="17"/>
      <c r="FR84" s="17"/>
      <c r="FS84" s="17"/>
      <c r="FT84" s="17"/>
      <c r="FU84" s="17"/>
      <c r="FV84" s="17"/>
      <c r="FW84" s="17"/>
      <c r="FX84" s="17"/>
      <c r="FY84" s="17"/>
      <c r="FZ84" s="17"/>
      <c r="GA84" s="17"/>
      <c r="GB84" s="17"/>
      <c r="GC84" s="17"/>
      <c r="GD84" s="17"/>
      <c r="GE84" s="17"/>
      <c r="GF84" s="17"/>
      <c r="GG84" s="17"/>
      <c r="GH84" s="17"/>
      <c r="GI84" s="17"/>
      <c r="GJ84" s="17"/>
      <c r="GK84" s="17"/>
      <c r="GL84" s="17"/>
      <c r="GM84" s="17"/>
      <c r="GN84" s="17"/>
      <c r="GO84" s="17"/>
      <c r="GP84" s="17"/>
      <c r="GQ84" s="17"/>
      <c r="GR84" s="17"/>
      <c r="GS84" s="17"/>
      <c r="GT84" s="17"/>
      <c r="GU84" s="17"/>
      <c r="GV84" s="17"/>
      <c r="GW84" s="17"/>
      <c r="GX84" s="17"/>
      <c r="GY84" s="17"/>
      <c r="GZ84" s="17"/>
      <c r="HA84" s="17"/>
      <c r="HB84" s="17"/>
      <c r="HC84" s="17"/>
      <c r="HD84" s="17"/>
      <c r="HE84" s="17"/>
      <c r="HF84" s="17"/>
      <c r="HG84" s="17"/>
      <c r="HH84" s="17"/>
      <c r="HI84" s="17"/>
      <c r="HJ84" s="17"/>
      <c r="HK84" s="17"/>
      <c r="HL84" s="17"/>
      <c r="HM84" s="17"/>
      <c r="HN84" s="17"/>
      <c r="HO84" s="17"/>
      <c r="HP84" s="17"/>
      <c r="HQ84" s="17"/>
      <c r="HR84" s="17"/>
      <c r="HS84" s="17"/>
      <c r="HT84" s="17"/>
      <c r="HU84" s="17"/>
      <c r="HV84" s="17"/>
      <c r="HW84" s="17"/>
      <c r="HX84" s="17"/>
      <c r="HY84" s="17"/>
      <c r="HZ84" s="17"/>
    </row>
    <row r="85" spans="11:234" ht="15" x14ac:dyDescent="0.25"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  <c r="CZ85" s="17"/>
      <c r="DA85" s="17"/>
      <c r="DB85" s="17"/>
      <c r="DC85" s="17"/>
      <c r="DD85" s="17"/>
      <c r="DE85" s="17"/>
      <c r="DF85" s="17"/>
      <c r="DG85" s="17"/>
      <c r="DH85" s="17"/>
      <c r="DI85" s="17"/>
      <c r="DJ85" s="17"/>
      <c r="DK85" s="17"/>
      <c r="DL85" s="17"/>
      <c r="DM85" s="17"/>
      <c r="DN85" s="17"/>
      <c r="DO85" s="17"/>
      <c r="DP85" s="17"/>
      <c r="DQ85" s="17"/>
      <c r="DR85" s="17"/>
      <c r="DS85" s="17"/>
      <c r="DT85" s="17"/>
      <c r="DU85" s="17"/>
      <c r="DV85" s="17"/>
      <c r="DW85" s="17"/>
      <c r="DX85" s="17"/>
      <c r="DY85" s="17"/>
      <c r="DZ85" s="17"/>
      <c r="EA85" s="17"/>
      <c r="EB85" s="17"/>
      <c r="EC85" s="17"/>
      <c r="ED85" s="17"/>
      <c r="EE85" s="17"/>
      <c r="EF85" s="17"/>
      <c r="EG85" s="17"/>
      <c r="EH85" s="17"/>
      <c r="EI85" s="17"/>
      <c r="EJ85" s="17"/>
      <c r="EK85" s="17"/>
      <c r="EL85" s="17"/>
      <c r="EM85" s="17"/>
      <c r="EN85" s="17"/>
      <c r="EO85" s="17"/>
      <c r="EP85" s="17"/>
      <c r="EQ85" s="17"/>
      <c r="ER85" s="17"/>
      <c r="ES85" s="17"/>
      <c r="ET85" s="17"/>
      <c r="EU85" s="17"/>
      <c r="EV85" s="17"/>
      <c r="EW85" s="17"/>
      <c r="EX85" s="17"/>
      <c r="EY85" s="17"/>
      <c r="EZ85" s="17"/>
      <c r="FA85" s="17"/>
      <c r="FB85" s="17"/>
      <c r="FC85" s="17"/>
      <c r="FD85" s="17"/>
      <c r="FE85" s="17"/>
      <c r="FF85" s="17"/>
      <c r="FG85" s="17"/>
      <c r="FH85" s="17"/>
      <c r="FI85" s="17"/>
      <c r="FJ85" s="17"/>
      <c r="FK85" s="17"/>
      <c r="FL85" s="17"/>
      <c r="FM85" s="17"/>
      <c r="FN85" s="17"/>
      <c r="FO85" s="17"/>
      <c r="FP85" s="17"/>
      <c r="FQ85" s="17"/>
      <c r="FR85" s="17"/>
      <c r="FS85" s="17"/>
      <c r="FT85" s="17"/>
      <c r="FU85" s="17"/>
      <c r="FV85" s="17"/>
      <c r="FW85" s="17"/>
      <c r="FX85" s="17"/>
      <c r="FY85" s="17"/>
      <c r="FZ85" s="17"/>
      <c r="GA85" s="17"/>
      <c r="GB85" s="17"/>
      <c r="GC85" s="17"/>
      <c r="GD85" s="17"/>
      <c r="GE85" s="17"/>
      <c r="GF85" s="17"/>
      <c r="GG85" s="17"/>
      <c r="GH85" s="17"/>
      <c r="GI85" s="17"/>
      <c r="GJ85" s="17"/>
      <c r="GK85" s="17"/>
      <c r="GL85" s="17"/>
      <c r="GM85" s="17"/>
      <c r="GN85" s="17"/>
      <c r="GO85" s="17"/>
      <c r="GP85" s="17"/>
      <c r="GQ85" s="17"/>
      <c r="GR85" s="17"/>
      <c r="GS85" s="17"/>
      <c r="GT85" s="17"/>
      <c r="GU85" s="17"/>
      <c r="GV85" s="17"/>
      <c r="GW85" s="17"/>
      <c r="GX85" s="17"/>
      <c r="GY85" s="17"/>
      <c r="GZ85" s="17"/>
      <c r="HA85" s="17"/>
      <c r="HB85" s="17"/>
      <c r="HC85" s="17"/>
      <c r="HD85" s="17"/>
      <c r="HE85" s="17"/>
      <c r="HF85" s="17"/>
      <c r="HG85" s="17"/>
      <c r="HH85" s="17"/>
      <c r="HI85" s="17"/>
      <c r="HJ85" s="17"/>
      <c r="HK85" s="17"/>
      <c r="HL85" s="17"/>
      <c r="HM85" s="17"/>
      <c r="HN85" s="17"/>
      <c r="HO85" s="17"/>
      <c r="HP85" s="17"/>
      <c r="HQ85" s="17"/>
      <c r="HR85" s="17"/>
      <c r="HS85" s="17"/>
      <c r="HT85" s="17"/>
      <c r="HU85" s="17"/>
      <c r="HV85" s="17"/>
      <c r="HW85" s="17"/>
      <c r="HX85" s="17"/>
      <c r="HY85" s="17"/>
      <c r="HZ85" s="17"/>
    </row>
    <row r="86" spans="11:234" ht="15" x14ac:dyDescent="0.25"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  <c r="CZ86" s="17"/>
      <c r="DA86" s="17"/>
      <c r="DB86" s="17"/>
      <c r="DC86" s="17"/>
      <c r="DD86" s="17"/>
      <c r="DE86" s="17"/>
      <c r="DF86" s="17"/>
      <c r="DG86" s="17"/>
      <c r="DH86" s="17"/>
      <c r="DI86" s="17"/>
      <c r="DJ86" s="17"/>
      <c r="DK86" s="17"/>
      <c r="DL86" s="17"/>
      <c r="DM86" s="17"/>
      <c r="DN86" s="17"/>
      <c r="DO86" s="17"/>
      <c r="DP86" s="17"/>
      <c r="DQ86" s="17"/>
      <c r="DR86" s="17"/>
      <c r="DS86" s="17"/>
      <c r="DT86" s="17"/>
      <c r="DU86" s="17"/>
      <c r="DV86" s="17"/>
      <c r="DW86" s="17"/>
      <c r="DX86" s="17"/>
      <c r="DY86" s="17"/>
      <c r="DZ86" s="17"/>
      <c r="EA86" s="17"/>
      <c r="EB86" s="17"/>
      <c r="EC86" s="17"/>
      <c r="ED86" s="17"/>
      <c r="EE86" s="17"/>
      <c r="EF86" s="17"/>
      <c r="EG86" s="17"/>
      <c r="EH86" s="17"/>
      <c r="EI86" s="17"/>
      <c r="EJ86" s="17"/>
      <c r="EK86" s="17"/>
      <c r="EL86" s="17"/>
      <c r="EM86" s="17"/>
      <c r="EN86" s="17"/>
      <c r="EO86" s="17"/>
      <c r="EP86" s="17"/>
      <c r="EQ86" s="17"/>
      <c r="ER86" s="17"/>
      <c r="ES86" s="17"/>
      <c r="ET86" s="17"/>
      <c r="EU86" s="17"/>
      <c r="EV86" s="17"/>
      <c r="EW86" s="17"/>
      <c r="EX86" s="17"/>
      <c r="EY86" s="17"/>
      <c r="EZ86" s="17"/>
      <c r="FA86" s="17"/>
      <c r="FB86" s="17"/>
      <c r="FC86" s="17"/>
      <c r="FD86" s="17"/>
      <c r="FE86" s="17"/>
      <c r="FF86" s="17"/>
      <c r="FG86" s="17"/>
      <c r="FH86" s="17"/>
      <c r="FI86" s="17"/>
      <c r="FJ86" s="17"/>
      <c r="FK86" s="17"/>
      <c r="FL86" s="17"/>
      <c r="FM86" s="17"/>
      <c r="FN86" s="17"/>
      <c r="FO86" s="17"/>
      <c r="FP86" s="17"/>
      <c r="FQ86" s="17"/>
      <c r="FR86" s="17"/>
      <c r="FS86" s="17"/>
      <c r="FT86" s="17"/>
      <c r="FU86" s="17"/>
      <c r="FV86" s="17"/>
      <c r="FW86" s="17"/>
      <c r="FX86" s="17"/>
      <c r="FY86" s="17"/>
      <c r="FZ86" s="17"/>
      <c r="GA86" s="17"/>
      <c r="GB86" s="17"/>
      <c r="GC86" s="17"/>
      <c r="GD86" s="17"/>
      <c r="GE86" s="17"/>
      <c r="GF86" s="17"/>
      <c r="GG86" s="17"/>
      <c r="GH86" s="17"/>
      <c r="GI86" s="17"/>
      <c r="GJ86" s="17"/>
      <c r="GK86" s="17"/>
      <c r="GL86" s="17"/>
      <c r="GM86" s="17"/>
      <c r="GN86" s="17"/>
      <c r="GO86" s="17"/>
      <c r="GP86" s="17"/>
      <c r="GQ86" s="17"/>
      <c r="GR86" s="17"/>
      <c r="GS86" s="17"/>
      <c r="GT86" s="17"/>
      <c r="GU86" s="17"/>
      <c r="GV86" s="17"/>
      <c r="GW86" s="17"/>
      <c r="GX86" s="17"/>
      <c r="GY86" s="17"/>
      <c r="GZ86" s="17"/>
      <c r="HA86" s="17"/>
      <c r="HB86" s="17"/>
      <c r="HC86" s="17"/>
      <c r="HD86" s="17"/>
      <c r="HE86" s="17"/>
      <c r="HF86" s="17"/>
      <c r="HG86" s="17"/>
      <c r="HH86" s="17"/>
      <c r="HI86" s="17"/>
      <c r="HJ86" s="17"/>
      <c r="HK86" s="17"/>
      <c r="HL86" s="17"/>
      <c r="HM86" s="17"/>
      <c r="HN86" s="17"/>
      <c r="HO86" s="17"/>
      <c r="HP86" s="17"/>
      <c r="HQ86" s="17"/>
      <c r="HR86" s="17"/>
      <c r="HS86" s="17"/>
      <c r="HT86" s="17"/>
      <c r="HU86" s="17"/>
      <c r="HV86" s="17"/>
      <c r="HW86" s="17"/>
      <c r="HX86" s="17"/>
      <c r="HY86" s="17"/>
      <c r="HZ86" s="17"/>
    </row>
    <row r="87" spans="11:234" ht="15" x14ac:dyDescent="0.25"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7"/>
      <c r="DA87" s="17"/>
      <c r="DB87" s="17"/>
      <c r="DC87" s="17"/>
      <c r="DD87" s="17"/>
      <c r="DE87" s="17"/>
      <c r="DF87" s="17"/>
      <c r="DG87" s="17"/>
      <c r="DH87" s="17"/>
      <c r="DI87" s="17"/>
      <c r="DJ87" s="17"/>
      <c r="DK87" s="17"/>
      <c r="DL87" s="17"/>
      <c r="DM87" s="17"/>
      <c r="DN87" s="17"/>
      <c r="DO87" s="17"/>
      <c r="DP87" s="17"/>
      <c r="DQ87" s="17"/>
      <c r="DR87" s="17"/>
      <c r="DS87" s="17"/>
      <c r="DT87" s="17"/>
      <c r="DU87" s="17"/>
      <c r="DV87" s="17"/>
      <c r="DW87" s="17"/>
      <c r="DX87" s="17"/>
      <c r="DY87" s="17"/>
      <c r="DZ87" s="17"/>
      <c r="EA87" s="17"/>
      <c r="EB87" s="17"/>
      <c r="EC87" s="17"/>
      <c r="ED87" s="17"/>
      <c r="EE87" s="17"/>
      <c r="EF87" s="17"/>
      <c r="EG87" s="17"/>
      <c r="EH87" s="17"/>
      <c r="EI87" s="17"/>
      <c r="EJ87" s="17"/>
      <c r="EK87" s="17"/>
      <c r="EL87" s="17"/>
      <c r="EM87" s="17"/>
      <c r="EN87" s="17"/>
      <c r="EO87" s="17"/>
      <c r="EP87" s="17"/>
      <c r="EQ87" s="17"/>
      <c r="ER87" s="17"/>
      <c r="ES87" s="17"/>
      <c r="ET87" s="17"/>
      <c r="EU87" s="17"/>
      <c r="EV87" s="17"/>
      <c r="EW87" s="17"/>
      <c r="EX87" s="17"/>
      <c r="EY87" s="17"/>
      <c r="EZ87" s="17"/>
      <c r="FA87" s="17"/>
      <c r="FB87" s="17"/>
      <c r="FC87" s="17"/>
      <c r="FD87" s="17"/>
      <c r="FE87" s="17"/>
      <c r="FF87" s="17"/>
      <c r="FG87" s="17"/>
      <c r="FH87" s="17"/>
      <c r="FI87" s="17"/>
      <c r="FJ87" s="17"/>
      <c r="FK87" s="17"/>
      <c r="FL87" s="17"/>
      <c r="FM87" s="17"/>
      <c r="FN87" s="17"/>
      <c r="FO87" s="17"/>
      <c r="FP87" s="17"/>
      <c r="FQ87" s="17"/>
      <c r="FR87" s="17"/>
      <c r="FS87" s="17"/>
      <c r="FT87" s="17"/>
      <c r="FU87" s="17"/>
      <c r="FV87" s="17"/>
      <c r="FW87" s="17"/>
      <c r="FX87" s="17"/>
      <c r="FY87" s="17"/>
      <c r="FZ87" s="17"/>
      <c r="GA87" s="17"/>
      <c r="GB87" s="17"/>
      <c r="GC87" s="17"/>
      <c r="GD87" s="17"/>
      <c r="GE87" s="17"/>
      <c r="GF87" s="17"/>
      <c r="GG87" s="17"/>
      <c r="GH87" s="17"/>
      <c r="GI87" s="17"/>
      <c r="GJ87" s="17"/>
      <c r="GK87" s="17"/>
      <c r="GL87" s="17"/>
      <c r="GM87" s="17"/>
      <c r="GN87" s="17"/>
      <c r="GO87" s="17"/>
      <c r="GP87" s="17"/>
      <c r="GQ87" s="17"/>
      <c r="GR87" s="17"/>
      <c r="GS87" s="17"/>
      <c r="GT87" s="17"/>
      <c r="GU87" s="17"/>
      <c r="GV87" s="17"/>
      <c r="GW87" s="17"/>
      <c r="GX87" s="17"/>
      <c r="GY87" s="17"/>
      <c r="GZ87" s="17"/>
      <c r="HA87" s="17"/>
      <c r="HB87" s="17"/>
      <c r="HC87" s="17"/>
      <c r="HD87" s="17"/>
      <c r="HE87" s="17"/>
      <c r="HF87" s="17"/>
      <c r="HG87" s="17"/>
      <c r="HH87" s="17"/>
      <c r="HI87" s="17"/>
      <c r="HJ87" s="17"/>
      <c r="HK87" s="17"/>
      <c r="HL87" s="17"/>
      <c r="HM87" s="17"/>
      <c r="HN87" s="17"/>
      <c r="HO87" s="17"/>
      <c r="HP87" s="17"/>
      <c r="HQ87" s="17"/>
      <c r="HR87" s="17"/>
      <c r="HS87" s="17"/>
      <c r="HT87" s="17"/>
      <c r="HU87" s="17"/>
      <c r="HV87" s="17"/>
      <c r="HW87" s="17"/>
      <c r="HX87" s="17"/>
      <c r="HY87" s="17"/>
      <c r="HZ87" s="17"/>
    </row>
    <row r="88" spans="11:234" ht="15" x14ac:dyDescent="0.25">
      <c r="BU88" s="17"/>
      <c r="BV88" s="17"/>
      <c r="BW88" s="17"/>
      <c r="BX88" s="17"/>
      <c r="BY88" s="17"/>
      <c r="BZ88" s="17"/>
      <c r="CA88" s="17"/>
      <c r="CB88" s="17"/>
      <c r="CC88" s="17"/>
      <c r="CD88" s="17"/>
      <c r="CE88" s="17"/>
      <c r="CF88" s="1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  <c r="CZ88" s="17"/>
      <c r="DA88" s="17"/>
      <c r="DB88" s="17"/>
      <c r="DC88" s="17"/>
      <c r="DD88" s="17"/>
      <c r="DE88" s="17"/>
      <c r="DF88" s="17"/>
      <c r="DG88" s="17"/>
      <c r="DH88" s="17"/>
      <c r="DI88" s="17"/>
      <c r="DJ88" s="17"/>
      <c r="DK88" s="17"/>
      <c r="DL88" s="17"/>
      <c r="DM88" s="17"/>
      <c r="DN88" s="17"/>
      <c r="DO88" s="17"/>
      <c r="DP88" s="17"/>
      <c r="DQ88" s="17"/>
      <c r="DR88" s="17"/>
      <c r="DS88" s="17"/>
      <c r="DT88" s="17"/>
      <c r="DU88" s="17"/>
      <c r="DV88" s="17"/>
      <c r="DW88" s="17"/>
      <c r="DX88" s="17"/>
      <c r="DY88" s="17"/>
      <c r="DZ88" s="17"/>
      <c r="EA88" s="17"/>
      <c r="EB88" s="17"/>
      <c r="EC88" s="17"/>
      <c r="ED88" s="17"/>
      <c r="EE88" s="17"/>
      <c r="EF88" s="17"/>
      <c r="EG88" s="17"/>
      <c r="EH88" s="17"/>
      <c r="EI88" s="17"/>
      <c r="EJ88" s="17"/>
      <c r="EK88" s="17"/>
      <c r="EL88" s="17"/>
      <c r="EM88" s="17"/>
      <c r="EN88" s="17"/>
      <c r="EO88" s="17"/>
      <c r="EP88" s="17"/>
      <c r="EQ88" s="17"/>
      <c r="ER88" s="17"/>
      <c r="ES88" s="17"/>
      <c r="ET88" s="17"/>
      <c r="EU88" s="17"/>
      <c r="EV88" s="17"/>
      <c r="EW88" s="17"/>
      <c r="EX88" s="17"/>
      <c r="EY88" s="17"/>
      <c r="EZ88" s="17"/>
      <c r="FA88" s="17"/>
      <c r="FB88" s="17"/>
      <c r="FC88" s="17"/>
      <c r="FD88" s="17"/>
      <c r="FE88" s="17"/>
      <c r="FF88" s="17"/>
      <c r="FG88" s="17"/>
      <c r="FH88" s="17"/>
      <c r="FI88" s="17"/>
      <c r="FJ88" s="17"/>
      <c r="FK88" s="17"/>
      <c r="FL88" s="17"/>
      <c r="FM88" s="17"/>
      <c r="FN88" s="17"/>
      <c r="FO88" s="17"/>
      <c r="FP88" s="17"/>
      <c r="FQ88" s="17"/>
      <c r="FR88" s="17"/>
      <c r="FS88" s="17"/>
      <c r="FT88" s="17"/>
      <c r="FU88" s="17"/>
      <c r="FV88" s="17"/>
      <c r="FW88" s="17"/>
      <c r="FX88" s="17"/>
      <c r="FY88" s="17"/>
      <c r="FZ88" s="17"/>
      <c r="GA88" s="17"/>
      <c r="GB88" s="17"/>
      <c r="GC88" s="17"/>
      <c r="GD88" s="17"/>
      <c r="GE88" s="17"/>
      <c r="GF88" s="17"/>
      <c r="GG88" s="17"/>
      <c r="GH88" s="17"/>
      <c r="GI88" s="17"/>
      <c r="GJ88" s="17"/>
      <c r="GK88" s="17"/>
      <c r="GL88" s="17"/>
      <c r="GM88" s="17"/>
      <c r="GN88" s="17"/>
      <c r="GO88" s="17"/>
      <c r="GP88" s="17"/>
      <c r="GQ88" s="17"/>
      <c r="GR88" s="17"/>
      <c r="GS88" s="17"/>
      <c r="GT88" s="17"/>
      <c r="GU88" s="17"/>
      <c r="GV88" s="17"/>
      <c r="GW88" s="17"/>
      <c r="GX88" s="17"/>
      <c r="GY88" s="17"/>
      <c r="GZ88" s="17"/>
      <c r="HA88" s="17"/>
      <c r="HB88" s="17"/>
      <c r="HC88" s="17"/>
      <c r="HD88" s="17"/>
      <c r="HE88" s="17"/>
      <c r="HF88" s="17"/>
      <c r="HG88" s="17"/>
      <c r="HH88" s="17"/>
      <c r="HI88" s="17"/>
      <c r="HJ88" s="17"/>
      <c r="HK88" s="17"/>
      <c r="HL88" s="17"/>
      <c r="HM88" s="17"/>
      <c r="HN88" s="17"/>
      <c r="HO88" s="17"/>
      <c r="HP88" s="17"/>
      <c r="HQ88" s="17"/>
      <c r="HR88" s="17"/>
      <c r="HS88" s="17"/>
      <c r="HT88" s="17"/>
      <c r="HU88" s="17"/>
      <c r="HV88" s="17"/>
      <c r="HW88" s="17"/>
      <c r="HX88" s="17"/>
      <c r="HY88" s="17"/>
      <c r="HZ88" s="17"/>
    </row>
    <row r="89" spans="11:234" ht="15" x14ac:dyDescent="0.25">
      <c r="BU89" s="17"/>
      <c r="BV89" s="17"/>
      <c r="BW89" s="17"/>
      <c r="BX89" s="17"/>
      <c r="BY89" s="17"/>
      <c r="BZ89" s="17"/>
      <c r="CA89" s="17"/>
      <c r="CB89" s="17"/>
      <c r="CC89" s="17"/>
      <c r="CD89" s="17"/>
      <c r="CE89" s="17"/>
      <c r="CF89" s="1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CY89" s="17"/>
      <c r="CZ89" s="17"/>
      <c r="DA89" s="17"/>
      <c r="DB89" s="17"/>
      <c r="DC89" s="17"/>
      <c r="DD89" s="17"/>
      <c r="DE89" s="17"/>
      <c r="DF89" s="17"/>
      <c r="DG89" s="17"/>
      <c r="DH89" s="17"/>
      <c r="DI89" s="17"/>
      <c r="DJ89" s="17"/>
      <c r="DK89" s="17"/>
      <c r="DL89" s="17"/>
      <c r="DM89" s="17"/>
      <c r="DN89" s="17"/>
      <c r="DO89" s="17"/>
      <c r="DP89" s="17"/>
      <c r="DQ89" s="17"/>
      <c r="DR89" s="17"/>
      <c r="DS89" s="17"/>
      <c r="DT89" s="17"/>
      <c r="DU89" s="17"/>
      <c r="DV89" s="17"/>
      <c r="DW89" s="17"/>
      <c r="DX89" s="17"/>
      <c r="DY89" s="17"/>
      <c r="DZ89" s="17"/>
      <c r="EA89" s="17"/>
      <c r="EB89" s="17"/>
      <c r="EC89" s="17"/>
      <c r="ED89" s="17"/>
      <c r="EE89" s="17"/>
      <c r="EF89" s="17"/>
      <c r="EG89" s="17"/>
      <c r="EH89" s="17"/>
      <c r="EI89" s="17"/>
      <c r="EJ89" s="17"/>
      <c r="EK89" s="17"/>
      <c r="EL89" s="17"/>
      <c r="EM89" s="17"/>
      <c r="EN89" s="17"/>
      <c r="EO89" s="17"/>
      <c r="EP89" s="17"/>
      <c r="EQ89" s="17"/>
      <c r="ER89" s="17"/>
      <c r="ES89" s="17"/>
      <c r="ET89" s="17"/>
      <c r="EU89" s="17"/>
      <c r="EV89" s="17"/>
      <c r="EW89" s="17"/>
      <c r="EX89" s="17"/>
      <c r="EY89" s="17"/>
      <c r="EZ89" s="17"/>
      <c r="FA89" s="17"/>
      <c r="FB89" s="17"/>
      <c r="FC89" s="17"/>
      <c r="FD89" s="17"/>
      <c r="FE89" s="17"/>
      <c r="FF89" s="17"/>
      <c r="FG89" s="17"/>
      <c r="FH89" s="17"/>
      <c r="FI89" s="17"/>
      <c r="FJ89" s="17"/>
      <c r="FK89" s="17"/>
      <c r="FL89" s="17"/>
      <c r="FM89" s="17"/>
      <c r="FN89" s="17"/>
      <c r="FO89" s="17"/>
      <c r="FP89" s="17"/>
      <c r="FQ89" s="17"/>
      <c r="FR89" s="17"/>
      <c r="FS89" s="17"/>
      <c r="FT89" s="17"/>
      <c r="FU89" s="17"/>
      <c r="FV89" s="17"/>
      <c r="FW89" s="17"/>
      <c r="FX89" s="17"/>
      <c r="FY89" s="17"/>
      <c r="FZ89" s="17"/>
      <c r="GA89" s="17"/>
      <c r="GB89" s="17"/>
      <c r="GC89" s="17"/>
      <c r="GD89" s="17"/>
      <c r="GE89" s="17"/>
      <c r="GF89" s="17"/>
      <c r="GG89" s="17"/>
      <c r="GH89" s="17"/>
      <c r="GI89" s="17"/>
      <c r="GJ89" s="17"/>
      <c r="GK89" s="17"/>
      <c r="GL89" s="17"/>
      <c r="GM89" s="17"/>
      <c r="GN89" s="17"/>
      <c r="GO89" s="17"/>
      <c r="GP89" s="17"/>
      <c r="GQ89" s="17"/>
      <c r="GR89" s="17"/>
      <c r="GS89" s="17"/>
      <c r="GT89" s="17"/>
      <c r="GU89" s="17"/>
      <c r="GV89" s="17"/>
      <c r="GW89" s="17"/>
      <c r="GX89" s="17"/>
      <c r="GY89" s="17"/>
      <c r="GZ89" s="17"/>
      <c r="HA89" s="17"/>
      <c r="HB89" s="17"/>
      <c r="HC89" s="17"/>
      <c r="HD89" s="17"/>
      <c r="HE89" s="17"/>
      <c r="HF89" s="17"/>
      <c r="HG89" s="17"/>
      <c r="HH89" s="17"/>
      <c r="HI89" s="17"/>
      <c r="HJ89" s="17"/>
      <c r="HK89" s="17"/>
      <c r="HL89" s="17"/>
      <c r="HM89" s="17"/>
      <c r="HN89" s="17"/>
      <c r="HO89" s="17"/>
      <c r="HP89" s="17"/>
      <c r="HQ89" s="17"/>
      <c r="HR89" s="17"/>
      <c r="HS89" s="17"/>
      <c r="HT89" s="17"/>
      <c r="HU89" s="17"/>
      <c r="HV89" s="17"/>
      <c r="HW89" s="17"/>
      <c r="HX89" s="17"/>
      <c r="HY89" s="17"/>
      <c r="HZ89" s="17"/>
    </row>
    <row r="90" spans="11:234" ht="15" x14ac:dyDescent="0.25">
      <c r="BU90" s="17"/>
      <c r="BV90" s="17"/>
      <c r="BW90" s="17"/>
      <c r="BX90" s="17"/>
      <c r="BY90" s="17"/>
      <c r="BZ90" s="17"/>
      <c r="CA90" s="17"/>
      <c r="CB90" s="17"/>
      <c r="CC90" s="17"/>
      <c r="CD90" s="17"/>
      <c r="CE90" s="17"/>
      <c r="CF90" s="1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  <c r="CR90" s="17"/>
      <c r="CS90" s="17"/>
      <c r="CT90" s="17"/>
      <c r="CU90" s="17"/>
      <c r="CV90" s="17"/>
      <c r="CW90" s="17"/>
      <c r="CX90" s="17"/>
      <c r="CY90" s="17"/>
      <c r="CZ90" s="17"/>
      <c r="DA90" s="17"/>
      <c r="DB90" s="17"/>
      <c r="DC90" s="17"/>
      <c r="DD90" s="17"/>
      <c r="DE90" s="17"/>
      <c r="DF90" s="17"/>
      <c r="DG90" s="17"/>
      <c r="DH90" s="17"/>
      <c r="DI90" s="17"/>
      <c r="DJ90" s="17"/>
      <c r="DK90" s="17"/>
      <c r="DL90" s="17"/>
      <c r="DM90" s="17"/>
      <c r="DN90" s="17"/>
      <c r="DO90" s="17"/>
      <c r="DP90" s="17"/>
      <c r="DQ90" s="17"/>
      <c r="DR90" s="17"/>
      <c r="DS90" s="17"/>
      <c r="DT90" s="17"/>
      <c r="DU90" s="17"/>
      <c r="DV90" s="17"/>
      <c r="DW90" s="17"/>
      <c r="DX90" s="17"/>
      <c r="DY90" s="17"/>
      <c r="DZ90" s="17"/>
      <c r="EA90" s="17"/>
      <c r="EB90" s="17"/>
      <c r="EC90" s="17"/>
      <c r="ED90" s="17"/>
      <c r="EE90" s="17"/>
      <c r="EF90" s="17"/>
      <c r="EG90" s="17"/>
      <c r="EH90" s="17"/>
      <c r="EI90" s="17"/>
      <c r="EJ90" s="17"/>
      <c r="EK90" s="17"/>
      <c r="EL90" s="17"/>
      <c r="EM90" s="17"/>
      <c r="EN90" s="17"/>
      <c r="EO90" s="17"/>
      <c r="EP90" s="17"/>
      <c r="EQ90" s="17"/>
      <c r="ER90" s="17"/>
      <c r="ES90" s="17"/>
      <c r="ET90" s="17"/>
      <c r="EU90" s="17"/>
      <c r="EV90" s="17"/>
      <c r="EW90" s="17"/>
      <c r="EX90" s="17"/>
      <c r="EY90" s="17"/>
      <c r="EZ90" s="17"/>
      <c r="FA90" s="17"/>
      <c r="FB90" s="17"/>
      <c r="FC90" s="17"/>
      <c r="FD90" s="17"/>
      <c r="FE90" s="17"/>
      <c r="FF90" s="17"/>
      <c r="FG90" s="17"/>
      <c r="FH90" s="17"/>
      <c r="FI90" s="17"/>
      <c r="FJ90" s="17"/>
      <c r="FK90" s="17"/>
      <c r="FL90" s="17"/>
      <c r="FM90" s="17"/>
      <c r="FN90" s="17"/>
      <c r="FO90" s="17"/>
      <c r="FP90" s="17"/>
      <c r="FQ90" s="17"/>
      <c r="FR90" s="17"/>
      <c r="FS90" s="17"/>
      <c r="FT90" s="17"/>
      <c r="FU90" s="17"/>
      <c r="FV90" s="17"/>
      <c r="FW90" s="17"/>
      <c r="FX90" s="17"/>
      <c r="FY90" s="17"/>
      <c r="FZ90" s="17"/>
      <c r="GA90" s="17"/>
      <c r="GB90" s="17"/>
      <c r="GC90" s="17"/>
      <c r="GD90" s="17"/>
      <c r="GE90" s="17"/>
      <c r="GF90" s="17"/>
      <c r="GG90" s="17"/>
      <c r="GH90" s="17"/>
      <c r="GI90" s="17"/>
      <c r="GJ90" s="17"/>
      <c r="GK90" s="17"/>
      <c r="GL90" s="17"/>
      <c r="GM90" s="17"/>
      <c r="GN90" s="17"/>
      <c r="GO90" s="17"/>
      <c r="GP90" s="17"/>
      <c r="GQ90" s="17"/>
      <c r="GR90" s="17"/>
      <c r="GS90" s="17"/>
      <c r="GT90" s="17"/>
      <c r="GU90" s="17"/>
      <c r="GV90" s="17"/>
      <c r="GW90" s="17"/>
      <c r="GX90" s="17"/>
      <c r="GY90" s="17"/>
      <c r="GZ90" s="17"/>
      <c r="HA90" s="17"/>
      <c r="HB90" s="17"/>
      <c r="HC90" s="17"/>
      <c r="HD90" s="17"/>
      <c r="HE90" s="17"/>
      <c r="HF90" s="17"/>
      <c r="HG90" s="17"/>
      <c r="HH90" s="17"/>
      <c r="HI90" s="17"/>
      <c r="HJ90" s="17"/>
      <c r="HK90" s="17"/>
      <c r="HL90" s="17"/>
      <c r="HM90" s="17"/>
      <c r="HN90" s="17"/>
      <c r="HO90" s="17"/>
      <c r="HP90" s="17"/>
      <c r="HQ90" s="17"/>
      <c r="HR90" s="17"/>
      <c r="HS90" s="17"/>
      <c r="HT90" s="17"/>
      <c r="HU90" s="17"/>
      <c r="HV90" s="17"/>
      <c r="HW90" s="17"/>
      <c r="HX90" s="17"/>
      <c r="HY90" s="17"/>
      <c r="HZ90" s="17"/>
    </row>
    <row r="91" spans="11:234" ht="15" x14ac:dyDescent="0.25">
      <c r="BU91" s="17"/>
      <c r="BV91" s="17"/>
      <c r="BW91" s="17"/>
      <c r="BX91" s="17"/>
      <c r="BY91" s="17"/>
      <c r="BZ91" s="17"/>
      <c r="CA91" s="17"/>
      <c r="CB91" s="17"/>
      <c r="CC91" s="17"/>
      <c r="CD91" s="17"/>
      <c r="CE91" s="17"/>
      <c r="CF91" s="1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  <c r="CR91" s="17"/>
      <c r="CS91" s="17"/>
      <c r="CT91" s="17"/>
      <c r="CU91" s="17"/>
      <c r="CV91" s="17"/>
      <c r="CW91" s="17"/>
      <c r="CX91" s="17"/>
      <c r="CY91" s="17"/>
      <c r="CZ91" s="17"/>
      <c r="DA91" s="17"/>
      <c r="DB91" s="17"/>
      <c r="DC91" s="17"/>
      <c r="DD91" s="17"/>
      <c r="DE91" s="17"/>
      <c r="DF91" s="17"/>
      <c r="DG91" s="17"/>
      <c r="DH91" s="17"/>
      <c r="DI91" s="17"/>
      <c r="DJ91" s="17"/>
      <c r="DK91" s="17"/>
      <c r="DL91" s="17"/>
      <c r="DM91" s="17"/>
      <c r="DN91" s="17"/>
      <c r="DO91" s="17"/>
      <c r="DP91" s="17"/>
      <c r="DQ91" s="17"/>
      <c r="DR91" s="17"/>
      <c r="DS91" s="17"/>
      <c r="DT91" s="17"/>
      <c r="DU91" s="17"/>
      <c r="DV91" s="17"/>
      <c r="DW91" s="17"/>
      <c r="DX91" s="17"/>
      <c r="DY91" s="17"/>
      <c r="DZ91" s="17"/>
      <c r="EA91" s="17"/>
      <c r="EB91" s="17"/>
      <c r="EC91" s="17"/>
      <c r="ED91" s="17"/>
      <c r="EE91" s="17"/>
      <c r="EF91" s="17"/>
      <c r="EG91" s="17"/>
      <c r="EH91" s="17"/>
      <c r="EI91" s="17"/>
      <c r="EJ91" s="17"/>
      <c r="EK91" s="17"/>
      <c r="EL91" s="17"/>
      <c r="EM91" s="17"/>
      <c r="EN91" s="17"/>
      <c r="EO91" s="17"/>
      <c r="EP91" s="17"/>
      <c r="EQ91" s="17"/>
      <c r="ER91" s="17"/>
      <c r="ES91" s="17"/>
      <c r="ET91" s="17"/>
      <c r="EU91" s="17"/>
      <c r="EV91" s="17"/>
      <c r="EW91" s="17"/>
      <c r="EX91" s="17"/>
      <c r="EY91" s="17"/>
      <c r="EZ91" s="17"/>
      <c r="FA91" s="17"/>
      <c r="FB91" s="17"/>
      <c r="FC91" s="17"/>
      <c r="FD91" s="17"/>
      <c r="FE91" s="17"/>
      <c r="FF91" s="17"/>
      <c r="FG91" s="17"/>
      <c r="FH91" s="17"/>
      <c r="FI91" s="17"/>
      <c r="FJ91" s="17"/>
      <c r="FK91" s="17"/>
      <c r="FL91" s="17"/>
      <c r="FM91" s="17"/>
      <c r="FN91" s="17"/>
      <c r="FO91" s="17"/>
      <c r="FP91" s="17"/>
      <c r="FQ91" s="17"/>
      <c r="FR91" s="17"/>
      <c r="FS91" s="17"/>
      <c r="FT91" s="17"/>
      <c r="FU91" s="17"/>
      <c r="FV91" s="17"/>
      <c r="FW91" s="17"/>
      <c r="FX91" s="17"/>
      <c r="FY91" s="17"/>
      <c r="FZ91" s="17"/>
      <c r="GA91" s="17"/>
      <c r="GB91" s="17"/>
      <c r="GC91" s="17"/>
      <c r="GD91" s="17"/>
      <c r="GE91" s="17"/>
      <c r="GF91" s="17"/>
      <c r="GG91" s="17"/>
      <c r="GH91" s="17"/>
      <c r="GI91" s="17"/>
      <c r="GJ91" s="17"/>
      <c r="GK91" s="17"/>
      <c r="GL91" s="17"/>
      <c r="GM91" s="17"/>
      <c r="GN91" s="17"/>
      <c r="GO91" s="17"/>
      <c r="GP91" s="17"/>
      <c r="GQ91" s="17"/>
      <c r="GR91" s="17"/>
      <c r="GS91" s="17"/>
      <c r="GT91" s="17"/>
      <c r="GU91" s="17"/>
      <c r="GV91" s="17"/>
      <c r="GW91" s="17"/>
      <c r="GX91" s="17"/>
      <c r="GY91" s="17"/>
      <c r="GZ91" s="17"/>
      <c r="HA91" s="17"/>
      <c r="HB91" s="17"/>
      <c r="HC91" s="17"/>
      <c r="HD91" s="17"/>
      <c r="HE91" s="17"/>
      <c r="HF91" s="17"/>
      <c r="HG91" s="17"/>
      <c r="HH91" s="17"/>
      <c r="HI91" s="17"/>
      <c r="HJ91" s="17"/>
      <c r="HK91" s="17"/>
      <c r="HL91" s="17"/>
      <c r="HM91" s="17"/>
      <c r="HN91" s="17"/>
      <c r="HO91" s="17"/>
      <c r="HP91" s="17"/>
      <c r="HQ91" s="17"/>
      <c r="HR91" s="17"/>
      <c r="HS91" s="17"/>
      <c r="HT91" s="17"/>
      <c r="HU91" s="17"/>
      <c r="HV91" s="17"/>
      <c r="HW91" s="17"/>
      <c r="HX91" s="17"/>
      <c r="HY91" s="17"/>
      <c r="HZ91" s="17"/>
    </row>
    <row r="92" spans="11:234" ht="15" x14ac:dyDescent="0.25"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7"/>
      <c r="CF92" s="1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  <c r="CY92" s="17"/>
      <c r="CZ92" s="17"/>
      <c r="DA92" s="17"/>
      <c r="DB92" s="17"/>
      <c r="DC92" s="17"/>
      <c r="DD92" s="17"/>
      <c r="DE92" s="17"/>
      <c r="DF92" s="17"/>
      <c r="DG92" s="17"/>
      <c r="DH92" s="17"/>
      <c r="DI92" s="17"/>
      <c r="DJ92" s="17"/>
      <c r="DK92" s="17"/>
      <c r="DL92" s="17"/>
      <c r="DM92" s="17"/>
      <c r="DN92" s="17"/>
      <c r="DO92" s="17"/>
      <c r="DP92" s="17"/>
      <c r="DQ92" s="17"/>
      <c r="DR92" s="17"/>
      <c r="DS92" s="17"/>
      <c r="DT92" s="17"/>
      <c r="DU92" s="17"/>
      <c r="DV92" s="17"/>
      <c r="DW92" s="17"/>
      <c r="DX92" s="17"/>
      <c r="DY92" s="17"/>
      <c r="DZ92" s="17"/>
      <c r="EA92" s="17"/>
      <c r="EB92" s="17"/>
      <c r="EC92" s="17"/>
      <c r="ED92" s="17"/>
      <c r="EE92" s="17"/>
      <c r="EF92" s="17"/>
      <c r="EG92" s="17"/>
      <c r="EH92" s="17"/>
      <c r="EI92" s="17"/>
      <c r="EJ92" s="17"/>
      <c r="EK92" s="17"/>
      <c r="EL92" s="17"/>
      <c r="EM92" s="17"/>
      <c r="EN92" s="17"/>
      <c r="EO92" s="17"/>
      <c r="EP92" s="17"/>
      <c r="EQ92" s="17"/>
      <c r="ER92" s="17"/>
      <c r="ES92" s="17"/>
      <c r="ET92" s="17"/>
      <c r="EU92" s="17"/>
      <c r="EV92" s="17"/>
      <c r="EW92" s="17"/>
      <c r="EX92" s="17"/>
      <c r="EY92" s="17"/>
      <c r="EZ92" s="17"/>
      <c r="FA92" s="17"/>
      <c r="FB92" s="17"/>
      <c r="FC92" s="17"/>
      <c r="FD92" s="17"/>
      <c r="FE92" s="17"/>
      <c r="FF92" s="17"/>
      <c r="FG92" s="17"/>
      <c r="FH92" s="17"/>
      <c r="FI92" s="17"/>
      <c r="FJ92" s="17"/>
      <c r="FK92" s="17"/>
      <c r="FL92" s="17"/>
      <c r="FM92" s="17"/>
      <c r="FN92" s="17"/>
      <c r="FO92" s="17"/>
      <c r="FP92" s="17"/>
      <c r="FQ92" s="17"/>
      <c r="FR92" s="17"/>
      <c r="FS92" s="17"/>
      <c r="FT92" s="17"/>
      <c r="FU92" s="17"/>
      <c r="FV92" s="17"/>
      <c r="FW92" s="17"/>
      <c r="FX92" s="17"/>
      <c r="FY92" s="17"/>
      <c r="FZ92" s="17"/>
      <c r="GA92" s="17"/>
      <c r="GB92" s="17"/>
      <c r="GC92" s="17"/>
      <c r="GD92" s="17"/>
      <c r="GE92" s="17"/>
      <c r="GF92" s="17"/>
      <c r="GG92" s="17"/>
      <c r="GH92" s="17"/>
      <c r="GI92" s="17"/>
      <c r="GJ92" s="17"/>
      <c r="GK92" s="17"/>
      <c r="GL92" s="17"/>
      <c r="GM92" s="17"/>
      <c r="GN92" s="17"/>
      <c r="GO92" s="17"/>
      <c r="GP92" s="17"/>
      <c r="GQ92" s="17"/>
      <c r="GR92" s="17"/>
      <c r="GS92" s="17"/>
      <c r="GT92" s="17"/>
      <c r="GU92" s="17"/>
      <c r="GV92" s="17"/>
      <c r="GW92" s="17"/>
      <c r="GX92" s="17"/>
      <c r="GY92" s="17"/>
      <c r="GZ92" s="17"/>
      <c r="HA92" s="17"/>
      <c r="HB92" s="17"/>
      <c r="HC92" s="17"/>
      <c r="HD92" s="17"/>
      <c r="HE92" s="17"/>
      <c r="HF92" s="17"/>
      <c r="HG92" s="17"/>
      <c r="HH92" s="17"/>
      <c r="HI92" s="17"/>
      <c r="HJ92" s="17"/>
      <c r="HK92" s="17"/>
      <c r="HL92" s="17"/>
      <c r="HM92" s="17"/>
      <c r="HN92" s="17"/>
      <c r="HO92" s="17"/>
      <c r="HP92" s="17"/>
      <c r="HQ92" s="17"/>
      <c r="HR92" s="17"/>
      <c r="HS92" s="17"/>
      <c r="HT92" s="17"/>
      <c r="HU92" s="17"/>
      <c r="HV92" s="17"/>
      <c r="HW92" s="17"/>
      <c r="HX92" s="17"/>
      <c r="HY92" s="17"/>
      <c r="HZ92" s="17"/>
    </row>
    <row r="93" spans="11:234" ht="15" x14ac:dyDescent="0.25">
      <c r="BU93" s="17"/>
      <c r="BV93" s="17"/>
      <c r="BW93" s="17"/>
      <c r="BX93" s="17"/>
      <c r="BY93" s="17"/>
      <c r="BZ93" s="17"/>
      <c r="CA93" s="17"/>
      <c r="CB93" s="17"/>
      <c r="CC93" s="17"/>
      <c r="CD93" s="17"/>
      <c r="CE93" s="17"/>
      <c r="CF93" s="1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  <c r="CR93" s="17"/>
      <c r="CS93" s="17"/>
      <c r="CT93" s="17"/>
      <c r="CU93" s="17"/>
      <c r="CV93" s="17"/>
      <c r="CW93" s="17"/>
      <c r="CX93" s="17"/>
      <c r="CY93" s="17"/>
      <c r="CZ93" s="17"/>
      <c r="DA93" s="17"/>
      <c r="DB93" s="17"/>
      <c r="DC93" s="17"/>
      <c r="DD93" s="17"/>
      <c r="DE93" s="17"/>
      <c r="DF93" s="17"/>
      <c r="DG93" s="17"/>
      <c r="DH93" s="17"/>
      <c r="DI93" s="17"/>
      <c r="DJ93" s="17"/>
      <c r="DK93" s="17"/>
      <c r="DL93" s="17"/>
      <c r="DM93" s="17"/>
      <c r="DN93" s="17"/>
      <c r="DO93" s="17"/>
      <c r="DP93" s="17"/>
      <c r="DQ93" s="17"/>
      <c r="DR93" s="17"/>
      <c r="DS93" s="17"/>
      <c r="DT93" s="17"/>
      <c r="DU93" s="17"/>
      <c r="DV93" s="17"/>
      <c r="DW93" s="17"/>
      <c r="DX93" s="17"/>
      <c r="DY93" s="17"/>
      <c r="DZ93" s="17"/>
      <c r="EA93" s="17"/>
      <c r="EB93" s="17"/>
      <c r="EC93" s="17"/>
      <c r="ED93" s="17"/>
      <c r="EE93" s="17"/>
      <c r="EF93" s="17"/>
      <c r="EG93" s="17"/>
      <c r="EH93" s="17"/>
      <c r="EI93" s="17"/>
      <c r="EJ93" s="17"/>
      <c r="EK93" s="17"/>
      <c r="EL93" s="17"/>
      <c r="EM93" s="17"/>
      <c r="EN93" s="17"/>
      <c r="EO93" s="17"/>
      <c r="EP93" s="17"/>
      <c r="EQ93" s="17"/>
      <c r="ER93" s="17"/>
      <c r="ES93" s="17"/>
      <c r="ET93" s="17"/>
      <c r="EU93" s="17"/>
      <c r="EV93" s="17"/>
      <c r="EW93" s="17"/>
      <c r="EX93" s="17"/>
      <c r="EY93" s="17"/>
      <c r="EZ93" s="17"/>
      <c r="FA93" s="17"/>
      <c r="FB93" s="17"/>
      <c r="FC93" s="17"/>
      <c r="FD93" s="17"/>
      <c r="FE93" s="17"/>
      <c r="FF93" s="17"/>
      <c r="FG93" s="17"/>
      <c r="FH93" s="17"/>
      <c r="FI93" s="17"/>
      <c r="FJ93" s="17"/>
      <c r="FK93" s="17"/>
      <c r="FL93" s="17"/>
      <c r="FM93" s="17"/>
      <c r="FN93" s="17"/>
      <c r="FO93" s="17"/>
      <c r="FP93" s="17"/>
      <c r="FQ93" s="17"/>
      <c r="FR93" s="17"/>
      <c r="FS93" s="17"/>
      <c r="FT93" s="17"/>
      <c r="FU93" s="17"/>
      <c r="FV93" s="17"/>
      <c r="FW93" s="17"/>
      <c r="FX93" s="17"/>
      <c r="FY93" s="17"/>
      <c r="FZ93" s="17"/>
      <c r="GA93" s="17"/>
      <c r="GB93" s="17"/>
      <c r="GC93" s="17"/>
      <c r="GD93" s="17"/>
      <c r="GE93" s="17"/>
      <c r="GF93" s="17"/>
      <c r="GG93" s="17"/>
      <c r="GH93" s="17"/>
      <c r="GI93" s="17"/>
      <c r="GJ93" s="17"/>
      <c r="GK93" s="17"/>
      <c r="GL93" s="17"/>
      <c r="GM93" s="17"/>
      <c r="GN93" s="17"/>
      <c r="GO93" s="17"/>
      <c r="GP93" s="17"/>
      <c r="GQ93" s="17"/>
      <c r="GR93" s="17"/>
      <c r="GS93" s="17"/>
      <c r="GT93" s="17"/>
      <c r="GU93" s="17"/>
      <c r="GV93" s="17"/>
      <c r="GW93" s="17"/>
      <c r="GX93" s="17"/>
      <c r="GY93" s="17"/>
      <c r="GZ93" s="17"/>
      <c r="HA93" s="17"/>
      <c r="HB93" s="17"/>
      <c r="HC93" s="17"/>
      <c r="HD93" s="17"/>
      <c r="HE93" s="17"/>
      <c r="HF93" s="17"/>
      <c r="HG93" s="17"/>
      <c r="HH93" s="17"/>
      <c r="HI93" s="17"/>
      <c r="HJ93" s="17"/>
      <c r="HK93" s="17"/>
      <c r="HL93" s="17"/>
      <c r="HM93" s="17"/>
      <c r="HN93" s="17"/>
      <c r="HO93" s="17"/>
      <c r="HP93" s="17"/>
      <c r="HQ93" s="17"/>
      <c r="HR93" s="17"/>
      <c r="HS93" s="17"/>
      <c r="HT93" s="17"/>
      <c r="HU93" s="17"/>
      <c r="HV93" s="17"/>
      <c r="HW93" s="17"/>
      <c r="HX93" s="17"/>
      <c r="HY93" s="17"/>
      <c r="HZ93" s="17"/>
    </row>
    <row r="94" spans="11:234" ht="15" x14ac:dyDescent="0.25">
      <c r="BU94" s="17"/>
      <c r="BV94" s="17"/>
      <c r="BW94" s="17"/>
      <c r="BX94" s="17"/>
      <c r="BY94" s="17"/>
      <c r="BZ94" s="17"/>
      <c r="CA94" s="17"/>
      <c r="CB94" s="17"/>
      <c r="CC94" s="17"/>
      <c r="CD94" s="17"/>
      <c r="CE94" s="17"/>
      <c r="CF94" s="1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7"/>
      <c r="CW94" s="17"/>
      <c r="CX94" s="17"/>
      <c r="CY94" s="17"/>
      <c r="CZ94" s="17"/>
      <c r="DA94" s="17"/>
      <c r="DB94" s="17"/>
      <c r="DC94" s="17"/>
      <c r="DD94" s="17"/>
      <c r="DE94" s="17"/>
      <c r="DF94" s="17"/>
      <c r="DG94" s="17"/>
      <c r="DH94" s="17"/>
      <c r="DI94" s="17"/>
      <c r="DJ94" s="17"/>
      <c r="DK94" s="17"/>
      <c r="DL94" s="17"/>
      <c r="DM94" s="17"/>
      <c r="DN94" s="17"/>
      <c r="DO94" s="17"/>
      <c r="DP94" s="17"/>
      <c r="DQ94" s="17"/>
      <c r="DR94" s="17"/>
      <c r="DS94" s="17"/>
      <c r="DT94" s="17"/>
      <c r="DU94" s="17"/>
      <c r="DV94" s="17"/>
      <c r="DW94" s="17"/>
      <c r="DX94" s="17"/>
      <c r="DY94" s="17"/>
      <c r="DZ94" s="17"/>
      <c r="EA94" s="17"/>
      <c r="EB94" s="17"/>
      <c r="EC94" s="17"/>
      <c r="ED94" s="17"/>
      <c r="EE94" s="17"/>
      <c r="EF94" s="17"/>
      <c r="EG94" s="17"/>
      <c r="EH94" s="17"/>
      <c r="EI94" s="17"/>
      <c r="EJ94" s="17"/>
      <c r="EK94" s="17"/>
      <c r="EL94" s="17"/>
      <c r="EM94" s="17"/>
      <c r="EN94" s="17"/>
      <c r="EO94" s="17"/>
      <c r="EP94" s="17"/>
      <c r="EQ94" s="17"/>
      <c r="ER94" s="17"/>
      <c r="ES94" s="17"/>
      <c r="ET94" s="17"/>
      <c r="EU94" s="17"/>
      <c r="EV94" s="17"/>
      <c r="EW94" s="17"/>
      <c r="EX94" s="17"/>
      <c r="EY94" s="17"/>
      <c r="EZ94" s="17"/>
      <c r="FA94" s="17"/>
      <c r="FB94" s="17"/>
      <c r="FC94" s="17"/>
      <c r="FD94" s="17"/>
      <c r="FE94" s="17"/>
      <c r="FF94" s="17"/>
      <c r="FG94" s="17"/>
      <c r="FH94" s="17"/>
      <c r="FI94" s="17"/>
      <c r="FJ94" s="17"/>
      <c r="FK94" s="17"/>
      <c r="FL94" s="17"/>
      <c r="FM94" s="17"/>
      <c r="FN94" s="17"/>
      <c r="FO94" s="17"/>
      <c r="FP94" s="17"/>
      <c r="FQ94" s="17"/>
      <c r="FR94" s="17"/>
      <c r="FS94" s="17"/>
      <c r="FT94" s="17"/>
      <c r="FU94" s="17"/>
      <c r="FV94" s="17"/>
      <c r="FW94" s="17"/>
      <c r="FX94" s="17"/>
      <c r="FY94" s="17"/>
      <c r="FZ94" s="17"/>
      <c r="GA94" s="17"/>
      <c r="GB94" s="17"/>
      <c r="GC94" s="17"/>
      <c r="GD94" s="17"/>
      <c r="GE94" s="17"/>
      <c r="GF94" s="17"/>
      <c r="GG94" s="17"/>
      <c r="GH94" s="17"/>
      <c r="GI94" s="17"/>
      <c r="GJ94" s="17"/>
      <c r="GK94" s="17"/>
      <c r="GL94" s="17"/>
      <c r="GM94" s="17"/>
      <c r="GN94" s="17"/>
      <c r="GO94" s="17"/>
      <c r="GP94" s="17"/>
      <c r="GQ94" s="17"/>
      <c r="GR94" s="17"/>
      <c r="GS94" s="17"/>
      <c r="GT94" s="17"/>
      <c r="GU94" s="17"/>
      <c r="GV94" s="17"/>
      <c r="GW94" s="17"/>
      <c r="GX94" s="17"/>
      <c r="GY94" s="17"/>
      <c r="GZ94" s="17"/>
      <c r="HA94" s="17"/>
      <c r="HB94" s="17"/>
      <c r="HC94" s="17"/>
      <c r="HD94" s="17"/>
      <c r="HE94" s="17"/>
      <c r="HF94" s="17"/>
      <c r="HG94" s="17"/>
      <c r="HH94" s="17"/>
      <c r="HI94" s="17"/>
      <c r="HJ94" s="17"/>
      <c r="HK94" s="17"/>
      <c r="HL94" s="17"/>
      <c r="HM94" s="17"/>
      <c r="HN94" s="17"/>
      <c r="HO94" s="17"/>
      <c r="HP94" s="17"/>
      <c r="HQ94" s="17"/>
      <c r="HR94" s="17"/>
      <c r="HS94" s="17"/>
      <c r="HT94" s="17"/>
      <c r="HU94" s="17"/>
      <c r="HV94" s="17"/>
      <c r="HW94" s="17"/>
      <c r="HX94" s="17"/>
      <c r="HY94" s="17"/>
      <c r="HZ94" s="17"/>
    </row>
    <row r="95" spans="11:234" ht="15" x14ac:dyDescent="0.25">
      <c r="BU95" s="17"/>
      <c r="BV95" s="17"/>
      <c r="BW95" s="17"/>
      <c r="BX95" s="17"/>
      <c r="BY95" s="17"/>
      <c r="BZ95" s="17"/>
      <c r="CA95" s="17"/>
      <c r="CB95" s="17"/>
      <c r="CC95" s="17"/>
      <c r="CD95" s="17"/>
      <c r="CE95" s="17"/>
      <c r="CF95" s="1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  <c r="CR95" s="17"/>
      <c r="CS95" s="17"/>
      <c r="CT95" s="17"/>
      <c r="CU95" s="17"/>
      <c r="CV95" s="17"/>
      <c r="CW95" s="17"/>
      <c r="CX95" s="17"/>
      <c r="CY95" s="17"/>
      <c r="CZ95" s="17"/>
      <c r="DA95" s="17"/>
      <c r="DB95" s="17"/>
      <c r="DC95" s="17"/>
      <c r="DD95" s="17"/>
      <c r="DE95" s="17"/>
      <c r="DF95" s="17"/>
      <c r="DG95" s="17"/>
      <c r="DH95" s="17"/>
      <c r="DI95" s="17"/>
      <c r="DJ95" s="17"/>
      <c r="DK95" s="17"/>
      <c r="DL95" s="17"/>
      <c r="DM95" s="17"/>
      <c r="DN95" s="17"/>
      <c r="DO95" s="17"/>
      <c r="DP95" s="17"/>
      <c r="DQ95" s="17"/>
      <c r="DR95" s="17"/>
      <c r="DS95" s="17"/>
      <c r="DT95" s="17"/>
      <c r="DU95" s="17"/>
      <c r="DV95" s="17"/>
      <c r="DW95" s="17"/>
      <c r="DX95" s="17"/>
      <c r="DY95" s="17"/>
      <c r="DZ95" s="17"/>
      <c r="EA95" s="17"/>
      <c r="EB95" s="17"/>
      <c r="EC95" s="17"/>
      <c r="ED95" s="17"/>
      <c r="EE95" s="17"/>
      <c r="EF95" s="17"/>
      <c r="EG95" s="17"/>
      <c r="EH95" s="17"/>
      <c r="EI95" s="17"/>
      <c r="EJ95" s="17"/>
      <c r="EK95" s="17"/>
      <c r="EL95" s="17"/>
      <c r="EM95" s="17"/>
      <c r="EN95" s="17"/>
      <c r="EO95" s="17"/>
      <c r="EP95" s="17"/>
      <c r="EQ95" s="17"/>
      <c r="ER95" s="17"/>
      <c r="ES95" s="17"/>
      <c r="ET95" s="17"/>
      <c r="EU95" s="17"/>
      <c r="EV95" s="17"/>
      <c r="EW95" s="17"/>
      <c r="EX95" s="17"/>
      <c r="EY95" s="17"/>
      <c r="EZ95" s="17"/>
      <c r="FA95" s="17"/>
      <c r="FB95" s="17"/>
      <c r="FC95" s="17"/>
      <c r="FD95" s="17"/>
      <c r="FE95" s="17"/>
      <c r="FF95" s="17"/>
      <c r="FG95" s="17"/>
      <c r="FH95" s="17"/>
      <c r="FI95" s="17"/>
      <c r="FJ95" s="17"/>
      <c r="FK95" s="17"/>
      <c r="FL95" s="17"/>
      <c r="FM95" s="17"/>
      <c r="FN95" s="17"/>
      <c r="FO95" s="17"/>
      <c r="FP95" s="17"/>
      <c r="FQ95" s="17"/>
      <c r="FR95" s="17"/>
      <c r="FS95" s="17"/>
      <c r="FT95" s="17"/>
      <c r="FU95" s="17"/>
      <c r="FV95" s="17"/>
      <c r="FW95" s="17"/>
      <c r="FX95" s="17"/>
      <c r="FY95" s="17"/>
      <c r="FZ95" s="17"/>
      <c r="GA95" s="17"/>
      <c r="GB95" s="17"/>
      <c r="GC95" s="17"/>
      <c r="GD95" s="17"/>
      <c r="GE95" s="17"/>
      <c r="GF95" s="17"/>
      <c r="GG95" s="17"/>
      <c r="GH95" s="17"/>
      <c r="GI95" s="17"/>
      <c r="GJ95" s="17"/>
      <c r="GK95" s="17"/>
      <c r="GL95" s="17"/>
      <c r="GM95" s="17"/>
      <c r="GN95" s="17"/>
      <c r="GO95" s="17"/>
      <c r="GP95" s="17"/>
      <c r="GQ95" s="17"/>
      <c r="GR95" s="17"/>
      <c r="GS95" s="17"/>
      <c r="GT95" s="17"/>
      <c r="GU95" s="17"/>
      <c r="GV95" s="17"/>
      <c r="GW95" s="17"/>
      <c r="GX95" s="17"/>
      <c r="GY95" s="17"/>
      <c r="GZ95" s="17"/>
      <c r="HA95" s="17"/>
      <c r="HB95" s="17"/>
      <c r="HC95" s="17"/>
      <c r="HD95" s="17"/>
      <c r="HE95" s="17"/>
      <c r="HF95" s="17"/>
      <c r="HG95" s="17"/>
      <c r="HH95" s="17"/>
      <c r="HI95" s="17"/>
      <c r="HJ95" s="17"/>
      <c r="HK95" s="17"/>
      <c r="HL95" s="17"/>
      <c r="HM95" s="17"/>
      <c r="HN95" s="17"/>
      <c r="HO95" s="17"/>
      <c r="HP95" s="17"/>
      <c r="HQ95" s="17"/>
      <c r="HR95" s="17"/>
      <c r="HS95" s="17"/>
      <c r="HT95" s="17"/>
      <c r="HU95" s="17"/>
      <c r="HV95" s="17"/>
      <c r="HW95" s="17"/>
      <c r="HX95" s="17"/>
      <c r="HY95" s="17"/>
      <c r="HZ95" s="17"/>
    </row>
    <row r="96" spans="11:234" ht="15" x14ac:dyDescent="0.25">
      <c r="BU96" s="17"/>
      <c r="BV96" s="17"/>
      <c r="BW96" s="17"/>
      <c r="BX96" s="17"/>
      <c r="BY96" s="17"/>
      <c r="BZ96" s="17"/>
      <c r="CA96" s="17"/>
      <c r="CB96" s="17"/>
      <c r="CC96" s="17"/>
      <c r="CD96" s="17"/>
      <c r="CE96" s="17"/>
      <c r="CF96" s="1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CY96" s="17"/>
      <c r="CZ96" s="17"/>
      <c r="DA96" s="17"/>
      <c r="DB96" s="17"/>
      <c r="DC96" s="17"/>
      <c r="DD96" s="17"/>
      <c r="DE96" s="17"/>
      <c r="DF96" s="17"/>
      <c r="DG96" s="17"/>
      <c r="DH96" s="17"/>
      <c r="DI96" s="17"/>
      <c r="DJ96" s="17"/>
      <c r="DK96" s="17"/>
      <c r="DL96" s="17"/>
      <c r="DM96" s="17"/>
      <c r="DN96" s="17"/>
      <c r="DO96" s="17"/>
      <c r="DP96" s="17"/>
      <c r="DQ96" s="17"/>
      <c r="DR96" s="17"/>
      <c r="DS96" s="17"/>
      <c r="DT96" s="17"/>
      <c r="DU96" s="17"/>
      <c r="DV96" s="17"/>
      <c r="DW96" s="17"/>
      <c r="DX96" s="17"/>
      <c r="DY96" s="17"/>
      <c r="DZ96" s="17"/>
      <c r="EA96" s="17"/>
      <c r="EB96" s="17"/>
      <c r="EC96" s="17"/>
      <c r="ED96" s="17"/>
      <c r="EE96" s="17"/>
      <c r="EF96" s="17"/>
      <c r="EG96" s="17"/>
      <c r="EH96" s="17"/>
      <c r="EI96" s="17"/>
      <c r="EJ96" s="17"/>
      <c r="EK96" s="17"/>
      <c r="EL96" s="17"/>
      <c r="EM96" s="17"/>
      <c r="EN96" s="17"/>
      <c r="EO96" s="17"/>
      <c r="EP96" s="17"/>
      <c r="EQ96" s="17"/>
      <c r="ER96" s="17"/>
      <c r="ES96" s="17"/>
      <c r="ET96" s="17"/>
      <c r="EU96" s="17"/>
      <c r="EV96" s="17"/>
      <c r="EW96" s="17"/>
      <c r="EX96" s="17"/>
      <c r="EY96" s="17"/>
      <c r="EZ96" s="17"/>
      <c r="FA96" s="17"/>
      <c r="FB96" s="17"/>
      <c r="FC96" s="17"/>
      <c r="FD96" s="17"/>
      <c r="FE96" s="17"/>
      <c r="FF96" s="17"/>
      <c r="FG96" s="17"/>
      <c r="FH96" s="17"/>
      <c r="FI96" s="17"/>
      <c r="FJ96" s="17"/>
      <c r="FK96" s="17"/>
      <c r="FL96" s="17"/>
      <c r="FM96" s="17"/>
      <c r="FN96" s="17"/>
      <c r="FO96" s="17"/>
      <c r="FP96" s="17"/>
      <c r="FQ96" s="17"/>
      <c r="FR96" s="17"/>
      <c r="FS96" s="17"/>
      <c r="FT96" s="17"/>
      <c r="FU96" s="17"/>
      <c r="FV96" s="17"/>
      <c r="FW96" s="17"/>
      <c r="FX96" s="17"/>
      <c r="FY96" s="17"/>
      <c r="FZ96" s="17"/>
      <c r="GA96" s="17"/>
      <c r="GB96" s="17"/>
      <c r="GC96" s="17"/>
      <c r="GD96" s="17"/>
      <c r="GE96" s="17"/>
      <c r="GF96" s="17"/>
      <c r="GG96" s="17"/>
      <c r="GH96" s="17"/>
      <c r="GI96" s="17"/>
      <c r="GJ96" s="17"/>
      <c r="GK96" s="17"/>
      <c r="GL96" s="17"/>
      <c r="GM96" s="17"/>
      <c r="GN96" s="17"/>
      <c r="GO96" s="17"/>
      <c r="GP96" s="17"/>
      <c r="GQ96" s="17"/>
      <c r="GR96" s="17"/>
      <c r="GS96" s="17"/>
      <c r="GT96" s="17"/>
      <c r="GU96" s="17"/>
      <c r="GV96" s="17"/>
      <c r="GW96" s="17"/>
      <c r="GX96" s="17"/>
      <c r="GY96" s="17"/>
      <c r="GZ96" s="17"/>
      <c r="HA96" s="17"/>
      <c r="HB96" s="17"/>
      <c r="HC96" s="17"/>
      <c r="HD96" s="17"/>
      <c r="HE96" s="17"/>
      <c r="HF96" s="17"/>
      <c r="HG96" s="17"/>
      <c r="HH96" s="17"/>
      <c r="HI96" s="17"/>
      <c r="HJ96" s="17"/>
      <c r="HK96" s="17"/>
      <c r="HL96" s="17"/>
      <c r="HM96" s="17"/>
      <c r="HN96" s="17"/>
      <c r="HO96" s="17"/>
      <c r="HP96" s="17"/>
      <c r="HQ96" s="17"/>
      <c r="HR96" s="17"/>
      <c r="HS96" s="17"/>
      <c r="HT96" s="17"/>
      <c r="HU96" s="17"/>
      <c r="HV96" s="17"/>
      <c r="HW96" s="17"/>
      <c r="HX96" s="17"/>
      <c r="HY96" s="17"/>
      <c r="HZ96" s="17"/>
    </row>
    <row r="97" spans="73:234" ht="15" x14ac:dyDescent="0.25">
      <c r="BU97" s="17"/>
      <c r="BV97" s="17"/>
      <c r="BW97" s="17"/>
      <c r="BX97" s="17"/>
      <c r="BY97" s="17"/>
      <c r="BZ97" s="17"/>
      <c r="CA97" s="17"/>
      <c r="CB97" s="17"/>
      <c r="CC97" s="17"/>
      <c r="CD97" s="17"/>
      <c r="CE97" s="17"/>
      <c r="CF97" s="1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CY97" s="17"/>
      <c r="CZ97" s="17"/>
      <c r="DA97" s="17"/>
      <c r="DB97" s="17"/>
      <c r="DC97" s="17"/>
      <c r="DD97" s="17"/>
      <c r="DE97" s="17"/>
      <c r="DF97" s="17"/>
      <c r="DG97" s="17"/>
      <c r="DH97" s="17"/>
      <c r="DI97" s="17"/>
      <c r="DJ97" s="17"/>
      <c r="DK97" s="17"/>
      <c r="DL97" s="17"/>
      <c r="DM97" s="17"/>
      <c r="DN97" s="17"/>
      <c r="DO97" s="17"/>
      <c r="DP97" s="17"/>
      <c r="DQ97" s="17"/>
      <c r="DR97" s="17"/>
      <c r="DS97" s="17"/>
      <c r="DT97" s="17"/>
      <c r="DU97" s="17"/>
      <c r="DV97" s="17"/>
      <c r="DW97" s="17"/>
      <c r="DX97" s="17"/>
      <c r="DY97" s="17"/>
      <c r="DZ97" s="17"/>
      <c r="EA97" s="17"/>
      <c r="EB97" s="17"/>
      <c r="EC97" s="17"/>
      <c r="ED97" s="17"/>
      <c r="EE97" s="17"/>
      <c r="EF97" s="17"/>
      <c r="EG97" s="17"/>
      <c r="EH97" s="17"/>
      <c r="EI97" s="17"/>
      <c r="EJ97" s="17"/>
      <c r="EK97" s="17"/>
      <c r="EL97" s="17"/>
      <c r="EM97" s="17"/>
      <c r="EN97" s="17"/>
      <c r="EO97" s="17"/>
      <c r="EP97" s="17"/>
      <c r="EQ97" s="17"/>
      <c r="ER97" s="17"/>
      <c r="ES97" s="17"/>
      <c r="ET97" s="17"/>
      <c r="EU97" s="17"/>
      <c r="EV97" s="17"/>
      <c r="EW97" s="17"/>
      <c r="EX97" s="17"/>
      <c r="EY97" s="17"/>
      <c r="EZ97" s="17"/>
      <c r="FA97" s="17"/>
      <c r="FB97" s="17"/>
      <c r="FC97" s="17"/>
      <c r="FD97" s="17"/>
      <c r="FE97" s="17"/>
      <c r="FF97" s="17"/>
      <c r="FG97" s="17"/>
      <c r="FH97" s="17"/>
      <c r="FI97" s="17"/>
      <c r="FJ97" s="17"/>
      <c r="FK97" s="17"/>
      <c r="FL97" s="17"/>
      <c r="FM97" s="17"/>
      <c r="FN97" s="17"/>
      <c r="FO97" s="17"/>
      <c r="FP97" s="17"/>
      <c r="FQ97" s="17"/>
      <c r="FR97" s="17"/>
      <c r="FS97" s="17"/>
      <c r="FT97" s="17"/>
      <c r="FU97" s="17"/>
      <c r="FV97" s="17"/>
      <c r="FW97" s="17"/>
      <c r="FX97" s="17"/>
      <c r="FY97" s="17"/>
      <c r="FZ97" s="17"/>
      <c r="GA97" s="17"/>
      <c r="GB97" s="17"/>
      <c r="GC97" s="17"/>
      <c r="GD97" s="17"/>
      <c r="GE97" s="17"/>
      <c r="GF97" s="17"/>
      <c r="GG97" s="17"/>
      <c r="GH97" s="17"/>
      <c r="GI97" s="17"/>
      <c r="GJ97" s="17"/>
      <c r="GK97" s="17"/>
      <c r="GL97" s="17"/>
      <c r="GM97" s="17"/>
      <c r="GN97" s="17"/>
      <c r="GO97" s="17"/>
      <c r="GP97" s="17"/>
      <c r="GQ97" s="17"/>
      <c r="GR97" s="17"/>
      <c r="GS97" s="17"/>
      <c r="GT97" s="17"/>
      <c r="GU97" s="17"/>
      <c r="GV97" s="17"/>
      <c r="GW97" s="17"/>
      <c r="GX97" s="17"/>
      <c r="GY97" s="17"/>
      <c r="GZ97" s="17"/>
      <c r="HA97" s="17"/>
      <c r="HB97" s="17"/>
      <c r="HC97" s="17"/>
      <c r="HD97" s="17"/>
      <c r="HE97" s="17"/>
      <c r="HF97" s="17"/>
      <c r="HG97" s="17"/>
      <c r="HH97" s="17"/>
      <c r="HI97" s="17"/>
      <c r="HJ97" s="17"/>
      <c r="HK97" s="17"/>
      <c r="HL97" s="17"/>
      <c r="HM97" s="17"/>
      <c r="HN97" s="17"/>
      <c r="HO97" s="17"/>
      <c r="HP97" s="17"/>
      <c r="HQ97" s="17"/>
      <c r="HR97" s="17"/>
      <c r="HS97" s="17"/>
      <c r="HT97" s="17"/>
      <c r="HU97" s="17"/>
      <c r="HV97" s="17"/>
      <c r="HW97" s="17"/>
      <c r="HX97" s="17"/>
      <c r="HY97" s="17"/>
      <c r="HZ97" s="17"/>
    </row>
    <row r="98" spans="73:234" ht="15" x14ac:dyDescent="0.25"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  <c r="CZ98" s="17"/>
      <c r="DA98" s="17"/>
      <c r="DB98" s="17"/>
      <c r="DC98" s="17"/>
      <c r="DD98" s="17"/>
      <c r="DE98" s="17"/>
      <c r="DF98" s="17"/>
      <c r="DG98" s="17"/>
      <c r="DH98" s="17"/>
      <c r="DI98" s="17"/>
      <c r="DJ98" s="17"/>
      <c r="DK98" s="17"/>
      <c r="DL98" s="17"/>
      <c r="DM98" s="17"/>
      <c r="DN98" s="17"/>
      <c r="DO98" s="17"/>
      <c r="DP98" s="17"/>
      <c r="DQ98" s="17"/>
      <c r="DR98" s="17"/>
      <c r="DS98" s="17"/>
      <c r="DT98" s="17"/>
      <c r="DU98" s="17"/>
      <c r="DV98" s="17"/>
      <c r="DW98" s="17"/>
      <c r="DX98" s="17"/>
      <c r="DY98" s="17"/>
      <c r="DZ98" s="17"/>
      <c r="EA98" s="17"/>
      <c r="EB98" s="17"/>
      <c r="EC98" s="17"/>
      <c r="ED98" s="17"/>
      <c r="EE98" s="17"/>
      <c r="EF98" s="17"/>
      <c r="EG98" s="17"/>
      <c r="EH98" s="17"/>
      <c r="EI98" s="17"/>
      <c r="EJ98" s="17"/>
      <c r="EK98" s="17"/>
      <c r="EL98" s="17"/>
      <c r="EM98" s="17"/>
      <c r="EN98" s="17"/>
      <c r="EO98" s="17"/>
      <c r="EP98" s="17"/>
      <c r="EQ98" s="17"/>
      <c r="ER98" s="17"/>
      <c r="ES98" s="17"/>
      <c r="ET98" s="17"/>
      <c r="EU98" s="17"/>
      <c r="EV98" s="17"/>
      <c r="EW98" s="17"/>
      <c r="EX98" s="17"/>
      <c r="EY98" s="17"/>
      <c r="EZ98" s="17"/>
      <c r="FA98" s="17"/>
      <c r="FB98" s="17"/>
      <c r="FC98" s="17"/>
      <c r="FD98" s="17"/>
      <c r="FE98" s="17"/>
      <c r="FF98" s="17"/>
      <c r="FG98" s="17"/>
      <c r="FH98" s="17"/>
      <c r="FI98" s="17"/>
      <c r="FJ98" s="17"/>
      <c r="FK98" s="17"/>
      <c r="FL98" s="17"/>
      <c r="FM98" s="17"/>
      <c r="FN98" s="17"/>
      <c r="FO98" s="17"/>
      <c r="FP98" s="17"/>
      <c r="FQ98" s="17"/>
      <c r="FR98" s="17"/>
      <c r="FS98" s="17"/>
      <c r="FT98" s="17"/>
      <c r="FU98" s="17"/>
      <c r="FV98" s="17"/>
      <c r="FW98" s="17"/>
      <c r="FX98" s="17"/>
      <c r="FY98" s="17"/>
      <c r="FZ98" s="17"/>
      <c r="GA98" s="17"/>
      <c r="GB98" s="17"/>
      <c r="GC98" s="17"/>
      <c r="GD98" s="17"/>
      <c r="GE98" s="17"/>
      <c r="GF98" s="17"/>
      <c r="GG98" s="17"/>
      <c r="GH98" s="17"/>
      <c r="GI98" s="17"/>
      <c r="GJ98" s="17"/>
      <c r="GK98" s="17"/>
      <c r="GL98" s="17"/>
      <c r="GM98" s="17"/>
      <c r="GN98" s="17"/>
      <c r="GO98" s="17"/>
      <c r="GP98" s="17"/>
      <c r="GQ98" s="17"/>
      <c r="GR98" s="17"/>
      <c r="GS98" s="17"/>
      <c r="GT98" s="17"/>
      <c r="GU98" s="17"/>
      <c r="GV98" s="17"/>
      <c r="GW98" s="17"/>
      <c r="GX98" s="17"/>
      <c r="GY98" s="17"/>
      <c r="GZ98" s="17"/>
      <c r="HA98" s="17"/>
      <c r="HB98" s="17"/>
      <c r="HC98" s="17"/>
      <c r="HD98" s="17"/>
      <c r="HE98" s="17"/>
      <c r="HF98" s="17"/>
      <c r="HG98" s="17"/>
      <c r="HH98" s="17"/>
      <c r="HI98" s="17"/>
      <c r="HJ98" s="17"/>
      <c r="HK98" s="17"/>
      <c r="HL98" s="17"/>
      <c r="HM98" s="17"/>
      <c r="HN98" s="17"/>
      <c r="HO98" s="17"/>
      <c r="HP98" s="17"/>
      <c r="HQ98" s="17"/>
      <c r="HR98" s="17"/>
      <c r="HS98" s="17"/>
      <c r="HT98" s="17"/>
      <c r="HU98" s="17"/>
      <c r="HV98" s="17"/>
      <c r="HW98" s="17"/>
      <c r="HX98" s="17"/>
      <c r="HY98" s="17"/>
      <c r="HZ98" s="17"/>
    </row>
    <row r="99" spans="73:234" ht="15" x14ac:dyDescent="0.25"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  <c r="CZ99" s="17"/>
      <c r="DA99" s="17"/>
      <c r="DB99" s="17"/>
      <c r="DC99" s="17"/>
      <c r="DD99" s="17"/>
      <c r="DE99" s="17"/>
      <c r="DF99" s="17"/>
      <c r="DG99" s="17"/>
      <c r="DH99" s="17"/>
      <c r="DI99" s="17"/>
      <c r="DJ99" s="17"/>
      <c r="DK99" s="17"/>
      <c r="DL99" s="17"/>
      <c r="DM99" s="17"/>
      <c r="DN99" s="17"/>
      <c r="DO99" s="17"/>
      <c r="DP99" s="17"/>
      <c r="DQ99" s="17"/>
      <c r="DR99" s="17"/>
      <c r="DS99" s="17"/>
      <c r="DT99" s="17"/>
      <c r="DU99" s="17"/>
      <c r="DV99" s="17"/>
      <c r="DW99" s="17"/>
      <c r="DX99" s="17"/>
      <c r="DY99" s="17"/>
      <c r="DZ99" s="17"/>
      <c r="EA99" s="17"/>
      <c r="EB99" s="17"/>
      <c r="EC99" s="17"/>
      <c r="ED99" s="17"/>
      <c r="EE99" s="17"/>
      <c r="EF99" s="17"/>
      <c r="EG99" s="17"/>
      <c r="EH99" s="17"/>
      <c r="EI99" s="17"/>
      <c r="EJ99" s="17"/>
      <c r="EK99" s="17"/>
      <c r="EL99" s="17"/>
      <c r="EM99" s="17"/>
      <c r="EN99" s="17"/>
      <c r="EO99" s="17"/>
      <c r="EP99" s="17"/>
      <c r="EQ99" s="17"/>
      <c r="ER99" s="17"/>
      <c r="ES99" s="17"/>
      <c r="ET99" s="17"/>
      <c r="EU99" s="17"/>
      <c r="EV99" s="17"/>
      <c r="EW99" s="17"/>
      <c r="EX99" s="17"/>
      <c r="EY99" s="17"/>
      <c r="EZ99" s="17"/>
      <c r="FA99" s="17"/>
      <c r="FB99" s="17"/>
      <c r="FC99" s="17"/>
      <c r="FD99" s="17"/>
      <c r="FE99" s="17"/>
      <c r="FF99" s="17"/>
      <c r="FG99" s="17"/>
      <c r="FH99" s="17"/>
      <c r="FI99" s="17"/>
      <c r="FJ99" s="17"/>
      <c r="FK99" s="17"/>
      <c r="FL99" s="17"/>
      <c r="FM99" s="17"/>
      <c r="FN99" s="17"/>
      <c r="FO99" s="17"/>
      <c r="FP99" s="17"/>
      <c r="FQ99" s="17"/>
      <c r="FR99" s="17"/>
      <c r="FS99" s="17"/>
      <c r="FT99" s="17"/>
      <c r="FU99" s="17"/>
      <c r="FV99" s="17"/>
      <c r="FW99" s="17"/>
      <c r="FX99" s="17"/>
      <c r="FY99" s="17"/>
      <c r="FZ99" s="17"/>
      <c r="GA99" s="17"/>
      <c r="GB99" s="17"/>
      <c r="GC99" s="17"/>
      <c r="GD99" s="17"/>
      <c r="GE99" s="17"/>
      <c r="GF99" s="17"/>
      <c r="GG99" s="17"/>
      <c r="GH99" s="17"/>
      <c r="GI99" s="17"/>
      <c r="GJ99" s="17"/>
      <c r="GK99" s="17"/>
      <c r="GL99" s="17"/>
      <c r="GM99" s="17"/>
      <c r="GN99" s="17"/>
      <c r="GO99" s="17"/>
      <c r="GP99" s="17"/>
      <c r="GQ99" s="17"/>
      <c r="GR99" s="17"/>
      <c r="GS99" s="17"/>
      <c r="GT99" s="17"/>
      <c r="GU99" s="17"/>
      <c r="GV99" s="17"/>
      <c r="GW99" s="17"/>
      <c r="GX99" s="17"/>
      <c r="GY99" s="17"/>
      <c r="GZ99" s="17"/>
      <c r="HA99" s="17"/>
      <c r="HB99" s="17"/>
      <c r="HC99" s="17"/>
      <c r="HD99" s="17"/>
      <c r="HE99" s="17"/>
      <c r="HF99" s="17"/>
      <c r="HG99" s="17"/>
      <c r="HH99" s="17"/>
      <c r="HI99" s="17"/>
      <c r="HJ99" s="17"/>
      <c r="HK99" s="17"/>
      <c r="HL99" s="17"/>
      <c r="HM99" s="17"/>
      <c r="HN99" s="17"/>
      <c r="HO99" s="17"/>
      <c r="HP99" s="17"/>
      <c r="HQ99" s="17"/>
      <c r="HR99" s="17"/>
      <c r="HS99" s="17"/>
      <c r="HT99" s="17"/>
      <c r="HU99" s="17"/>
      <c r="HV99" s="17"/>
      <c r="HW99" s="17"/>
      <c r="HX99" s="17"/>
      <c r="HY99" s="17"/>
      <c r="HZ99" s="17"/>
    </row>
    <row r="100" spans="73:234" ht="15" x14ac:dyDescent="0.25"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  <c r="CZ100" s="17"/>
      <c r="DA100" s="17"/>
      <c r="DB100" s="17"/>
      <c r="DC100" s="17"/>
      <c r="DD100" s="17"/>
      <c r="DE100" s="17"/>
      <c r="DF100" s="17"/>
      <c r="DG100" s="17"/>
      <c r="DH100" s="17"/>
      <c r="DI100" s="17"/>
      <c r="DJ100" s="17"/>
      <c r="DK100" s="17"/>
      <c r="DL100" s="17"/>
      <c r="DM100" s="17"/>
      <c r="DN100" s="17"/>
      <c r="DO100" s="17"/>
      <c r="DP100" s="17"/>
      <c r="DQ100" s="17"/>
      <c r="DR100" s="17"/>
      <c r="DS100" s="17"/>
      <c r="DT100" s="17"/>
      <c r="DU100" s="17"/>
      <c r="DV100" s="17"/>
      <c r="DW100" s="17"/>
      <c r="DX100" s="17"/>
      <c r="DY100" s="17"/>
      <c r="DZ100" s="17"/>
      <c r="EA100" s="17"/>
      <c r="EB100" s="17"/>
      <c r="EC100" s="17"/>
      <c r="ED100" s="17"/>
      <c r="EE100" s="17"/>
      <c r="EF100" s="17"/>
      <c r="EG100" s="17"/>
      <c r="EH100" s="17"/>
      <c r="EI100" s="17"/>
      <c r="EJ100" s="17"/>
      <c r="EK100" s="17"/>
      <c r="EL100" s="17"/>
      <c r="EM100" s="17"/>
      <c r="EN100" s="17"/>
      <c r="EO100" s="17"/>
      <c r="EP100" s="17"/>
      <c r="EQ100" s="17"/>
      <c r="ER100" s="17"/>
      <c r="ES100" s="17"/>
      <c r="ET100" s="17"/>
      <c r="EU100" s="17"/>
      <c r="EV100" s="17"/>
      <c r="EW100" s="17"/>
      <c r="EX100" s="17"/>
      <c r="EY100" s="17"/>
      <c r="EZ100" s="17"/>
      <c r="FA100" s="17"/>
      <c r="FB100" s="17"/>
      <c r="FC100" s="17"/>
      <c r="FD100" s="17"/>
      <c r="FE100" s="17"/>
      <c r="FF100" s="17"/>
      <c r="FG100" s="17"/>
      <c r="FH100" s="17"/>
      <c r="FI100" s="17"/>
      <c r="FJ100" s="17"/>
      <c r="FK100" s="17"/>
      <c r="FL100" s="17"/>
      <c r="FM100" s="17"/>
      <c r="FN100" s="17"/>
      <c r="FO100" s="17"/>
      <c r="FP100" s="17"/>
      <c r="FQ100" s="17"/>
      <c r="FR100" s="17"/>
      <c r="FS100" s="17"/>
      <c r="FT100" s="17"/>
      <c r="FU100" s="17"/>
      <c r="FV100" s="17"/>
      <c r="FW100" s="17"/>
      <c r="FX100" s="17"/>
      <c r="FY100" s="17"/>
      <c r="FZ100" s="17"/>
      <c r="GA100" s="17"/>
      <c r="GB100" s="17"/>
      <c r="GC100" s="17"/>
      <c r="GD100" s="17"/>
      <c r="GE100" s="17"/>
      <c r="GF100" s="17"/>
      <c r="GG100" s="17"/>
      <c r="GH100" s="17"/>
      <c r="GI100" s="17"/>
      <c r="GJ100" s="17"/>
      <c r="GK100" s="17"/>
      <c r="GL100" s="17"/>
      <c r="GM100" s="17"/>
      <c r="GN100" s="17"/>
      <c r="GO100" s="17"/>
      <c r="GP100" s="17"/>
      <c r="GQ100" s="17"/>
      <c r="GR100" s="17"/>
      <c r="GS100" s="17"/>
      <c r="GT100" s="17"/>
      <c r="GU100" s="17"/>
      <c r="GV100" s="17"/>
      <c r="GW100" s="17"/>
      <c r="GX100" s="17"/>
      <c r="GY100" s="17"/>
      <c r="GZ100" s="17"/>
      <c r="HA100" s="17"/>
      <c r="HB100" s="17"/>
      <c r="HC100" s="17"/>
      <c r="HD100" s="17"/>
      <c r="HE100" s="17"/>
      <c r="HF100" s="17"/>
      <c r="HG100" s="17"/>
      <c r="HH100" s="17"/>
      <c r="HI100" s="17"/>
      <c r="HJ100" s="17"/>
      <c r="HK100" s="17"/>
      <c r="HL100" s="17"/>
      <c r="HM100" s="17"/>
      <c r="HN100" s="17"/>
      <c r="HO100" s="17"/>
      <c r="HP100" s="17"/>
      <c r="HQ100" s="17"/>
      <c r="HR100" s="17"/>
      <c r="HS100" s="17"/>
      <c r="HT100" s="17"/>
      <c r="HU100" s="17"/>
      <c r="HV100" s="17"/>
      <c r="HW100" s="17"/>
      <c r="HX100" s="17"/>
      <c r="HY100" s="17"/>
      <c r="HZ100" s="17"/>
    </row>
    <row r="101" spans="73:234" ht="15" x14ac:dyDescent="0.25"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  <c r="CZ101" s="17"/>
      <c r="DA101" s="17"/>
      <c r="DB101" s="17"/>
      <c r="DC101" s="17"/>
      <c r="DD101" s="17"/>
      <c r="DE101" s="17"/>
      <c r="DF101" s="17"/>
      <c r="DG101" s="17"/>
      <c r="DH101" s="17"/>
      <c r="DI101" s="17"/>
      <c r="DJ101" s="17"/>
      <c r="DK101" s="17"/>
      <c r="DL101" s="17"/>
      <c r="DM101" s="17"/>
      <c r="DN101" s="17"/>
      <c r="DO101" s="17"/>
      <c r="DP101" s="17"/>
      <c r="DQ101" s="17"/>
      <c r="DR101" s="17"/>
      <c r="DS101" s="17"/>
      <c r="DT101" s="17"/>
      <c r="DU101" s="17"/>
      <c r="DV101" s="17"/>
      <c r="DW101" s="17"/>
      <c r="DX101" s="17"/>
      <c r="DY101" s="17"/>
      <c r="DZ101" s="17"/>
      <c r="EA101" s="17"/>
      <c r="EB101" s="17"/>
      <c r="EC101" s="17"/>
      <c r="ED101" s="17"/>
      <c r="EE101" s="17"/>
      <c r="EF101" s="17"/>
      <c r="EG101" s="17"/>
      <c r="EH101" s="17"/>
      <c r="EI101" s="17"/>
      <c r="EJ101" s="17"/>
      <c r="EK101" s="17"/>
      <c r="EL101" s="17"/>
      <c r="EM101" s="17"/>
      <c r="EN101" s="17"/>
      <c r="EO101" s="17"/>
      <c r="EP101" s="17"/>
      <c r="EQ101" s="17"/>
      <c r="ER101" s="17"/>
      <c r="ES101" s="17"/>
      <c r="ET101" s="17"/>
      <c r="EU101" s="17"/>
      <c r="EV101" s="17"/>
      <c r="EW101" s="17"/>
      <c r="EX101" s="17"/>
      <c r="EY101" s="17"/>
      <c r="EZ101" s="17"/>
      <c r="FA101" s="17"/>
      <c r="FB101" s="17"/>
      <c r="FC101" s="17"/>
      <c r="FD101" s="17"/>
      <c r="FE101" s="17"/>
      <c r="FF101" s="17"/>
      <c r="FG101" s="17"/>
      <c r="FH101" s="17"/>
      <c r="FI101" s="17"/>
      <c r="FJ101" s="17"/>
      <c r="FK101" s="17"/>
      <c r="FL101" s="17"/>
      <c r="FM101" s="17"/>
      <c r="FN101" s="17"/>
      <c r="FO101" s="17"/>
      <c r="FP101" s="17"/>
      <c r="FQ101" s="17"/>
      <c r="FR101" s="17"/>
      <c r="FS101" s="17"/>
      <c r="FT101" s="17"/>
      <c r="FU101" s="17"/>
      <c r="FV101" s="17"/>
      <c r="FW101" s="17"/>
      <c r="FX101" s="17"/>
      <c r="FY101" s="17"/>
      <c r="FZ101" s="17"/>
      <c r="GA101" s="17"/>
      <c r="GB101" s="17"/>
      <c r="GC101" s="17"/>
      <c r="GD101" s="17"/>
      <c r="GE101" s="17"/>
      <c r="GF101" s="17"/>
      <c r="GG101" s="17"/>
      <c r="GH101" s="17"/>
      <c r="GI101" s="17"/>
      <c r="GJ101" s="17"/>
      <c r="GK101" s="17"/>
      <c r="GL101" s="17"/>
      <c r="GM101" s="17"/>
      <c r="GN101" s="17"/>
      <c r="GO101" s="17"/>
      <c r="GP101" s="17"/>
      <c r="GQ101" s="17"/>
      <c r="GR101" s="17"/>
      <c r="GS101" s="17"/>
      <c r="GT101" s="17"/>
      <c r="GU101" s="17"/>
      <c r="GV101" s="17"/>
      <c r="GW101" s="17"/>
      <c r="GX101" s="17"/>
      <c r="GY101" s="17"/>
      <c r="GZ101" s="17"/>
      <c r="HA101" s="17"/>
      <c r="HB101" s="17"/>
      <c r="HC101" s="17"/>
      <c r="HD101" s="17"/>
      <c r="HE101" s="17"/>
      <c r="HF101" s="17"/>
      <c r="HG101" s="17"/>
      <c r="HH101" s="17"/>
      <c r="HI101" s="17"/>
      <c r="HJ101" s="17"/>
      <c r="HK101" s="17"/>
      <c r="HL101" s="17"/>
      <c r="HM101" s="17"/>
      <c r="HN101" s="17"/>
      <c r="HO101" s="17"/>
      <c r="HP101" s="17"/>
      <c r="HQ101" s="17"/>
      <c r="HR101" s="17"/>
      <c r="HS101" s="17"/>
      <c r="HT101" s="17"/>
      <c r="HU101" s="17"/>
      <c r="HV101" s="17"/>
      <c r="HW101" s="17"/>
      <c r="HX101" s="17"/>
      <c r="HY101" s="17"/>
      <c r="HZ101" s="17"/>
    </row>
    <row r="102" spans="73:234" ht="15" x14ac:dyDescent="0.25">
      <c r="BU102" s="17"/>
      <c r="BV102" s="17"/>
      <c r="BW102" s="17"/>
      <c r="BX102" s="17"/>
      <c r="BY102" s="17"/>
      <c r="BZ102" s="17"/>
      <c r="CA102" s="17"/>
      <c r="CB102" s="17"/>
      <c r="CC102" s="17"/>
      <c r="CD102" s="17"/>
      <c r="CE102" s="1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  <c r="CZ102" s="17"/>
      <c r="DA102" s="17"/>
      <c r="DB102" s="17"/>
      <c r="DC102" s="17"/>
      <c r="DD102" s="17"/>
      <c r="DE102" s="17"/>
      <c r="DF102" s="17"/>
      <c r="DG102" s="17"/>
      <c r="DH102" s="17"/>
      <c r="DI102" s="17"/>
      <c r="DJ102" s="17"/>
      <c r="DK102" s="17"/>
      <c r="DL102" s="17"/>
      <c r="DM102" s="17"/>
      <c r="DN102" s="17"/>
      <c r="DO102" s="17"/>
      <c r="DP102" s="17"/>
      <c r="DQ102" s="17"/>
      <c r="DR102" s="17"/>
      <c r="DS102" s="17"/>
      <c r="DT102" s="17"/>
      <c r="DU102" s="17"/>
      <c r="DV102" s="17"/>
      <c r="DW102" s="17"/>
      <c r="DX102" s="17"/>
      <c r="DY102" s="17"/>
      <c r="DZ102" s="17"/>
      <c r="EA102" s="17"/>
      <c r="EB102" s="17"/>
      <c r="EC102" s="17"/>
      <c r="ED102" s="17"/>
      <c r="EE102" s="17"/>
      <c r="EF102" s="17"/>
      <c r="EG102" s="17"/>
      <c r="EH102" s="17"/>
      <c r="EI102" s="17"/>
      <c r="EJ102" s="17"/>
      <c r="EK102" s="17"/>
      <c r="EL102" s="17"/>
      <c r="EM102" s="17"/>
      <c r="EN102" s="17"/>
      <c r="EO102" s="17"/>
      <c r="EP102" s="17"/>
      <c r="EQ102" s="17"/>
      <c r="ER102" s="17"/>
      <c r="ES102" s="17"/>
      <c r="ET102" s="17"/>
      <c r="EU102" s="17"/>
      <c r="EV102" s="17"/>
      <c r="EW102" s="17"/>
      <c r="EX102" s="17"/>
      <c r="EY102" s="17"/>
      <c r="EZ102" s="17"/>
      <c r="FA102" s="17"/>
      <c r="FB102" s="17"/>
      <c r="FC102" s="17"/>
      <c r="FD102" s="17"/>
      <c r="FE102" s="17"/>
      <c r="FF102" s="17"/>
      <c r="FG102" s="17"/>
      <c r="FH102" s="17"/>
      <c r="FI102" s="17"/>
      <c r="FJ102" s="17"/>
      <c r="FK102" s="17"/>
      <c r="FL102" s="17"/>
      <c r="FM102" s="17"/>
      <c r="FN102" s="17"/>
      <c r="FO102" s="17"/>
      <c r="FP102" s="17"/>
      <c r="FQ102" s="17"/>
      <c r="FR102" s="17"/>
      <c r="FS102" s="17"/>
      <c r="FT102" s="17"/>
      <c r="FU102" s="17"/>
      <c r="FV102" s="17"/>
      <c r="FW102" s="17"/>
      <c r="FX102" s="17"/>
      <c r="FY102" s="17"/>
      <c r="FZ102" s="17"/>
      <c r="GA102" s="17"/>
      <c r="GB102" s="17"/>
      <c r="GC102" s="17"/>
      <c r="GD102" s="17"/>
      <c r="GE102" s="17"/>
      <c r="GF102" s="17"/>
      <c r="GG102" s="17"/>
      <c r="GH102" s="17"/>
      <c r="GI102" s="17"/>
      <c r="GJ102" s="17"/>
      <c r="GK102" s="17"/>
      <c r="GL102" s="17"/>
      <c r="GM102" s="17"/>
      <c r="GN102" s="17"/>
      <c r="GO102" s="17"/>
      <c r="GP102" s="17"/>
      <c r="GQ102" s="17"/>
      <c r="GR102" s="17"/>
      <c r="GS102" s="17"/>
      <c r="GT102" s="17"/>
      <c r="GU102" s="17"/>
      <c r="GV102" s="17"/>
      <c r="GW102" s="17"/>
      <c r="GX102" s="17"/>
      <c r="GY102" s="17"/>
      <c r="GZ102" s="17"/>
      <c r="HA102" s="17"/>
      <c r="HB102" s="17"/>
      <c r="HC102" s="17"/>
      <c r="HD102" s="17"/>
      <c r="HE102" s="17"/>
      <c r="HF102" s="17"/>
      <c r="HG102" s="17"/>
      <c r="HH102" s="17"/>
      <c r="HI102" s="17"/>
      <c r="HJ102" s="17"/>
      <c r="HK102" s="17"/>
      <c r="HL102" s="17"/>
      <c r="HM102" s="17"/>
      <c r="HN102" s="17"/>
      <c r="HO102" s="17"/>
      <c r="HP102" s="17"/>
      <c r="HQ102" s="17"/>
      <c r="HR102" s="17"/>
      <c r="HS102" s="17"/>
      <c r="HT102" s="17"/>
      <c r="HU102" s="17"/>
      <c r="HV102" s="17"/>
      <c r="HW102" s="17"/>
      <c r="HX102" s="17"/>
      <c r="HY102" s="17"/>
      <c r="HZ102" s="17"/>
    </row>
    <row r="103" spans="73:234" ht="15" x14ac:dyDescent="0.25">
      <c r="BU103" s="17"/>
      <c r="BV103" s="17"/>
      <c r="BW103" s="17"/>
      <c r="BX103" s="17"/>
      <c r="BY103" s="17"/>
      <c r="BZ103" s="17"/>
      <c r="CA103" s="17"/>
      <c r="CB103" s="17"/>
      <c r="CC103" s="17"/>
      <c r="CD103" s="17"/>
      <c r="CE103" s="17"/>
      <c r="CF103" s="1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CY103" s="17"/>
      <c r="CZ103" s="17"/>
      <c r="DA103" s="17"/>
      <c r="DB103" s="17"/>
      <c r="DC103" s="17"/>
      <c r="DD103" s="17"/>
      <c r="DE103" s="17"/>
      <c r="DF103" s="17"/>
      <c r="DG103" s="17"/>
      <c r="DH103" s="17"/>
      <c r="DI103" s="17"/>
      <c r="DJ103" s="17"/>
      <c r="DK103" s="17"/>
      <c r="DL103" s="17"/>
      <c r="DM103" s="17"/>
      <c r="DN103" s="17"/>
      <c r="DO103" s="17"/>
      <c r="DP103" s="17"/>
      <c r="DQ103" s="17"/>
      <c r="DR103" s="17"/>
      <c r="DS103" s="17"/>
      <c r="DT103" s="17"/>
      <c r="DU103" s="17"/>
      <c r="DV103" s="17"/>
      <c r="DW103" s="17"/>
      <c r="DX103" s="17"/>
      <c r="DY103" s="17"/>
      <c r="DZ103" s="17"/>
      <c r="EA103" s="17"/>
      <c r="EB103" s="17"/>
      <c r="EC103" s="17"/>
      <c r="ED103" s="17"/>
      <c r="EE103" s="17"/>
      <c r="EF103" s="17"/>
      <c r="EG103" s="17"/>
      <c r="EH103" s="17"/>
      <c r="EI103" s="17"/>
      <c r="EJ103" s="17"/>
      <c r="EK103" s="17"/>
      <c r="EL103" s="17"/>
      <c r="EM103" s="17"/>
      <c r="EN103" s="17"/>
      <c r="EO103" s="17"/>
      <c r="EP103" s="17"/>
      <c r="EQ103" s="17"/>
      <c r="ER103" s="17"/>
      <c r="ES103" s="17"/>
      <c r="ET103" s="17"/>
      <c r="EU103" s="17"/>
      <c r="EV103" s="17"/>
      <c r="EW103" s="17"/>
      <c r="EX103" s="17"/>
      <c r="EY103" s="17"/>
      <c r="EZ103" s="17"/>
      <c r="FA103" s="17"/>
      <c r="FB103" s="17"/>
      <c r="FC103" s="17"/>
      <c r="FD103" s="17"/>
      <c r="FE103" s="17"/>
      <c r="FF103" s="17"/>
      <c r="FG103" s="17"/>
      <c r="FH103" s="17"/>
      <c r="FI103" s="17"/>
      <c r="FJ103" s="17"/>
      <c r="FK103" s="17"/>
      <c r="FL103" s="17"/>
      <c r="FM103" s="17"/>
      <c r="FN103" s="17"/>
      <c r="FO103" s="17"/>
      <c r="FP103" s="17"/>
      <c r="FQ103" s="17"/>
      <c r="FR103" s="17"/>
      <c r="FS103" s="17"/>
      <c r="FT103" s="17"/>
      <c r="FU103" s="17"/>
      <c r="FV103" s="17"/>
      <c r="FW103" s="17"/>
      <c r="FX103" s="17"/>
      <c r="FY103" s="17"/>
      <c r="FZ103" s="17"/>
      <c r="GA103" s="17"/>
      <c r="GB103" s="17"/>
      <c r="GC103" s="17"/>
      <c r="GD103" s="17"/>
      <c r="GE103" s="17"/>
      <c r="GF103" s="17"/>
      <c r="GG103" s="17"/>
      <c r="GH103" s="17"/>
      <c r="GI103" s="17"/>
      <c r="GJ103" s="17"/>
      <c r="GK103" s="17"/>
      <c r="GL103" s="17"/>
      <c r="GM103" s="17"/>
      <c r="GN103" s="17"/>
      <c r="GO103" s="17"/>
      <c r="GP103" s="17"/>
      <c r="GQ103" s="17"/>
      <c r="GR103" s="17"/>
      <c r="GS103" s="17"/>
      <c r="GT103" s="17"/>
      <c r="GU103" s="17"/>
      <c r="GV103" s="17"/>
      <c r="GW103" s="17"/>
      <c r="GX103" s="17"/>
      <c r="GY103" s="17"/>
      <c r="GZ103" s="17"/>
      <c r="HA103" s="17"/>
      <c r="HB103" s="17"/>
      <c r="HC103" s="17"/>
      <c r="HD103" s="17"/>
      <c r="HE103" s="17"/>
      <c r="HF103" s="17"/>
      <c r="HG103" s="17"/>
      <c r="HH103" s="17"/>
      <c r="HI103" s="17"/>
      <c r="HJ103" s="17"/>
      <c r="HK103" s="17"/>
      <c r="HL103" s="17"/>
      <c r="HM103" s="17"/>
      <c r="HN103" s="17"/>
      <c r="HO103" s="17"/>
      <c r="HP103" s="17"/>
      <c r="HQ103" s="17"/>
      <c r="HR103" s="17"/>
      <c r="HS103" s="17"/>
      <c r="HT103" s="17"/>
      <c r="HU103" s="17"/>
      <c r="HV103" s="17"/>
      <c r="HW103" s="17"/>
      <c r="HX103" s="17"/>
      <c r="HY103" s="17"/>
      <c r="HZ103" s="17"/>
    </row>
    <row r="104" spans="73:234" ht="15" x14ac:dyDescent="0.25"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CY104" s="17"/>
      <c r="CZ104" s="17"/>
      <c r="DA104" s="17"/>
      <c r="DB104" s="17"/>
      <c r="DC104" s="17"/>
      <c r="DD104" s="17"/>
      <c r="DE104" s="17"/>
      <c r="DF104" s="17"/>
      <c r="DG104" s="17"/>
      <c r="DH104" s="17"/>
      <c r="DI104" s="17"/>
      <c r="DJ104" s="17"/>
      <c r="DK104" s="17"/>
      <c r="DL104" s="17"/>
      <c r="DM104" s="17"/>
      <c r="DN104" s="17"/>
      <c r="DO104" s="17"/>
      <c r="DP104" s="17"/>
      <c r="DQ104" s="17"/>
      <c r="DR104" s="17"/>
      <c r="DS104" s="17"/>
      <c r="DT104" s="17"/>
      <c r="DU104" s="17"/>
      <c r="DV104" s="17"/>
      <c r="DW104" s="17"/>
      <c r="DX104" s="17"/>
      <c r="DY104" s="17"/>
      <c r="DZ104" s="17"/>
      <c r="EA104" s="17"/>
      <c r="EB104" s="17"/>
      <c r="EC104" s="17"/>
      <c r="ED104" s="17"/>
      <c r="EE104" s="17"/>
      <c r="EF104" s="17"/>
      <c r="EG104" s="17"/>
      <c r="EH104" s="17"/>
      <c r="EI104" s="17"/>
      <c r="EJ104" s="17"/>
      <c r="EK104" s="17"/>
      <c r="EL104" s="17"/>
      <c r="EM104" s="17"/>
      <c r="EN104" s="17"/>
      <c r="EO104" s="17"/>
      <c r="EP104" s="17"/>
      <c r="EQ104" s="17"/>
      <c r="ER104" s="17"/>
      <c r="ES104" s="17"/>
      <c r="ET104" s="17"/>
      <c r="EU104" s="17"/>
      <c r="EV104" s="17"/>
      <c r="EW104" s="17"/>
      <c r="EX104" s="17"/>
      <c r="EY104" s="17"/>
      <c r="EZ104" s="17"/>
      <c r="FA104" s="17"/>
      <c r="FB104" s="17"/>
      <c r="FC104" s="17"/>
      <c r="FD104" s="17"/>
      <c r="FE104" s="17"/>
      <c r="FF104" s="17"/>
      <c r="FG104" s="17"/>
      <c r="FH104" s="17"/>
      <c r="FI104" s="17"/>
      <c r="FJ104" s="17"/>
      <c r="FK104" s="17"/>
      <c r="FL104" s="17"/>
      <c r="FM104" s="17"/>
      <c r="FN104" s="17"/>
      <c r="FO104" s="17"/>
      <c r="FP104" s="17"/>
      <c r="FQ104" s="17"/>
      <c r="FR104" s="17"/>
      <c r="FS104" s="17"/>
      <c r="FT104" s="17"/>
      <c r="FU104" s="17"/>
      <c r="FV104" s="17"/>
      <c r="FW104" s="17"/>
      <c r="FX104" s="17"/>
      <c r="FY104" s="17"/>
      <c r="FZ104" s="17"/>
      <c r="GA104" s="17"/>
      <c r="GB104" s="17"/>
      <c r="GC104" s="17"/>
      <c r="GD104" s="17"/>
      <c r="GE104" s="17"/>
      <c r="GF104" s="17"/>
      <c r="GG104" s="17"/>
      <c r="GH104" s="17"/>
      <c r="GI104" s="17"/>
      <c r="GJ104" s="17"/>
      <c r="GK104" s="17"/>
      <c r="GL104" s="17"/>
      <c r="GM104" s="17"/>
      <c r="GN104" s="17"/>
      <c r="GO104" s="17"/>
      <c r="GP104" s="17"/>
      <c r="GQ104" s="17"/>
      <c r="GR104" s="17"/>
      <c r="GS104" s="17"/>
      <c r="GT104" s="17"/>
      <c r="GU104" s="17"/>
      <c r="GV104" s="17"/>
      <c r="GW104" s="17"/>
      <c r="GX104" s="17"/>
      <c r="GY104" s="17"/>
      <c r="GZ104" s="17"/>
      <c r="HA104" s="17"/>
      <c r="HB104" s="17"/>
      <c r="HC104" s="17"/>
      <c r="HD104" s="17"/>
      <c r="HE104" s="17"/>
      <c r="HF104" s="17"/>
      <c r="HG104" s="17"/>
      <c r="HH104" s="17"/>
      <c r="HI104" s="17"/>
      <c r="HJ104" s="17"/>
      <c r="HK104" s="17"/>
      <c r="HL104" s="17"/>
      <c r="HM104" s="17"/>
      <c r="HN104" s="17"/>
      <c r="HO104" s="17"/>
      <c r="HP104" s="17"/>
      <c r="HQ104" s="17"/>
      <c r="HR104" s="17"/>
      <c r="HS104" s="17"/>
      <c r="HT104" s="17"/>
      <c r="HU104" s="17"/>
      <c r="HV104" s="17"/>
      <c r="HW104" s="17"/>
      <c r="HX104" s="17"/>
      <c r="HY104" s="17"/>
      <c r="HZ104" s="17"/>
    </row>
    <row r="105" spans="73:234" ht="15" x14ac:dyDescent="0.25">
      <c r="BU105" s="17"/>
      <c r="BV105" s="17"/>
      <c r="BW105" s="17"/>
      <c r="BX105" s="17"/>
      <c r="BY105" s="17"/>
      <c r="BZ105" s="17"/>
      <c r="CA105" s="17"/>
      <c r="CB105" s="17"/>
      <c r="CC105" s="17"/>
      <c r="CD105" s="17"/>
      <c r="CE105" s="17"/>
      <c r="CF105" s="1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CY105" s="17"/>
      <c r="CZ105" s="17"/>
      <c r="DA105" s="17"/>
      <c r="DB105" s="17"/>
      <c r="DC105" s="17"/>
      <c r="DD105" s="17"/>
      <c r="DE105" s="17"/>
      <c r="DF105" s="17"/>
      <c r="DG105" s="17"/>
      <c r="DH105" s="17"/>
      <c r="DI105" s="17"/>
      <c r="DJ105" s="17"/>
      <c r="DK105" s="17"/>
      <c r="DL105" s="17"/>
      <c r="DM105" s="17"/>
      <c r="DN105" s="17"/>
      <c r="DO105" s="17"/>
      <c r="DP105" s="17"/>
      <c r="DQ105" s="17"/>
      <c r="DR105" s="17"/>
      <c r="DS105" s="17"/>
      <c r="DT105" s="17"/>
      <c r="DU105" s="17"/>
      <c r="DV105" s="17"/>
      <c r="DW105" s="17"/>
      <c r="DX105" s="17"/>
      <c r="DY105" s="17"/>
      <c r="DZ105" s="17"/>
      <c r="EA105" s="17"/>
      <c r="EB105" s="17"/>
      <c r="EC105" s="17"/>
      <c r="ED105" s="17"/>
      <c r="EE105" s="17"/>
      <c r="EF105" s="17"/>
      <c r="EG105" s="17"/>
      <c r="EH105" s="17"/>
      <c r="EI105" s="17"/>
      <c r="EJ105" s="17"/>
      <c r="EK105" s="17"/>
      <c r="EL105" s="17"/>
      <c r="EM105" s="17"/>
      <c r="EN105" s="17"/>
      <c r="EO105" s="17"/>
      <c r="EP105" s="17"/>
      <c r="EQ105" s="17"/>
      <c r="ER105" s="17"/>
      <c r="ES105" s="17"/>
      <c r="ET105" s="17"/>
      <c r="EU105" s="17"/>
      <c r="EV105" s="17"/>
      <c r="EW105" s="17"/>
      <c r="EX105" s="17"/>
      <c r="EY105" s="17"/>
      <c r="EZ105" s="17"/>
      <c r="FA105" s="17"/>
      <c r="FB105" s="17"/>
      <c r="FC105" s="17"/>
      <c r="FD105" s="17"/>
      <c r="FE105" s="17"/>
      <c r="FF105" s="17"/>
      <c r="FG105" s="17"/>
      <c r="FH105" s="17"/>
      <c r="FI105" s="17"/>
      <c r="FJ105" s="17"/>
      <c r="FK105" s="17"/>
      <c r="FL105" s="17"/>
      <c r="FM105" s="17"/>
      <c r="FN105" s="17"/>
      <c r="FO105" s="17"/>
      <c r="FP105" s="17"/>
      <c r="FQ105" s="17"/>
      <c r="FR105" s="17"/>
      <c r="FS105" s="17"/>
      <c r="FT105" s="17"/>
      <c r="FU105" s="17"/>
      <c r="FV105" s="17"/>
      <c r="FW105" s="17"/>
      <c r="FX105" s="17"/>
      <c r="FY105" s="17"/>
      <c r="FZ105" s="17"/>
      <c r="GA105" s="17"/>
      <c r="GB105" s="17"/>
      <c r="GC105" s="17"/>
      <c r="GD105" s="17"/>
      <c r="GE105" s="17"/>
      <c r="GF105" s="17"/>
      <c r="GG105" s="17"/>
      <c r="GH105" s="17"/>
      <c r="GI105" s="17"/>
      <c r="GJ105" s="17"/>
      <c r="GK105" s="17"/>
      <c r="GL105" s="17"/>
      <c r="GM105" s="17"/>
      <c r="GN105" s="17"/>
      <c r="GO105" s="17"/>
      <c r="GP105" s="17"/>
      <c r="GQ105" s="17"/>
      <c r="GR105" s="17"/>
      <c r="GS105" s="17"/>
      <c r="GT105" s="17"/>
      <c r="GU105" s="17"/>
      <c r="GV105" s="17"/>
      <c r="GW105" s="17"/>
      <c r="GX105" s="17"/>
      <c r="GY105" s="17"/>
      <c r="GZ105" s="17"/>
      <c r="HA105" s="17"/>
      <c r="HB105" s="17"/>
      <c r="HC105" s="17"/>
      <c r="HD105" s="17"/>
      <c r="HE105" s="17"/>
      <c r="HF105" s="17"/>
      <c r="HG105" s="17"/>
      <c r="HH105" s="17"/>
      <c r="HI105" s="17"/>
      <c r="HJ105" s="17"/>
      <c r="HK105" s="17"/>
      <c r="HL105" s="17"/>
      <c r="HM105" s="17"/>
      <c r="HN105" s="17"/>
      <c r="HO105" s="17"/>
      <c r="HP105" s="17"/>
      <c r="HQ105" s="17"/>
      <c r="HR105" s="17"/>
      <c r="HS105" s="17"/>
      <c r="HT105" s="17"/>
      <c r="HU105" s="17"/>
      <c r="HV105" s="17"/>
      <c r="HW105" s="17"/>
      <c r="HX105" s="17"/>
      <c r="HY105" s="17"/>
      <c r="HZ105" s="17"/>
    </row>
    <row r="106" spans="73:234" ht="15" x14ac:dyDescent="0.25"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7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7"/>
      <c r="DT106" s="17"/>
      <c r="DU106" s="17"/>
      <c r="DV106" s="17"/>
      <c r="DW106" s="17"/>
      <c r="DX106" s="17"/>
      <c r="DY106" s="17"/>
      <c r="DZ106" s="17"/>
      <c r="EA106" s="17"/>
      <c r="EB106" s="17"/>
      <c r="EC106" s="17"/>
      <c r="ED106" s="17"/>
      <c r="EE106" s="17"/>
      <c r="EF106" s="17"/>
      <c r="EG106" s="17"/>
      <c r="EH106" s="17"/>
      <c r="EI106" s="17"/>
      <c r="EJ106" s="17"/>
      <c r="EK106" s="17"/>
      <c r="EL106" s="17"/>
      <c r="EM106" s="17"/>
      <c r="EN106" s="17"/>
      <c r="EO106" s="17"/>
      <c r="EP106" s="17"/>
      <c r="EQ106" s="17"/>
      <c r="ER106" s="17"/>
      <c r="ES106" s="17"/>
      <c r="ET106" s="17"/>
      <c r="EU106" s="17"/>
      <c r="EV106" s="17"/>
      <c r="EW106" s="17"/>
      <c r="EX106" s="17"/>
      <c r="EY106" s="17"/>
      <c r="EZ106" s="17"/>
      <c r="FA106" s="17"/>
      <c r="FB106" s="17"/>
      <c r="FC106" s="17"/>
      <c r="FD106" s="17"/>
      <c r="FE106" s="17"/>
      <c r="FF106" s="17"/>
      <c r="FG106" s="17"/>
      <c r="FH106" s="17"/>
      <c r="FI106" s="17"/>
      <c r="FJ106" s="17"/>
      <c r="FK106" s="17"/>
      <c r="FL106" s="17"/>
      <c r="FM106" s="17"/>
      <c r="FN106" s="17"/>
      <c r="FO106" s="17"/>
      <c r="FP106" s="17"/>
      <c r="FQ106" s="17"/>
      <c r="FR106" s="17"/>
      <c r="FS106" s="17"/>
      <c r="FT106" s="17"/>
      <c r="FU106" s="17"/>
      <c r="FV106" s="17"/>
      <c r="FW106" s="17"/>
      <c r="FX106" s="17"/>
      <c r="FY106" s="17"/>
      <c r="FZ106" s="17"/>
      <c r="GA106" s="17"/>
      <c r="GB106" s="17"/>
      <c r="GC106" s="17"/>
      <c r="GD106" s="17"/>
      <c r="GE106" s="17"/>
      <c r="GF106" s="17"/>
      <c r="GG106" s="17"/>
      <c r="GH106" s="17"/>
      <c r="GI106" s="17"/>
      <c r="GJ106" s="17"/>
      <c r="GK106" s="17"/>
      <c r="GL106" s="17"/>
      <c r="GM106" s="17"/>
      <c r="GN106" s="17"/>
      <c r="GO106" s="17"/>
      <c r="GP106" s="17"/>
      <c r="GQ106" s="17"/>
      <c r="GR106" s="17"/>
      <c r="GS106" s="17"/>
      <c r="GT106" s="17"/>
      <c r="GU106" s="17"/>
      <c r="GV106" s="17"/>
      <c r="GW106" s="17"/>
      <c r="GX106" s="17"/>
      <c r="GY106" s="17"/>
      <c r="GZ106" s="17"/>
      <c r="HA106" s="17"/>
      <c r="HB106" s="17"/>
      <c r="HC106" s="17"/>
      <c r="HD106" s="17"/>
      <c r="HE106" s="17"/>
      <c r="HF106" s="17"/>
      <c r="HG106" s="17"/>
      <c r="HH106" s="17"/>
      <c r="HI106" s="17"/>
      <c r="HJ106" s="17"/>
      <c r="HK106" s="17"/>
      <c r="HL106" s="17"/>
      <c r="HM106" s="17"/>
      <c r="HN106" s="17"/>
      <c r="HO106" s="17"/>
      <c r="HP106" s="17"/>
      <c r="HQ106" s="17"/>
      <c r="HR106" s="17"/>
      <c r="HS106" s="17"/>
      <c r="HT106" s="17"/>
      <c r="HU106" s="17"/>
      <c r="HV106" s="17"/>
      <c r="HW106" s="17"/>
      <c r="HX106" s="17"/>
      <c r="HY106" s="17"/>
      <c r="HZ106" s="17"/>
    </row>
    <row r="107" spans="73:234" ht="15" x14ac:dyDescent="0.25">
      <c r="BU107" s="17"/>
      <c r="BV107" s="17"/>
      <c r="BW107" s="17"/>
      <c r="BX107" s="17"/>
      <c r="BY107" s="17"/>
      <c r="BZ107" s="17"/>
      <c r="CA107" s="17"/>
      <c r="CB107" s="17"/>
      <c r="CC107" s="17"/>
      <c r="CD107" s="17"/>
      <c r="CE107" s="17"/>
      <c r="CF107" s="1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  <c r="CY107" s="17"/>
      <c r="CZ107" s="17"/>
      <c r="DA107" s="17"/>
      <c r="DB107" s="17"/>
      <c r="DC107" s="17"/>
      <c r="DD107" s="17"/>
      <c r="DE107" s="17"/>
      <c r="DF107" s="17"/>
      <c r="DG107" s="17"/>
      <c r="DH107" s="17"/>
      <c r="DI107" s="17"/>
      <c r="DJ107" s="17"/>
      <c r="DK107" s="17"/>
      <c r="DL107" s="17"/>
      <c r="DM107" s="17"/>
      <c r="DN107" s="17"/>
      <c r="DO107" s="17"/>
      <c r="DP107" s="17"/>
      <c r="DQ107" s="17"/>
      <c r="DR107" s="17"/>
      <c r="DS107" s="17"/>
      <c r="DT107" s="17"/>
      <c r="DU107" s="17"/>
      <c r="DV107" s="17"/>
      <c r="DW107" s="17"/>
      <c r="DX107" s="17"/>
      <c r="DY107" s="17"/>
      <c r="DZ107" s="17"/>
      <c r="EA107" s="17"/>
      <c r="EB107" s="17"/>
      <c r="EC107" s="17"/>
      <c r="ED107" s="17"/>
      <c r="EE107" s="17"/>
      <c r="EF107" s="17"/>
      <c r="EG107" s="17"/>
      <c r="EH107" s="17"/>
      <c r="EI107" s="17"/>
      <c r="EJ107" s="17"/>
      <c r="EK107" s="17"/>
      <c r="EL107" s="17"/>
      <c r="EM107" s="17"/>
      <c r="EN107" s="17"/>
      <c r="EO107" s="17"/>
      <c r="EP107" s="17"/>
      <c r="EQ107" s="17"/>
      <c r="ER107" s="17"/>
      <c r="ES107" s="17"/>
      <c r="ET107" s="17"/>
      <c r="EU107" s="17"/>
      <c r="EV107" s="17"/>
      <c r="EW107" s="17"/>
      <c r="EX107" s="17"/>
      <c r="EY107" s="17"/>
      <c r="EZ107" s="17"/>
      <c r="FA107" s="17"/>
      <c r="FB107" s="17"/>
      <c r="FC107" s="17"/>
      <c r="FD107" s="17"/>
      <c r="FE107" s="17"/>
      <c r="FF107" s="17"/>
      <c r="FG107" s="17"/>
      <c r="FH107" s="17"/>
      <c r="FI107" s="17"/>
      <c r="FJ107" s="17"/>
      <c r="FK107" s="17"/>
      <c r="FL107" s="17"/>
      <c r="FM107" s="17"/>
      <c r="FN107" s="17"/>
      <c r="FO107" s="17"/>
      <c r="FP107" s="17"/>
      <c r="FQ107" s="17"/>
      <c r="FR107" s="17"/>
      <c r="FS107" s="17"/>
      <c r="FT107" s="17"/>
      <c r="FU107" s="17"/>
      <c r="FV107" s="17"/>
      <c r="FW107" s="17"/>
      <c r="FX107" s="17"/>
      <c r="FY107" s="17"/>
      <c r="FZ107" s="17"/>
      <c r="GA107" s="17"/>
      <c r="GB107" s="17"/>
      <c r="GC107" s="17"/>
      <c r="GD107" s="17"/>
      <c r="GE107" s="17"/>
      <c r="GF107" s="17"/>
      <c r="GG107" s="17"/>
      <c r="GH107" s="17"/>
      <c r="GI107" s="17"/>
      <c r="GJ107" s="17"/>
      <c r="GK107" s="17"/>
      <c r="GL107" s="17"/>
      <c r="GM107" s="17"/>
      <c r="GN107" s="17"/>
      <c r="GO107" s="17"/>
      <c r="GP107" s="17"/>
      <c r="GQ107" s="17"/>
      <c r="GR107" s="17"/>
      <c r="GS107" s="17"/>
      <c r="GT107" s="17"/>
      <c r="GU107" s="17"/>
      <c r="GV107" s="17"/>
      <c r="GW107" s="17"/>
      <c r="GX107" s="17"/>
      <c r="GY107" s="17"/>
      <c r="GZ107" s="17"/>
      <c r="HA107" s="17"/>
      <c r="HB107" s="17"/>
      <c r="HC107" s="17"/>
      <c r="HD107" s="17"/>
      <c r="HE107" s="17"/>
      <c r="HF107" s="17"/>
      <c r="HG107" s="17"/>
      <c r="HH107" s="17"/>
      <c r="HI107" s="17"/>
      <c r="HJ107" s="17"/>
      <c r="HK107" s="17"/>
      <c r="HL107" s="17"/>
      <c r="HM107" s="17"/>
      <c r="HN107" s="17"/>
      <c r="HO107" s="17"/>
      <c r="HP107" s="17"/>
      <c r="HQ107" s="17"/>
      <c r="HR107" s="17"/>
      <c r="HS107" s="17"/>
      <c r="HT107" s="17"/>
      <c r="HU107" s="17"/>
      <c r="HV107" s="17"/>
      <c r="HW107" s="17"/>
      <c r="HX107" s="17"/>
      <c r="HY107" s="17"/>
      <c r="HZ107" s="17"/>
    </row>
    <row r="108" spans="73:234" ht="15" x14ac:dyDescent="0.25">
      <c r="BU108" s="17"/>
      <c r="BV108" s="17"/>
      <c r="BW108" s="17"/>
      <c r="BX108" s="17"/>
      <c r="BY108" s="17"/>
      <c r="BZ108" s="17"/>
      <c r="CA108" s="17"/>
      <c r="CB108" s="17"/>
      <c r="CC108" s="17"/>
      <c r="CD108" s="17"/>
      <c r="CE108" s="17"/>
      <c r="CF108" s="1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  <c r="CY108" s="17"/>
      <c r="CZ108" s="17"/>
      <c r="DA108" s="17"/>
      <c r="DB108" s="17"/>
      <c r="DC108" s="17"/>
      <c r="DD108" s="17"/>
      <c r="DE108" s="17"/>
      <c r="DF108" s="17"/>
      <c r="DG108" s="17"/>
      <c r="DH108" s="17"/>
      <c r="DI108" s="17"/>
      <c r="DJ108" s="17"/>
      <c r="DK108" s="17"/>
      <c r="DL108" s="17"/>
      <c r="DM108" s="17"/>
      <c r="DN108" s="17"/>
      <c r="DO108" s="17"/>
      <c r="DP108" s="17"/>
      <c r="DQ108" s="17"/>
      <c r="DR108" s="17"/>
      <c r="DS108" s="17"/>
      <c r="DT108" s="17"/>
      <c r="DU108" s="17"/>
      <c r="DV108" s="17"/>
      <c r="DW108" s="17"/>
      <c r="DX108" s="17"/>
      <c r="DY108" s="17"/>
      <c r="DZ108" s="17"/>
      <c r="EA108" s="17"/>
      <c r="EB108" s="17"/>
      <c r="EC108" s="17"/>
      <c r="ED108" s="17"/>
      <c r="EE108" s="17"/>
      <c r="EF108" s="17"/>
      <c r="EG108" s="17"/>
      <c r="EH108" s="17"/>
      <c r="EI108" s="17"/>
      <c r="EJ108" s="17"/>
      <c r="EK108" s="17"/>
      <c r="EL108" s="17"/>
      <c r="EM108" s="17"/>
      <c r="EN108" s="17"/>
      <c r="EO108" s="17"/>
      <c r="EP108" s="17"/>
      <c r="EQ108" s="17"/>
      <c r="ER108" s="17"/>
      <c r="ES108" s="17"/>
      <c r="ET108" s="17"/>
      <c r="EU108" s="17"/>
      <c r="EV108" s="17"/>
      <c r="EW108" s="17"/>
      <c r="EX108" s="17"/>
      <c r="EY108" s="17"/>
      <c r="EZ108" s="17"/>
      <c r="FA108" s="17"/>
      <c r="FB108" s="17"/>
      <c r="FC108" s="17"/>
      <c r="FD108" s="17"/>
      <c r="FE108" s="17"/>
      <c r="FF108" s="17"/>
      <c r="FG108" s="17"/>
      <c r="FH108" s="17"/>
      <c r="FI108" s="17"/>
      <c r="FJ108" s="17"/>
      <c r="FK108" s="17"/>
      <c r="FL108" s="17"/>
      <c r="FM108" s="17"/>
      <c r="FN108" s="17"/>
      <c r="FO108" s="17"/>
      <c r="FP108" s="17"/>
      <c r="FQ108" s="17"/>
      <c r="FR108" s="17"/>
      <c r="FS108" s="17"/>
      <c r="FT108" s="17"/>
      <c r="FU108" s="17"/>
      <c r="FV108" s="17"/>
      <c r="FW108" s="17"/>
      <c r="FX108" s="17"/>
      <c r="FY108" s="17"/>
      <c r="FZ108" s="17"/>
      <c r="GA108" s="17"/>
      <c r="GB108" s="17"/>
      <c r="GC108" s="17"/>
      <c r="GD108" s="17"/>
      <c r="GE108" s="17"/>
      <c r="GF108" s="17"/>
      <c r="GG108" s="17"/>
      <c r="GH108" s="17"/>
      <c r="GI108" s="17"/>
      <c r="GJ108" s="17"/>
      <c r="GK108" s="17"/>
      <c r="GL108" s="17"/>
      <c r="GM108" s="17"/>
      <c r="GN108" s="17"/>
      <c r="GO108" s="17"/>
      <c r="GP108" s="17"/>
      <c r="GQ108" s="17"/>
      <c r="GR108" s="17"/>
      <c r="GS108" s="17"/>
      <c r="GT108" s="17"/>
      <c r="GU108" s="17"/>
      <c r="GV108" s="17"/>
      <c r="GW108" s="17"/>
      <c r="GX108" s="17"/>
      <c r="GY108" s="17"/>
      <c r="GZ108" s="17"/>
      <c r="HA108" s="17"/>
      <c r="HB108" s="17"/>
      <c r="HC108" s="17"/>
      <c r="HD108" s="17"/>
      <c r="HE108" s="17"/>
      <c r="HF108" s="17"/>
      <c r="HG108" s="17"/>
      <c r="HH108" s="17"/>
      <c r="HI108" s="17"/>
      <c r="HJ108" s="17"/>
      <c r="HK108" s="17"/>
      <c r="HL108" s="17"/>
      <c r="HM108" s="17"/>
      <c r="HN108" s="17"/>
      <c r="HO108" s="17"/>
      <c r="HP108" s="17"/>
      <c r="HQ108" s="17"/>
      <c r="HR108" s="17"/>
      <c r="HS108" s="17"/>
      <c r="HT108" s="17"/>
      <c r="HU108" s="17"/>
      <c r="HV108" s="17"/>
      <c r="HW108" s="17"/>
      <c r="HX108" s="17"/>
      <c r="HY108" s="17"/>
      <c r="HZ108" s="17"/>
    </row>
    <row r="109" spans="73:234" ht="15" x14ac:dyDescent="0.25">
      <c r="BU109" s="17"/>
      <c r="BV109" s="17"/>
      <c r="BW109" s="17"/>
      <c r="BX109" s="17"/>
      <c r="BY109" s="17"/>
      <c r="BZ109" s="17"/>
      <c r="CA109" s="17"/>
      <c r="CB109" s="17"/>
      <c r="CC109" s="17"/>
      <c r="CD109" s="17"/>
      <c r="CE109" s="17"/>
      <c r="CF109" s="1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  <c r="CY109" s="17"/>
      <c r="CZ109" s="17"/>
      <c r="DA109" s="17"/>
      <c r="DB109" s="17"/>
      <c r="DC109" s="17"/>
      <c r="DD109" s="17"/>
      <c r="DE109" s="17"/>
      <c r="DF109" s="17"/>
      <c r="DG109" s="17"/>
      <c r="DH109" s="17"/>
      <c r="DI109" s="17"/>
      <c r="DJ109" s="17"/>
      <c r="DK109" s="17"/>
      <c r="DL109" s="17"/>
      <c r="DM109" s="17"/>
      <c r="DN109" s="17"/>
      <c r="DO109" s="17"/>
      <c r="DP109" s="17"/>
      <c r="DQ109" s="17"/>
      <c r="DR109" s="17"/>
      <c r="DS109" s="17"/>
      <c r="DT109" s="17"/>
      <c r="DU109" s="17"/>
      <c r="DV109" s="17"/>
      <c r="DW109" s="17"/>
      <c r="DX109" s="17"/>
      <c r="DY109" s="17"/>
      <c r="DZ109" s="17"/>
      <c r="EA109" s="17"/>
      <c r="EB109" s="17"/>
      <c r="EC109" s="17"/>
      <c r="ED109" s="17"/>
      <c r="EE109" s="17"/>
      <c r="EF109" s="17"/>
      <c r="EG109" s="17"/>
      <c r="EH109" s="17"/>
      <c r="EI109" s="17"/>
      <c r="EJ109" s="17"/>
      <c r="EK109" s="17"/>
      <c r="EL109" s="17"/>
      <c r="EM109" s="17"/>
      <c r="EN109" s="17"/>
      <c r="EO109" s="17"/>
      <c r="EP109" s="17"/>
      <c r="EQ109" s="17"/>
      <c r="ER109" s="17"/>
      <c r="ES109" s="17"/>
      <c r="ET109" s="17"/>
      <c r="EU109" s="17"/>
      <c r="EV109" s="17"/>
      <c r="EW109" s="17"/>
      <c r="EX109" s="17"/>
      <c r="EY109" s="17"/>
      <c r="EZ109" s="17"/>
      <c r="FA109" s="17"/>
      <c r="FB109" s="17"/>
      <c r="FC109" s="17"/>
      <c r="FD109" s="17"/>
      <c r="FE109" s="17"/>
      <c r="FF109" s="17"/>
      <c r="FG109" s="17"/>
      <c r="FH109" s="17"/>
      <c r="FI109" s="17"/>
      <c r="FJ109" s="17"/>
      <c r="FK109" s="17"/>
      <c r="FL109" s="17"/>
      <c r="FM109" s="17"/>
      <c r="FN109" s="17"/>
      <c r="FO109" s="17"/>
      <c r="FP109" s="17"/>
      <c r="FQ109" s="17"/>
      <c r="FR109" s="17"/>
      <c r="FS109" s="17"/>
      <c r="FT109" s="17"/>
      <c r="FU109" s="17"/>
      <c r="FV109" s="17"/>
      <c r="FW109" s="17"/>
      <c r="FX109" s="17"/>
      <c r="FY109" s="17"/>
      <c r="FZ109" s="17"/>
      <c r="GA109" s="17"/>
      <c r="GB109" s="17"/>
      <c r="GC109" s="17"/>
      <c r="GD109" s="17"/>
      <c r="GE109" s="17"/>
      <c r="GF109" s="17"/>
      <c r="GG109" s="17"/>
      <c r="GH109" s="17"/>
      <c r="GI109" s="17"/>
      <c r="GJ109" s="17"/>
      <c r="GK109" s="17"/>
      <c r="GL109" s="17"/>
      <c r="GM109" s="17"/>
      <c r="GN109" s="17"/>
      <c r="GO109" s="17"/>
      <c r="GP109" s="17"/>
      <c r="GQ109" s="17"/>
      <c r="GR109" s="17"/>
      <c r="GS109" s="17"/>
      <c r="GT109" s="17"/>
      <c r="GU109" s="17"/>
      <c r="GV109" s="17"/>
      <c r="GW109" s="17"/>
      <c r="GX109" s="17"/>
      <c r="GY109" s="17"/>
      <c r="GZ109" s="17"/>
      <c r="HA109" s="17"/>
      <c r="HB109" s="17"/>
      <c r="HC109" s="17"/>
      <c r="HD109" s="17"/>
      <c r="HE109" s="17"/>
      <c r="HF109" s="17"/>
      <c r="HG109" s="17"/>
      <c r="HH109" s="17"/>
      <c r="HI109" s="17"/>
      <c r="HJ109" s="17"/>
      <c r="HK109" s="17"/>
      <c r="HL109" s="17"/>
      <c r="HM109" s="17"/>
      <c r="HN109" s="17"/>
      <c r="HO109" s="17"/>
      <c r="HP109" s="17"/>
      <c r="HQ109" s="17"/>
      <c r="HR109" s="17"/>
      <c r="HS109" s="17"/>
      <c r="HT109" s="17"/>
      <c r="HU109" s="17"/>
      <c r="HV109" s="17"/>
      <c r="HW109" s="17"/>
      <c r="HX109" s="17"/>
      <c r="HY109" s="17"/>
      <c r="HZ109" s="17"/>
    </row>
    <row r="110" spans="73:234" ht="15" x14ac:dyDescent="0.25">
      <c r="BU110" s="17"/>
      <c r="BV110" s="17"/>
      <c r="BW110" s="17"/>
      <c r="BX110" s="17"/>
      <c r="BY110" s="17"/>
      <c r="BZ110" s="17"/>
      <c r="CA110" s="17"/>
      <c r="CB110" s="17"/>
      <c r="CC110" s="17"/>
      <c r="CD110" s="17"/>
      <c r="CE110" s="17"/>
      <c r="CF110" s="1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  <c r="CY110" s="17"/>
      <c r="CZ110" s="17"/>
      <c r="DA110" s="17"/>
      <c r="DB110" s="17"/>
      <c r="DC110" s="17"/>
      <c r="DD110" s="17"/>
      <c r="DE110" s="17"/>
      <c r="DF110" s="17"/>
      <c r="DG110" s="17"/>
      <c r="DH110" s="17"/>
      <c r="DI110" s="17"/>
      <c r="DJ110" s="17"/>
      <c r="DK110" s="17"/>
      <c r="DL110" s="17"/>
      <c r="DM110" s="17"/>
      <c r="DN110" s="17"/>
      <c r="DO110" s="17"/>
      <c r="DP110" s="17"/>
      <c r="DQ110" s="17"/>
      <c r="DR110" s="17"/>
      <c r="DS110" s="17"/>
      <c r="DT110" s="17"/>
      <c r="DU110" s="17"/>
      <c r="DV110" s="17"/>
      <c r="DW110" s="17"/>
      <c r="DX110" s="17"/>
      <c r="DY110" s="17"/>
      <c r="DZ110" s="17"/>
      <c r="EA110" s="17"/>
      <c r="EB110" s="17"/>
      <c r="EC110" s="17"/>
      <c r="ED110" s="17"/>
      <c r="EE110" s="17"/>
      <c r="EF110" s="17"/>
      <c r="EG110" s="17"/>
      <c r="EH110" s="17"/>
      <c r="EI110" s="17"/>
      <c r="EJ110" s="17"/>
      <c r="EK110" s="17"/>
      <c r="EL110" s="17"/>
      <c r="EM110" s="17"/>
      <c r="EN110" s="17"/>
      <c r="EO110" s="17"/>
      <c r="EP110" s="17"/>
      <c r="EQ110" s="17"/>
      <c r="ER110" s="17"/>
      <c r="ES110" s="17"/>
      <c r="ET110" s="17"/>
      <c r="EU110" s="17"/>
      <c r="EV110" s="17"/>
      <c r="EW110" s="17"/>
      <c r="EX110" s="17"/>
      <c r="EY110" s="17"/>
      <c r="EZ110" s="17"/>
      <c r="FA110" s="17"/>
      <c r="FB110" s="17"/>
      <c r="FC110" s="17"/>
      <c r="FD110" s="17"/>
      <c r="FE110" s="17"/>
      <c r="FF110" s="17"/>
      <c r="FG110" s="17"/>
      <c r="FH110" s="17"/>
      <c r="FI110" s="17"/>
      <c r="FJ110" s="17"/>
      <c r="FK110" s="17"/>
      <c r="FL110" s="17"/>
      <c r="FM110" s="17"/>
      <c r="FN110" s="17"/>
      <c r="FO110" s="17"/>
      <c r="FP110" s="17"/>
      <c r="FQ110" s="17"/>
      <c r="FR110" s="17"/>
      <c r="FS110" s="17"/>
      <c r="FT110" s="17"/>
      <c r="FU110" s="17"/>
      <c r="FV110" s="17"/>
      <c r="FW110" s="17"/>
      <c r="FX110" s="17"/>
      <c r="FY110" s="17"/>
      <c r="FZ110" s="17"/>
      <c r="GA110" s="17"/>
      <c r="GB110" s="17"/>
      <c r="GC110" s="17"/>
      <c r="GD110" s="17"/>
      <c r="GE110" s="17"/>
      <c r="GF110" s="17"/>
      <c r="GG110" s="17"/>
      <c r="GH110" s="17"/>
      <c r="GI110" s="17"/>
      <c r="GJ110" s="17"/>
      <c r="GK110" s="17"/>
      <c r="GL110" s="17"/>
      <c r="GM110" s="17"/>
      <c r="GN110" s="17"/>
      <c r="GO110" s="17"/>
      <c r="GP110" s="17"/>
      <c r="GQ110" s="17"/>
      <c r="GR110" s="17"/>
      <c r="GS110" s="17"/>
      <c r="GT110" s="17"/>
      <c r="GU110" s="17"/>
      <c r="GV110" s="17"/>
      <c r="GW110" s="17"/>
      <c r="GX110" s="17"/>
      <c r="GY110" s="17"/>
      <c r="GZ110" s="17"/>
      <c r="HA110" s="17"/>
      <c r="HB110" s="17"/>
      <c r="HC110" s="17"/>
      <c r="HD110" s="17"/>
      <c r="HE110" s="17"/>
      <c r="HF110" s="17"/>
      <c r="HG110" s="17"/>
      <c r="HH110" s="17"/>
      <c r="HI110" s="17"/>
      <c r="HJ110" s="17"/>
      <c r="HK110" s="17"/>
      <c r="HL110" s="17"/>
      <c r="HM110" s="17"/>
      <c r="HN110" s="17"/>
      <c r="HO110" s="17"/>
      <c r="HP110" s="17"/>
      <c r="HQ110" s="17"/>
      <c r="HR110" s="17"/>
      <c r="HS110" s="17"/>
      <c r="HT110" s="17"/>
      <c r="HU110" s="17"/>
      <c r="HV110" s="17"/>
      <c r="HW110" s="17"/>
      <c r="HX110" s="17"/>
      <c r="HY110" s="17"/>
      <c r="HZ110" s="17"/>
    </row>
    <row r="111" spans="73:234" ht="15" x14ac:dyDescent="0.25">
      <c r="BU111" s="17"/>
      <c r="BV111" s="17"/>
      <c r="BW111" s="17"/>
      <c r="BX111" s="17"/>
      <c r="BY111" s="17"/>
      <c r="BZ111" s="17"/>
      <c r="CA111" s="17"/>
      <c r="CB111" s="17"/>
      <c r="CC111" s="17"/>
      <c r="CD111" s="17"/>
      <c r="CE111" s="17"/>
      <c r="CF111" s="1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  <c r="CY111" s="17"/>
      <c r="CZ111" s="17"/>
      <c r="DA111" s="17"/>
      <c r="DB111" s="17"/>
      <c r="DC111" s="17"/>
      <c r="DD111" s="17"/>
      <c r="DE111" s="17"/>
      <c r="DF111" s="17"/>
      <c r="DG111" s="17"/>
      <c r="DH111" s="17"/>
      <c r="DI111" s="17"/>
      <c r="DJ111" s="17"/>
      <c r="DK111" s="17"/>
      <c r="DL111" s="17"/>
      <c r="DM111" s="17"/>
      <c r="DN111" s="17"/>
      <c r="DO111" s="17"/>
      <c r="DP111" s="17"/>
      <c r="DQ111" s="17"/>
      <c r="DR111" s="17"/>
      <c r="DS111" s="17"/>
      <c r="DT111" s="17"/>
      <c r="DU111" s="17"/>
      <c r="DV111" s="17"/>
      <c r="DW111" s="17"/>
      <c r="DX111" s="17"/>
      <c r="DY111" s="17"/>
      <c r="DZ111" s="17"/>
      <c r="EA111" s="17"/>
      <c r="EB111" s="17"/>
      <c r="EC111" s="17"/>
      <c r="ED111" s="17"/>
      <c r="EE111" s="17"/>
      <c r="EF111" s="17"/>
      <c r="EG111" s="17"/>
      <c r="EH111" s="17"/>
      <c r="EI111" s="17"/>
      <c r="EJ111" s="17"/>
      <c r="EK111" s="17"/>
      <c r="EL111" s="17"/>
      <c r="EM111" s="17"/>
      <c r="EN111" s="17"/>
      <c r="EO111" s="17"/>
      <c r="EP111" s="17"/>
      <c r="EQ111" s="17"/>
      <c r="ER111" s="17"/>
      <c r="ES111" s="17"/>
      <c r="ET111" s="17"/>
      <c r="EU111" s="17"/>
      <c r="EV111" s="17"/>
      <c r="EW111" s="17"/>
      <c r="EX111" s="17"/>
      <c r="EY111" s="17"/>
      <c r="EZ111" s="17"/>
      <c r="FA111" s="17"/>
      <c r="FB111" s="17"/>
      <c r="FC111" s="17"/>
      <c r="FD111" s="17"/>
      <c r="FE111" s="17"/>
      <c r="FF111" s="17"/>
      <c r="FG111" s="17"/>
      <c r="FH111" s="17"/>
      <c r="FI111" s="17"/>
      <c r="FJ111" s="17"/>
      <c r="FK111" s="17"/>
      <c r="FL111" s="17"/>
      <c r="FM111" s="17"/>
      <c r="FN111" s="17"/>
      <c r="FO111" s="17"/>
      <c r="FP111" s="17"/>
      <c r="FQ111" s="17"/>
      <c r="FR111" s="17"/>
      <c r="FS111" s="17"/>
      <c r="FT111" s="17"/>
      <c r="FU111" s="17"/>
      <c r="FV111" s="17"/>
      <c r="FW111" s="17"/>
      <c r="FX111" s="17"/>
      <c r="FY111" s="17"/>
      <c r="FZ111" s="17"/>
      <c r="GA111" s="17"/>
      <c r="GB111" s="17"/>
      <c r="GC111" s="17"/>
      <c r="GD111" s="17"/>
      <c r="GE111" s="17"/>
      <c r="GF111" s="17"/>
      <c r="GG111" s="17"/>
      <c r="GH111" s="17"/>
      <c r="GI111" s="17"/>
      <c r="GJ111" s="17"/>
      <c r="GK111" s="17"/>
      <c r="GL111" s="17"/>
      <c r="GM111" s="17"/>
      <c r="GN111" s="17"/>
      <c r="GO111" s="17"/>
      <c r="GP111" s="17"/>
      <c r="GQ111" s="17"/>
      <c r="GR111" s="17"/>
      <c r="GS111" s="17"/>
      <c r="GT111" s="17"/>
      <c r="GU111" s="17"/>
      <c r="GV111" s="17"/>
      <c r="GW111" s="17"/>
      <c r="GX111" s="17"/>
      <c r="GY111" s="17"/>
      <c r="GZ111" s="17"/>
      <c r="HA111" s="17"/>
      <c r="HB111" s="17"/>
      <c r="HC111" s="17"/>
      <c r="HD111" s="17"/>
      <c r="HE111" s="17"/>
      <c r="HF111" s="17"/>
      <c r="HG111" s="17"/>
      <c r="HH111" s="17"/>
      <c r="HI111" s="17"/>
      <c r="HJ111" s="17"/>
      <c r="HK111" s="17"/>
      <c r="HL111" s="17"/>
      <c r="HM111" s="17"/>
      <c r="HN111" s="17"/>
      <c r="HO111" s="17"/>
      <c r="HP111" s="17"/>
      <c r="HQ111" s="17"/>
      <c r="HR111" s="17"/>
      <c r="HS111" s="17"/>
      <c r="HT111" s="17"/>
      <c r="HU111" s="17"/>
      <c r="HV111" s="17"/>
      <c r="HW111" s="17"/>
      <c r="HX111" s="17"/>
      <c r="HY111" s="17"/>
      <c r="HZ111" s="17"/>
    </row>
    <row r="112" spans="73:234" ht="15" x14ac:dyDescent="0.25">
      <c r="BU112" s="17"/>
      <c r="BV112" s="17"/>
      <c r="BW112" s="17"/>
      <c r="BX112" s="17"/>
      <c r="BY112" s="17"/>
      <c r="BZ112" s="17"/>
      <c r="CA112" s="17"/>
      <c r="CB112" s="17"/>
      <c r="CC112" s="17"/>
      <c r="CD112" s="17"/>
      <c r="CE112" s="17"/>
      <c r="CF112" s="1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7"/>
      <c r="CW112" s="17"/>
      <c r="CX112" s="17"/>
      <c r="CY112" s="17"/>
      <c r="CZ112" s="17"/>
      <c r="DA112" s="17"/>
      <c r="DB112" s="17"/>
      <c r="DC112" s="17"/>
      <c r="DD112" s="17"/>
      <c r="DE112" s="17"/>
      <c r="DF112" s="17"/>
      <c r="DG112" s="17"/>
      <c r="DH112" s="17"/>
      <c r="DI112" s="17"/>
      <c r="DJ112" s="17"/>
      <c r="DK112" s="17"/>
      <c r="DL112" s="17"/>
      <c r="DM112" s="17"/>
      <c r="DN112" s="17"/>
      <c r="DO112" s="17"/>
      <c r="DP112" s="17"/>
      <c r="DQ112" s="17"/>
      <c r="DR112" s="17"/>
      <c r="DS112" s="17"/>
      <c r="DT112" s="17"/>
      <c r="DU112" s="17"/>
      <c r="DV112" s="17"/>
      <c r="DW112" s="17"/>
      <c r="DX112" s="17"/>
      <c r="DY112" s="17"/>
      <c r="DZ112" s="17"/>
      <c r="EA112" s="17"/>
      <c r="EB112" s="17"/>
      <c r="EC112" s="17"/>
      <c r="ED112" s="17"/>
      <c r="EE112" s="17"/>
      <c r="EF112" s="17"/>
      <c r="EG112" s="17"/>
      <c r="EH112" s="17"/>
      <c r="EI112" s="17"/>
      <c r="EJ112" s="17"/>
      <c r="EK112" s="17"/>
      <c r="EL112" s="17"/>
      <c r="EM112" s="17"/>
      <c r="EN112" s="17"/>
      <c r="EO112" s="17"/>
      <c r="EP112" s="17"/>
      <c r="EQ112" s="17"/>
      <c r="ER112" s="17"/>
      <c r="ES112" s="17"/>
      <c r="ET112" s="17"/>
      <c r="EU112" s="17"/>
      <c r="EV112" s="17"/>
      <c r="EW112" s="17"/>
      <c r="EX112" s="17"/>
      <c r="EY112" s="17"/>
      <c r="EZ112" s="17"/>
      <c r="FA112" s="17"/>
      <c r="FB112" s="17"/>
      <c r="FC112" s="17"/>
      <c r="FD112" s="17"/>
      <c r="FE112" s="17"/>
      <c r="FF112" s="17"/>
      <c r="FG112" s="17"/>
      <c r="FH112" s="17"/>
      <c r="FI112" s="17"/>
      <c r="FJ112" s="17"/>
      <c r="FK112" s="17"/>
      <c r="FL112" s="17"/>
      <c r="FM112" s="17"/>
      <c r="FN112" s="17"/>
      <c r="FO112" s="17"/>
      <c r="FP112" s="17"/>
      <c r="FQ112" s="17"/>
      <c r="FR112" s="17"/>
      <c r="FS112" s="17"/>
      <c r="FT112" s="17"/>
      <c r="FU112" s="17"/>
      <c r="FV112" s="17"/>
      <c r="FW112" s="17"/>
      <c r="FX112" s="17"/>
      <c r="FY112" s="17"/>
      <c r="FZ112" s="17"/>
      <c r="GA112" s="17"/>
      <c r="GB112" s="17"/>
      <c r="GC112" s="17"/>
      <c r="GD112" s="17"/>
      <c r="GE112" s="17"/>
      <c r="GF112" s="17"/>
      <c r="GG112" s="17"/>
      <c r="GH112" s="17"/>
      <c r="GI112" s="17"/>
      <c r="GJ112" s="17"/>
      <c r="GK112" s="17"/>
      <c r="GL112" s="17"/>
      <c r="GM112" s="17"/>
      <c r="GN112" s="17"/>
      <c r="GO112" s="17"/>
      <c r="GP112" s="17"/>
      <c r="GQ112" s="17"/>
      <c r="GR112" s="17"/>
      <c r="GS112" s="17"/>
      <c r="GT112" s="17"/>
      <c r="GU112" s="17"/>
      <c r="GV112" s="17"/>
      <c r="GW112" s="17"/>
      <c r="GX112" s="17"/>
      <c r="GY112" s="17"/>
      <c r="GZ112" s="17"/>
      <c r="HA112" s="17"/>
      <c r="HB112" s="17"/>
      <c r="HC112" s="17"/>
      <c r="HD112" s="17"/>
      <c r="HE112" s="17"/>
      <c r="HF112" s="17"/>
      <c r="HG112" s="17"/>
      <c r="HH112" s="17"/>
      <c r="HI112" s="17"/>
      <c r="HJ112" s="17"/>
      <c r="HK112" s="17"/>
      <c r="HL112" s="17"/>
      <c r="HM112" s="17"/>
      <c r="HN112" s="17"/>
      <c r="HO112" s="17"/>
      <c r="HP112" s="17"/>
      <c r="HQ112" s="17"/>
      <c r="HR112" s="17"/>
      <c r="HS112" s="17"/>
      <c r="HT112" s="17"/>
      <c r="HU112" s="17"/>
      <c r="HV112" s="17"/>
      <c r="HW112" s="17"/>
      <c r="HX112" s="17"/>
      <c r="HY112" s="17"/>
      <c r="HZ112" s="17"/>
    </row>
    <row r="113" spans="73:234" ht="15" x14ac:dyDescent="0.25">
      <c r="BU113" s="17"/>
      <c r="BV113" s="17"/>
      <c r="BW113" s="17"/>
      <c r="BX113" s="17"/>
      <c r="BY113" s="17"/>
      <c r="BZ113" s="17"/>
      <c r="CA113" s="17"/>
      <c r="CB113" s="17"/>
      <c r="CC113" s="17"/>
      <c r="CD113" s="17"/>
      <c r="CE113" s="17"/>
      <c r="CF113" s="1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  <c r="CY113" s="17"/>
      <c r="CZ113" s="17"/>
      <c r="DA113" s="17"/>
      <c r="DB113" s="17"/>
      <c r="DC113" s="17"/>
      <c r="DD113" s="17"/>
      <c r="DE113" s="17"/>
      <c r="DF113" s="17"/>
      <c r="DG113" s="17"/>
      <c r="DH113" s="17"/>
      <c r="DI113" s="17"/>
      <c r="DJ113" s="17"/>
      <c r="DK113" s="17"/>
      <c r="DL113" s="17"/>
      <c r="DM113" s="17"/>
      <c r="DN113" s="17"/>
      <c r="DO113" s="17"/>
      <c r="DP113" s="17"/>
      <c r="DQ113" s="17"/>
      <c r="DR113" s="17"/>
      <c r="DS113" s="17"/>
      <c r="DT113" s="17"/>
      <c r="DU113" s="17"/>
      <c r="DV113" s="17"/>
      <c r="DW113" s="17"/>
      <c r="DX113" s="17"/>
      <c r="DY113" s="17"/>
      <c r="DZ113" s="17"/>
      <c r="EA113" s="17"/>
      <c r="EB113" s="17"/>
      <c r="EC113" s="17"/>
      <c r="ED113" s="17"/>
      <c r="EE113" s="17"/>
      <c r="EF113" s="17"/>
      <c r="EG113" s="17"/>
      <c r="EH113" s="17"/>
      <c r="EI113" s="17"/>
      <c r="EJ113" s="17"/>
      <c r="EK113" s="17"/>
      <c r="EL113" s="17"/>
      <c r="EM113" s="17"/>
      <c r="EN113" s="17"/>
      <c r="EO113" s="17"/>
      <c r="EP113" s="17"/>
      <c r="EQ113" s="17"/>
      <c r="ER113" s="17"/>
      <c r="ES113" s="17"/>
      <c r="ET113" s="17"/>
      <c r="EU113" s="17"/>
      <c r="EV113" s="17"/>
      <c r="EW113" s="17"/>
      <c r="EX113" s="17"/>
      <c r="EY113" s="17"/>
      <c r="EZ113" s="17"/>
      <c r="FA113" s="17"/>
      <c r="FB113" s="17"/>
      <c r="FC113" s="17"/>
      <c r="FD113" s="17"/>
      <c r="FE113" s="17"/>
      <c r="FF113" s="17"/>
      <c r="FG113" s="17"/>
      <c r="FH113" s="17"/>
      <c r="FI113" s="17"/>
      <c r="FJ113" s="17"/>
      <c r="FK113" s="17"/>
      <c r="FL113" s="17"/>
      <c r="FM113" s="17"/>
      <c r="FN113" s="17"/>
      <c r="FO113" s="17"/>
      <c r="FP113" s="17"/>
      <c r="FQ113" s="17"/>
      <c r="FR113" s="17"/>
      <c r="FS113" s="17"/>
      <c r="FT113" s="17"/>
      <c r="FU113" s="17"/>
      <c r="FV113" s="17"/>
      <c r="FW113" s="17"/>
      <c r="FX113" s="17"/>
      <c r="FY113" s="17"/>
      <c r="FZ113" s="17"/>
      <c r="GA113" s="17"/>
      <c r="GB113" s="17"/>
      <c r="GC113" s="17"/>
      <c r="GD113" s="17"/>
      <c r="GE113" s="17"/>
      <c r="GF113" s="17"/>
      <c r="GG113" s="17"/>
      <c r="GH113" s="17"/>
      <c r="GI113" s="17"/>
      <c r="GJ113" s="17"/>
      <c r="GK113" s="17"/>
      <c r="GL113" s="17"/>
      <c r="GM113" s="17"/>
      <c r="GN113" s="17"/>
      <c r="GO113" s="17"/>
      <c r="GP113" s="17"/>
      <c r="GQ113" s="17"/>
      <c r="GR113" s="17"/>
      <c r="GS113" s="17"/>
      <c r="GT113" s="17"/>
      <c r="GU113" s="17"/>
      <c r="GV113" s="17"/>
      <c r="GW113" s="17"/>
      <c r="GX113" s="17"/>
      <c r="GY113" s="17"/>
      <c r="GZ113" s="17"/>
      <c r="HA113" s="17"/>
      <c r="HB113" s="17"/>
      <c r="HC113" s="17"/>
      <c r="HD113" s="17"/>
      <c r="HE113" s="17"/>
      <c r="HF113" s="17"/>
      <c r="HG113" s="17"/>
      <c r="HH113" s="17"/>
      <c r="HI113" s="17"/>
      <c r="HJ113" s="17"/>
      <c r="HK113" s="17"/>
      <c r="HL113" s="17"/>
      <c r="HM113" s="17"/>
      <c r="HN113" s="17"/>
      <c r="HO113" s="17"/>
      <c r="HP113" s="17"/>
      <c r="HQ113" s="17"/>
      <c r="HR113" s="17"/>
      <c r="HS113" s="17"/>
      <c r="HT113" s="17"/>
      <c r="HU113" s="17"/>
      <c r="HV113" s="17"/>
      <c r="HW113" s="17"/>
      <c r="HX113" s="17"/>
      <c r="HY113" s="17"/>
      <c r="HZ113" s="17"/>
    </row>
    <row r="114" spans="73:234" ht="15" x14ac:dyDescent="0.25"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CY114" s="17"/>
      <c r="CZ114" s="17"/>
      <c r="DA114" s="17"/>
      <c r="DB114" s="17"/>
      <c r="DC114" s="17"/>
      <c r="DD114" s="17"/>
      <c r="DE114" s="17"/>
      <c r="DF114" s="17"/>
      <c r="DG114" s="17"/>
      <c r="DH114" s="17"/>
      <c r="DI114" s="17"/>
      <c r="DJ114" s="17"/>
      <c r="DK114" s="17"/>
      <c r="DL114" s="17"/>
      <c r="DM114" s="17"/>
      <c r="DN114" s="17"/>
      <c r="DO114" s="17"/>
      <c r="DP114" s="17"/>
      <c r="DQ114" s="17"/>
      <c r="DR114" s="17"/>
      <c r="DS114" s="17"/>
      <c r="DT114" s="17"/>
      <c r="DU114" s="17"/>
      <c r="DV114" s="17"/>
      <c r="DW114" s="17"/>
      <c r="DX114" s="17"/>
      <c r="DY114" s="17"/>
      <c r="DZ114" s="17"/>
      <c r="EA114" s="17"/>
      <c r="EB114" s="17"/>
      <c r="EC114" s="17"/>
      <c r="ED114" s="17"/>
      <c r="EE114" s="17"/>
      <c r="EF114" s="17"/>
      <c r="EG114" s="17"/>
      <c r="EH114" s="17"/>
      <c r="EI114" s="17"/>
      <c r="EJ114" s="17"/>
      <c r="EK114" s="17"/>
      <c r="EL114" s="17"/>
      <c r="EM114" s="17"/>
      <c r="EN114" s="17"/>
      <c r="EO114" s="17"/>
      <c r="EP114" s="17"/>
      <c r="EQ114" s="17"/>
      <c r="ER114" s="17"/>
      <c r="ES114" s="17"/>
      <c r="ET114" s="17"/>
      <c r="EU114" s="17"/>
      <c r="EV114" s="17"/>
      <c r="EW114" s="17"/>
      <c r="EX114" s="17"/>
      <c r="EY114" s="17"/>
      <c r="EZ114" s="17"/>
      <c r="FA114" s="17"/>
      <c r="FB114" s="17"/>
      <c r="FC114" s="17"/>
      <c r="FD114" s="17"/>
      <c r="FE114" s="17"/>
      <c r="FF114" s="17"/>
      <c r="FG114" s="17"/>
      <c r="FH114" s="17"/>
      <c r="FI114" s="17"/>
      <c r="FJ114" s="17"/>
      <c r="FK114" s="17"/>
      <c r="FL114" s="17"/>
      <c r="FM114" s="17"/>
      <c r="FN114" s="17"/>
      <c r="FO114" s="17"/>
      <c r="FP114" s="17"/>
      <c r="FQ114" s="17"/>
      <c r="FR114" s="17"/>
      <c r="FS114" s="17"/>
      <c r="FT114" s="17"/>
      <c r="FU114" s="17"/>
      <c r="FV114" s="17"/>
      <c r="FW114" s="17"/>
      <c r="FX114" s="17"/>
      <c r="FY114" s="17"/>
      <c r="FZ114" s="17"/>
      <c r="GA114" s="17"/>
      <c r="GB114" s="17"/>
      <c r="GC114" s="17"/>
      <c r="GD114" s="17"/>
      <c r="GE114" s="17"/>
      <c r="GF114" s="17"/>
      <c r="GG114" s="17"/>
      <c r="GH114" s="17"/>
      <c r="GI114" s="17"/>
      <c r="GJ114" s="17"/>
      <c r="GK114" s="17"/>
      <c r="GL114" s="17"/>
      <c r="GM114" s="17"/>
      <c r="GN114" s="17"/>
      <c r="GO114" s="17"/>
      <c r="GP114" s="17"/>
      <c r="GQ114" s="17"/>
      <c r="GR114" s="17"/>
      <c r="GS114" s="17"/>
      <c r="GT114" s="17"/>
      <c r="GU114" s="17"/>
      <c r="GV114" s="17"/>
      <c r="GW114" s="17"/>
      <c r="GX114" s="17"/>
      <c r="GY114" s="17"/>
      <c r="GZ114" s="17"/>
      <c r="HA114" s="17"/>
      <c r="HB114" s="17"/>
      <c r="HC114" s="17"/>
      <c r="HD114" s="17"/>
      <c r="HE114" s="17"/>
      <c r="HF114" s="17"/>
      <c r="HG114" s="17"/>
      <c r="HH114" s="17"/>
      <c r="HI114" s="17"/>
      <c r="HJ114" s="17"/>
      <c r="HK114" s="17"/>
      <c r="HL114" s="17"/>
      <c r="HM114" s="17"/>
      <c r="HN114" s="17"/>
      <c r="HO114" s="17"/>
      <c r="HP114" s="17"/>
      <c r="HQ114" s="17"/>
      <c r="HR114" s="17"/>
      <c r="HS114" s="17"/>
      <c r="HT114" s="17"/>
      <c r="HU114" s="17"/>
      <c r="HV114" s="17"/>
      <c r="HW114" s="17"/>
      <c r="HX114" s="17"/>
      <c r="HY114" s="17"/>
      <c r="HZ114" s="17"/>
    </row>
    <row r="115" spans="73:234" ht="15" x14ac:dyDescent="0.25">
      <c r="BU115" s="17"/>
      <c r="BV115" s="17"/>
      <c r="BW115" s="17"/>
      <c r="BX115" s="17"/>
      <c r="BY115" s="17"/>
      <c r="BZ115" s="17"/>
      <c r="CA115" s="17"/>
      <c r="CB115" s="17"/>
      <c r="CC115" s="17"/>
      <c r="CD115" s="17"/>
      <c r="CE115" s="17"/>
      <c r="CF115" s="1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7"/>
      <c r="CW115" s="17"/>
      <c r="CX115" s="17"/>
      <c r="CY115" s="17"/>
      <c r="CZ115" s="17"/>
      <c r="DA115" s="17"/>
      <c r="DB115" s="17"/>
      <c r="DC115" s="17"/>
      <c r="DD115" s="17"/>
      <c r="DE115" s="17"/>
      <c r="DF115" s="17"/>
      <c r="DG115" s="17"/>
      <c r="DH115" s="17"/>
      <c r="DI115" s="17"/>
      <c r="DJ115" s="17"/>
      <c r="DK115" s="17"/>
      <c r="DL115" s="17"/>
      <c r="DM115" s="17"/>
      <c r="DN115" s="17"/>
      <c r="DO115" s="17"/>
      <c r="DP115" s="17"/>
      <c r="DQ115" s="17"/>
      <c r="DR115" s="17"/>
      <c r="DS115" s="17"/>
      <c r="DT115" s="17"/>
      <c r="DU115" s="17"/>
      <c r="DV115" s="17"/>
      <c r="DW115" s="17"/>
      <c r="DX115" s="17"/>
      <c r="DY115" s="17"/>
      <c r="DZ115" s="17"/>
      <c r="EA115" s="17"/>
      <c r="EB115" s="17"/>
      <c r="EC115" s="17"/>
      <c r="ED115" s="17"/>
      <c r="EE115" s="17"/>
      <c r="EF115" s="17"/>
      <c r="EG115" s="17"/>
      <c r="EH115" s="17"/>
      <c r="EI115" s="17"/>
      <c r="EJ115" s="17"/>
      <c r="EK115" s="17"/>
      <c r="EL115" s="17"/>
      <c r="EM115" s="17"/>
      <c r="EN115" s="17"/>
      <c r="EO115" s="17"/>
      <c r="EP115" s="17"/>
      <c r="EQ115" s="17"/>
      <c r="ER115" s="17"/>
      <c r="ES115" s="17"/>
      <c r="ET115" s="17"/>
      <c r="EU115" s="17"/>
      <c r="EV115" s="17"/>
      <c r="EW115" s="17"/>
      <c r="EX115" s="17"/>
      <c r="EY115" s="17"/>
      <c r="EZ115" s="17"/>
      <c r="FA115" s="17"/>
      <c r="FB115" s="17"/>
      <c r="FC115" s="17"/>
      <c r="FD115" s="17"/>
      <c r="FE115" s="17"/>
      <c r="FF115" s="17"/>
      <c r="FG115" s="17"/>
      <c r="FH115" s="17"/>
      <c r="FI115" s="17"/>
      <c r="FJ115" s="17"/>
      <c r="FK115" s="17"/>
      <c r="FL115" s="17"/>
      <c r="FM115" s="17"/>
      <c r="FN115" s="17"/>
      <c r="FO115" s="17"/>
      <c r="FP115" s="17"/>
      <c r="FQ115" s="17"/>
      <c r="FR115" s="17"/>
      <c r="FS115" s="17"/>
      <c r="FT115" s="17"/>
      <c r="FU115" s="17"/>
      <c r="FV115" s="17"/>
      <c r="FW115" s="17"/>
      <c r="FX115" s="17"/>
      <c r="FY115" s="17"/>
      <c r="FZ115" s="17"/>
      <c r="GA115" s="17"/>
      <c r="GB115" s="17"/>
      <c r="GC115" s="17"/>
      <c r="GD115" s="17"/>
      <c r="GE115" s="17"/>
      <c r="GF115" s="17"/>
      <c r="GG115" s="17"/>
      <c r="GH115" s="17"/>
      <c r="GI115" s="17"/>
      <c r="GJ115" s="17"/>
      <c r="GK115" s="17"/>
      <c r="GL115" s="17"/>
      <c r="GM115" s="17"/>
      <c r="GN115" s="17"/>
      <c r="GO115" s="17"/>
      <c r="GP115" s="17"/>
      <c r="GQ115" s="17"/>
      <c r="GR115" s="17"/>
      <c r="GS115" s="17"/>
      <c r="GT115" s="17"/>
      <c r="GU115" s="17"/>
      <c r="GV115" s="17"/>
      <c r="GW115" s="17"/>
      <c r="GX115" s="17"/>
      <c r="GY115" s="17"/>
      <c r="GZ115" s="17"/>
      <c r="HA115" s="17"/>
      <c r="HB115" s="17"/>
      <c r="HC115" s="17"/>
      <c r="HD115" s="17"/>
      <c r="HE115" s="17"/>
      <c r="HF115" s="17"/>
      <c r="HG115" s="17"/>
      <c r="HH115" s="17"/>
      <c r="HI115" s="17"/>
      <c r="HJ115" s="17"/>
      <c r="HK115" s="17"/>
      <c r="HL115" s="17"/>
      <c r="HM115" s="17"/>
      <c r="HN115" s="17"/>
      <c r="HO115" s="17"/>
      <c r="HP115" s="17"/>
      <c r="HQ115" s="17"/>
      <c r="HR115" s="17"/>
      <c r="HS115" s="17"/>
      <c r="HT115" s="17"/>
      <c r="HU115" s="17"/>
      <c r="HV115" s="17"/>
      <c r="HW115" s="17"/>
      <c r="HX115" s="17"/>
      <c r="HY115" s="17"/>
      <c r="HZ115" s="17"/>
    </row>
    <row r="116" spans="73:234" ht="15" x14ac:dyDescent="0.25">
      <c r="BU116" s="17"/>
      <c r="BV116" s="17"/>
      <c r="BW116" s="17"/>
      <c r="BX116" s="17"/>
      <c r="BY116" s="17"/>
      <c r="BZ116" s="17"/>
      <c r="CA116" s="17"/>
      <c r="CB116" s="17"/>
      <c r="CC116" s="17"/>
      <c r="CD116" s="17"/>
      <c r="CE116" s="17"/>
      <c r="CF116" s="1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  <c r="CY116" s="17"/>
      <c r="CZ116" s="17"/>
      <c r="DA116" s="17"/>
      <c r="DB116" s="17"/>
      <c r="DC116" s="17"/>
      <c r="DD116" s="17"/>
      <c r="DE116" s="17"/>
      <c r="DF116" s="17"/>
      <c r="DG116" s="17"/>
      <c r="DH116" s="17"/>
      <c r="DI116" s="17"/>
      <c r="DJ116" s="17"/>
      <c r="DK116" s="17"/>
      <c r="DL116" s="17"/>
      <c r="DM116" s="17"/>
      <c r="DN116" s="17"/>
      <c r="DO116" s="17"/>
      <c r="DP116" s="17"/>
      <c r="DQ116" s="17"/>
      <c r="DR116" s="17"/>
      <c r="DS116" s="17"/>
      <c r="DT116" s="17"/>
      <c r="DU116" s="17"/>
      <c r="DV116" s="17"/>
      <c r="DW116" s="17"/>
      <c r="DX116" s="17"/>
      <c r="DY116" s="17"/>
      <c r="DZ116" s="17"/>
      <c r="EA116" s="17"/>
      <c r="EB116" s="17"/>
      <c r="EC116" s="17"/>
      <c r="ED116" s="17"/>
      <c r="EE116" s="17"/>
      <c r="EF116" s="17"/>
      <c r="EG116" s="17"/>
      <c r="EH116" s="17"/>
      <c r="EI116" s="17"/>
      <c r="EJ116" s="17"/>
      <c r="EK116" s="17"/>
      <c r="EL116" s="17"/>
      <c r="EM116" s="17"/>
      <c r="EN116" s="17"/>
      <c r="EO116" s="17"/>
      <c r="EP116" s="17"/>
      <c r="EQ116" s="17"/>
      <c r="ER116" s="17"/>
      <c r="ES116" s="17"/>
      <c r="ET116" s="17"/>
      <c r="EU116" s="17"/>
      <c r="EV116" s="17"/>
      <c r="EW116" s="17"/>
      <c r="EX116" s="17"/>
      <c r="EY116" s="17"/>
      <c r="EZ116" s="17"/>
      <c r="FA116" s="17"/>
      <c r="FB116" s="17"/>
      <c r="FC116" s="17"/>
      <c r="FD116" s="17"/>
      <c r="FE116" s="17"/>
      <c r="FF116" s="17"/>
      <c r="FG116" s="17"/>
      <c r="FH116" s="17"/>
      <c r="FI116" s="17"/>
      <c r="FJ116" s="17"/>
      <c r="FK116" s="17"/>
      <c r="FL116" s="17"/>
      <c r="FM116" s="17"/>
      <c r="FN116" s="17"/>
      <c r="FO116" s="17"/>
      <c r="FP116" s="17"/>
      <c r="FQ116" s="17"/>
      <c r="FR116" s="17"/>
      <c r="FS116" s="17"/>
      <c r="FT116" s="17"/>
      <c r="FU116" s="17"/>
      <c r="FV116" s="17"/>
      <c r="FW116" s="17"/>
      <c r="FX116" s="17"/>
      <c r="FY116" s="17"/>
      <c r="FZ116" s="17"/>
      <c r="GA116" s="17"/>
      <c r="GB116" s="17"/>
      <c r="GC116" s="17"/>
      <c r="GD116" s="17"/>
      <c r="GE116" s="17"/>
      <c r="GF116" s="17"/>
      <c r="GG116" s="17"/>
      <c r="GH116" s="17"/>
      <c r="GI116" s="17"/>
      <c r="GJ116" s="17"/>
      <c r="GK116" s="17"/>
      <c r="GL116" s="17"/>
      <c r="GM116" s="17"/>
      <c r="GN116" s="17"/>
      <c r="GO116" s="17"/>
      <c r="GP116" s="17"/>
      <c r="GQ116" s="17"/>
      <c r="GR116" s="17"/>
      <c r="GS116" s="17"/>
      <c r="GT116" s="17"/>
      <c r="GU116" s="17"/>
      <c r="GV116" s="17"/>
      <c r="GW116" s="17"/>
      <c r="GX116" s="17"/>
      <c r="GY116" s="17"/>
      <c r="GZ116" s="17"/>
      <c r="HA116" s="17"/>
      <c r="HB116" s="17"/>
      <c r="HC116" s="17"/>
      <c r="HD116" s="17"/>
      <c r="HE116" s="17"/>
      <c r="HF116" s="17"/>
      <c r="HG116" s="17"/>
      <c r="HH116" s="17"/>
      <c r="HI116" s="17"/>
      <c r="HJ116" s="17"/>
      <c r="HK116" s="17"/>
      <c r="HL116" s="17"/>
      <c r="HM116" s="17"/>
      <c r="HN116" s="17"/>
      <c r="HO116" s="17"/>
      <c r="HP116" s="17"/>
      <c r="HQ116" s="17"/>
      <c r="HR116" s="17"/>
      <c r="HS116" s="17"/>
      <c r="HT116" s="17"/>
      <c r="HU116" s="17"/>
      <c r="HV116" s="17"/>
      <c r="HW116" s="17"/>
      <c r="HX116" s="17"/>
      <c r="HY116" s="17"/>
      <c r="HZ116" s="17"/>
    </row>
    <row r="117" spans="73:234" ht="15" x14ac:dyDescent="0.25">
      <c r="BU117" s="17"/>
      <c r="BV117" s="17"/>
      <c r="BW117" s="17"/>
      <c r="BX117" s="17"/>
      <c r="BY117" s="17"/>
      <c r="BZ117" s="17"/>
      <c r="CA117" s="17"/>
      <c r="CB117" s="17"/>
      <c r="CC117" s="17"/>
      <c r="CD117" s="17"/>
      <c r="CE117" s="17"/>
      <c r="CF117" s="1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  <c r="CY117" s="17"/>
      <c r="CZ117" s="17"/>
      <c r="DA117" s="17"/>
      <c r="DB117" s="17"/>
      <c r="DC117" s="17"/>
      <c r="DD117" s="17"/>
      <c r="DE117" s="17"/>
      <c r="DF117" s="17"/>
      <c r="DG117" s="17"/>
      <c r="DH117" s="17"/>
      <c r="DI117" s="17"/>
      <c r="DJ117" s="17"/>
      <c r="DK117" s="17"/>
      <c r="DL117" s="17"/>
      <c r="DM117" s="17"/>
      <c r="DN117" s="17"/>
      <c r="DO117" s="17"/>
      <c r="DP117" s="17"/>
      <c r="DQ117" s="17"/>
      <c r="DR117" s="17"/>
      <c r="DS117" s="17"/>
      <c r="DT117" s="17"/>
      <c r="DU117" s="17"/>
      <c r="DV117" s="17"/>
      <c r="DW117" s="17"/>
      <c r="DX117" s="17"/>
      <c r="DY117" s="17"/>
      <c r="DZ117" s="17"/>
      <c r="EA117" s="17"/>
      <c r="EB117" s="17"/>
      <c r="EC117" s="17"/>
      <c r="ED117" s="17"/>
      <c r="EE117" s="17"/>
      <c r="EF117" s="17"/>
      <c r="EG117" s="17"/>
      <c r="EH117" s="17"/>
      <c r="EI117" s="17"/>
      <c r="EJ117" s="17"/>
      <c r="EK117" s="17"/>
      <c r="EL117" s="17"/>
      <c r="EM117" s="17"/>
      <c r="EN117" s="17"/>
      <c r="EO117" s="17"/>
      <c r="EP117" s="17"/>
      <c r="EQ117" s="17"/>
      <c r="ER117" s="17"/>
      <c r="ES117" s="17"/>
      <c r="ET117" s="17"/>
      <c r="EU117" s="17"/>
      <c r="EV117" s="17"/>
      <c r="EW117" s="17"/>
      <c r="EX117" s="17"/>
      <c r="EY117" s="17"/>
      <c r="EZ117" s="17"/>
      <c r="FA117" s="17"/>
      <c r="FB117" s="17"/>
      <c r="FC117" s="17"/>
      <c r="FD117" s="17"/>
      <c r="FE117" s="17"/>
      <c r="FF117" s="17"/>
      <c r="FG117" s="17"/>
      <c r="FH117" s="17"/>
      <c r="FI117" s="17"/>
      <c r="FJ117" s="17"/>
      <c r="FK117" s="17"/>
      <c r="FL117" s="17"/>
      <c r="FM117" s="17"/>
      <c r="FN117" s="17"/>
      <c r="FO117" s="17"/>
      <c r="FP117" s="17"/>
      <c r="FQ117" s="17"/>
      <c r="FR117" s="17"/>
      <c r="FS117" s="17"/>
      <c r="FT117" s="17"/>
      <c r="FU117" s="17"/>
      <c r="FV117" s="17"/>
      <c r="FW117" s="17"/>
      <c r="FX117" s="17"/>
      <c r="FY117" s="17"/>
      <c r="FZ117" s="17"/>
      <c r="GA117" s="17"/>
      <c r="GB117" s="17"/>
      <c r="GC117" s="17"/>
      <c r="GD117" s="17"/>
      <c r="GE117" s="17"/>
      <c r="GF117" s="17"/>
      <c r="GG117" s="17"/>
      <c r="GH117" s="17"/>
      <c r="GI117" s="17"/>
      <c r="GJ117" s="17"/>
      <c r="GK117" s="17"/>
      <c r="GL117" s="17"/>
      <c r="GM117" s="17"/>
      <c r="GN117" s="17"/>
      <c r="GO117" s="17"/>
      <c r="GP117" s="17"/>
      <c r="GQ117" s="17"/>
      <c r="GR117" s="17"/>
      <c r="GS117" s="17"/>
      <c r="GT117" s="17"/>
      <c r="GU117" s="17"/>
      <c r="GV117" s="17"/>
      <c r="GW117" s="17"/>
      <c r="GX117" s="17"/>
      <c r="GY117" s="17"/>
      <c r="GZ117" s="17"/>
      <c r="HA117" s="17"/>
      <c r="HB117" s="17"/>
      <c r="HC117" s="17"/>
      <c r="HD117" s="17"/>
      <c r="HE117" s="17"/>
      <c r="HF117" s="17"/>
      <c r="HG117" s="17"/>
      <c r="HH117" s="17"/>
      <c r="HI117" s="17"/>
      <c r="HJ117" s="17"/>
      <c r="HK117" s="17"/>
      <c r="HL117" s="17"/>
      <c r="HM117" s="17"/>
      <c r="HN117" s="17"/>
      <c r="HO117" s="17"/>
      <c r="HP117" s="17"/>
      <c r="HQ117" s="17"/>
      <c r="HR117" s="17"/>
      <c r="HS117" s="17"/>
      <c r="HT117" s="17"/>
      <c r="HU117" s="17"/>
      <c r="HV117" s="17"/>
      <c r="HW117" s="17"/>
      <c r="HX117" s="17"/>
      <c r="HY117" s="17"/>
      <c r="HZ117" s="17"/>
    </row>
    <row r="118" spans="73:234" ht="15" x14ac:dyDescent="0.25">
      <c r="BU118" s="17"/>
      <c r="BV118" s="17"/>
      <c r="BW118" s="17"/>
      <c r="BX118" s="17"/>
      <c r="BY118" s="17"/>
      <c r="BZ118" s="17"/>
      <c r="CA118" s="17"/>
      <c r="CB118" s="17"/>
      <c r="CC118" s="17"/>
      <c r="CD118" s="17"/>
      <c r="CE118" s="17"/>
      <c r="CF118" s="1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  <c r="CY118" s="17"/>
      <c r="CZ118" s="17"/>
      <c r="DA118" s="17"/>
      <c r="DB118" s="17"/>
      <c r="DC118" s="17"/>
      <c r="DD118" s="17"/>
      <c r="DE118" s="17"/>
      <c r="DF118" s="17"/>
      <c r="DG118" s="17"/>
      <c r="DH118" s="17"/>
      <c r="DI118" s="17"/>
      <c r="DJ118" s="17"/>
      <c r="DK118" s="17"/>
      <c r="DL118" s="17"/>
      <c r="DM118" s="17"/>
      <c r="DN118" s="17"/>
      <c r="DO118" s="17"/>
      <c r="DP118" s="17"/>
      <c r="DQ118" s="17"/>
      <c r="DR118" s="17"/>
      <c r="DS118" s="17"/>
      <c r="DT118" s="17"/>
      <c r="DU118" s="17"/>
      <c r="DV118" s="17"/>
      <c r="DW118" s="17"/>
      <c r="DX118" s="17"/>
      <c r="DY118" s="17"/>
      <c r="DZ118" s="17"/>
      <c r="EA118" s="17"/>
      <c r="EB118" s="17"/>
      <c r="EC118" s="17"/>
      <c r="ED118" s="17"/>
      <c r="EE118" s="17"/>
      <c r="EF118" s="17"/>
      <c r="EG118" s="17"/>
      <c r="EH118" s="17"/>
      <c r="EI118" s="17"/>
      <c r="EJ118" s="17"/>
      <c r="EK118" s="17"/>
      <c r="EL118" s="17"/>
      <c r="EM118" s="17"/>
      <c r="EN118" s="17"/>
      <c r="EO118" s="17"/>
      <c r="EP118" s="17"/>
      <c r="EQ118" s="17"/>
      <c r="ER118" s="17"/>
      <c r="ES118" s="17"/>
      <c r="ET118" s="17"/>
      <c r="EU118" s="17"/>
      <c r="EV118" s="17"/>
      <c r="EW118" s="17"/>
      <c r="EX118" s="17"/>
      <c r="EY118" s="17"/>
      <c r="EZ118" s="17"/>
      <c r="FA118" s="17"/>
      <c r="FB118" s="17"/>
      <c r="FC118" s="17"/>
      <c r="FD118" s="17"/>
      <c r="FE118" s="17"/>
      <c r="FF118" s="17"/>
      <c r="FG118" s="17"/>
      <c r="FH118" s="17"/>
      <c r="FI118" s="17"/>
      <c r="FJ118" s="17"/>
      <c r="FK118" s="17"/>
      <c r="FL118" s="17"/>
      <c r="FM118" s="17"/>
      <c r="FN118" s="17"/>
      <c r="FO118" s="17"/>
      <c r="FP118" s="17"/>
      <c r="FQ118" s="17"/>
      <c r="FR118" s="17"/>
      <c r="FS118" s="17"/>
      <c r="FT118" s="17"/>
      <c r="FU118" s="17"/>
      <c r="FV118" s="17"/>
      <c r="FW118" s="17"/>
      <c r="FX118" s="17"/>
      <c r="FY118" s="17"/>
      <c r="FZ118" s="17"/>
      <c r="GA118" s="17"/>
      <c r="GB118" s="17"/>
      <c r="GC118" s="17"/>
      <c r="GD118" s="17"/>
      <c r="GE118" s="17"/>
      <c r="GF118" s="17"/>
      <c r="GG118" s="17"/>
      <c r="GH118" s="17"/>
      <c r="GI118" s="17"/>
      <c r="GJ118" s="17"/>
      <c r="GK118" s="17"/>
      <c r="GL118" s="17"/>
      <c r="GM118" s="17"/>
      <c r="GN118" s="17"/>
      <c r="GO118" s="17"/>
      <c r="GP118" s="17"/>
      <c r="GQ118" s="17"/>
      <c r="GR118" s="17"/>
      <c r="GS118" s="17"/>
      <c r="GT118" s="17"/>
      <c r="GU118" s="17"/>
      <c r="GV118" s="17"/>
      <c r="GW118" s="17"/>
      <c r="GX118" s="17"/>
      <c r="GY118" s="17"/>
      <c r="GZ118" s="17"/>
      <c r="HA118" s="17"/>
      <c r="HB118" s="17"/>
      <c r="HC118" s="17"/>
      <c r="HD118" s="17"/>
      <c r="HE118" s="17"/>
      <c r="HF118" s="17"/>
      <c r="HG118" s="17"/>
      <c r="HH118" s="17"/>
      <c r="HI118" s="17"/>
      <c r="HJ118" s="17"/>
      <c r="HK118" s="17"/>
      <c r="HL118" s="17"/>
      <c r="HM118" s="17"/>
      <c r="HN118" s="17"/>
      <c r="HO118" s="17"/>
      <c r="HP118" s="17"/>
      <c r="HQ118" s="17"/>
      <c r="HR118" s="17"/>
      <c r="HS118" s="17"/>
      <c r="HT118" s="17"/>
      <c r="HU118" s="17"/>
      <c r="HV118" s="17"/>
      <c r="HW118" s="17"/>
      <c r="HX118" s="17"/>
      <c r="HY118" s="17"/>
      <c r="HZ118" s="17"/>
    </row>
    <row r="119" spans="73:234" ht="15" x14ac:dyDescent="0.25">
      <c r="BU119" s="17"/>
      <c r="BV119" s="17"/>
      <c r="BW119" s="17"/>
      <c r="BX119" s="17"/>
      <c r="BY119" s="17"/>
      <c r="BZ119" s="17"/>
      <c r="CA119" s="17"/>
      <c r="CB119" s="17"/>
      <c r="CC119" s="17"/>
      <c r="CD119" s="17"/>
      <c r="CE119" s="17"/>
      <c r="CF119" s="17"/>
      <c r="CG119" s="17"/>
      <c r="CH119" s="17"/>
      <c r="CI119" s="17"/>
      <c r="CJ119" s="17"/>
      <c r="CK119" s="17"/>
      <c r="CL119" s="17"/>
      <c r="CM119" s="17"/>
      <c r="CN119" s="17"/>
      <c r="CO119" s="17"/>
      <c r="CP119" s="17"/>
      <c r="CQ119" s="17"/>
      <c r="CR119" s="17"/>
      <c r="CS119" s="17"/>
      <c r="CT119" s="17"/>
      <c r="CU119" s="17"/>
      <c r="CV119" s="17"/>
      <c r="CW119" s="17"/>
      <c r="CX119" s="17"/>
      <c r="CY119" s="17"/>
      <c r="CZ119" s="17"/>
      <c r="DA119" s="17"/>
      <c r="DB119" s="17"/>
      <c r="DC119" s="17"/>
      <c r="DD119" s="17"/>
      <c r="DE119" s="17"/>
      <c r="DF119" s="17"/>
      <c r="DG119" s="17"/>
      <c r="DH119" s="17"/>
      <c r="DI119" s="17"/>
      <c r="DJ119" s="17"/>
      <c r="DK119" s="17"/>
      <c r="DL119" s="17"/>
      <c r="DM119" s="17"/>
      <c r="DN119" s="17"/>
      <c r="DO119" s="17"/>
      <c r="DP119" s="17"/>
      <c r="DQ119" s="17"/>
      <c r="DR119" s="17"/>
      <c r="DS119" s="17"/>
      <c r="DT119" s="17"/>
      <c r="DU119" s="17"/>
      <c r="DV119" s="17"/>
      <c r="DW119" s="17"/>
      <c r="DX119" s="17"/>
      <c r="DY119" s="17"/>
      <c r="DZ119" s="17"/>
      <c r="EA119" s="17"/>
      <c r="EB119" s="17"/>
      <c r="EC119" s="17"/>
      <c r="ED119" s="17"/>
      <c r="EE119" s="17"/>
      <c r="EF119" s="17"/>
      <c r="EG119" s="17"/>
      <c r="EH119" s="17"/>
      <c r="EI119" s="17"/>
      <c r="EJ119" s="17"/>
      <c r="EK119" s="17"/>
      <c r="EL119" s="17"/>
      <c r="EM119" s="17"/>
      <c r="EN119" s="17"/>
      <c r="EO119" s="17"/>
      <c r="EP119" s="17"/>
      <c r="EQ119" s="17"/>
      <c r="ER119" s="17"/>
      <c r="ES119" s="17"/>
      <c r="ET119" s="17"/>
      <c r="EU119" s="17"/>
      <c r="EV119" s="17"/>
      <c r="EW119" s="17"/>
      <c r="EX119" s="17"/>
      <c r="EY119" s="17"/>
      <c r="EZ119" s="17"/>
      <c r="FA119" s="17"/>
      <c r="FB119" s="17"/>
      <c r="FC119" s="17"/>
      <c r="FD119" s="17"/>
      <c r="FE119" s="17"/>
      <c r="FF119" s="17"/>
      <c r="FG119" s="17"/>
      <c r="FH119" s="17"/>
      <c r="FI119" s="17"/>
      <c r="FJ119" s="17"/>
      <c r="FK119" s="17"/>
      <c r="FL119" s="17"/>
      <c r="FM119" s="17"/>
      <c r="FN119" s="17"/>
      <c r="FO119" s="17"/>
      <c r="FP119" s="17"/>
      <c r="FQ119" s="17"/>
      <c r="FR119" s="17"/>
      <c r="FS119" s="17"/>
      <c r="FT119" s="17"/>
      <c r="FU119" s="17"/>
      <c r="FV119" s="17"/>
      <c r="FW119" s="17"/>
      <c r="FX119" s="17"/>
      <c r="FY119" s="17"/>
      <c r="FZ119" s="17"/>
      <c r="GA119" s="17"/>
      <c r="GB119" s="17"/>
      <c r="GC119" s="17"/>
      <c r="GD119" s="17"/>
      <c r="GE119" s="17"/>
      <c r="GF119" s="17"/>
      <c r="GG119" s="17"/>
      <c r="GH119" s="17"/>
      <c r="GI119" s="17"/>
      <c r="GJ119" s="17"/>
      <c r="GK119" s="17"/>
      <c r="GL119" s="17"/>
      <c r="GM119" s="17"/>
      <c r="GN119" s="17"/>
      <c r="GO119" s="17"/>
      <c r="GP119" s="17"/>
      <c r="GQ119" s="17"/>
      <c r="GR119" s="17"/>
      <c r="GS119" s="17"/>
      <c r="GT119" s="17"/>
      <c r="GU119" s="17"/>
      <c r="GV119" s="17"/>
      <c r="GW119" s="17"/>
      <c r="GX119" s="17"/>
      <c r="GY119" s="17"/>
      <c r="GZ119" s="17"/>
      <c r="HA119" s="17"/>
      <c r="HB119" s="17"/>
      <c r="HC119" s="17"/>
      <c r="HD119" s="17"/>
      <c r="HE119" s="17"/>
      <c r="HF119" s="17"/>
      <c r="HG119" s="17"/>
      <c r="HH119" s="17"/>
      <c r="HI119" s="17"/>
      <c r="HJ119" s="17"/>
      <c r="HK119" s="17"/>
      <c r="HL119" s="17"/>
      <c r="HM119" s="17"/>
      <c r="HN119" s="17"/>
      <c r="HO119" s="17"/>
      <c r="HP119" s="17"/>
      <c r="HQ119" s="17"/>
      <c r="HR119" s="17"/>
      <c r="HS119" s="17"/>
      <c r="HT119" s="17"/>
      <c r="HU119" s="17"/>
      <c r="HV119" s="17"/>
      <c r="HW119" s="17"/>
      <c r="HX119" s="17"/>
      <c r="HY119" s="17"/>
      <c r="HZ119" s="17"/>
    </row>
    <row r="120" spans="73:234" ht="15" x14ac:dyDescent="0.25">
      <c r="BU120" s="17"/>
      <c r="BV120" s="17"/>
      <c r="BW120" s="17"/>
      <c r="BX120" s="17"/>
      <c r="BY120" s="17"/>
      <c r="BZ120" s="17"/>
      <c r="CA120" s="17"/>
      <c r="CB120" s="17"/>
      <c r="CC120" s="17"/>
      <c r="CD120" s="17"/>
      <c r="CE120" s="17"/>
      <c r="CF120" s="1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CY120" s="17"/>
      <c r="CZ120" s="17"/>
      <c r="DA120" s="17"/>
      <c r="DB120" s="17"/>
      <c r="DC120" s="17"/>
      <c r="DD120" s="17"/>
      <c r="DE120" s="17"/>
      <c r="DF120" s="17"/>
      <c r="DG120" s="17"/>
      <c r="DH120" s="17"/>
      <c r="DI120" s="17"/>
      <c r="DJ120" s="17"/>
      <c r="DK120" s="17"/>
      <c r="DL120" s="17"/>
      <c r="DM120" s="17"/>
      <c r="DN120" s="17"/>
      <c r="DO120" s="17"/>
      <c r="DP120" s="17"/>
      <c r="DQ120" s="17"/>
      <c r="DR120" s="17"/>
      <c r="DS120" s="17"/>
      <c r="DT120" s="17"/>
      <c r="DU120" s="17"/>
      <c r="DV120" s="17"/>
      <c r="DW120" s="17"/>
      <c r="DX120" s="17"/>
      <c r="DY120" s="17"/>
      <c r="DZ120" s="17"/>
      <c r="EA120" s="17"/>
      <c r="EB120" s="17"/>
      <c r="EC120" s="17"/>
      <c r="ED120" s="17"/>
      <c r="EE120" s="17"/>
      <c r="EF120" s="17"/>
      <c r="EG120" s="17"/>
      <c r="EH120" s="17"/>
      <c r="EI120" s="17"/>
      <c r="EJ120" s="17"/>
      <c r="EK120" s="17"/>
      <c r="EL120" s="17"/>
      <c r="EM120" s="17"/>
      <c r="EN120" s="17"/>
      <c r="EO120" s="17"/>
      <c r="EP120" s="17"/>
      <c r="EQ120" s="17"/>
      <c r="ER120" s="17"/>
      <c r="ES120" s="17"/>
      <c r="ET120" s="17"/>
      <c r="EU120" s="17"/>
      <c r="EV120" s="17"/>
      <c r="EW120" s="17"/>
      <c r="EX120" s="17"/>
      <c r="EY120" s="17"/>
      <c r="EZ120" s="17"/>
      <c r="FA120" s="17"/>
      <c r="FB120" s="17"/>
      <c r="FC120" s="17"/>
      <c r="FD120" s="17"/>
      <c r="FE120" s="17"/>
      <c r="FF120" s="17"/>
      <c r="FG120" s="17"/>
      <c r="FH120" s="17"/>
      <c r="FI120" s="17"/>
      <c r="FJ120" s="17"/>
      <c r="FK120" s="17"/>
      <c r="FL120" s="17"/>
      <c r="FM120" s="17"/>
      <c r="FN120" s="17"/>
      <c r="FO120" s="17"/>
      <c r="FP120" s="17"/>
      <c r="FQ120" s="17"/>
      <c r="FR120" s="17"/>
      <c r="FS120" s="17"/>
      <c r="FT120" s="17"/>
      <c r="FU120" s="17"/>
      <c r="FV120" s="17"/>
      <c r="FW120" s="17"/>
      <c r="FX120" s="17"/>
      <c r="FY120" s="17"/>
      <c r="FZ120" s="17"/>
      <c r="GA120" s="17"/>
      <c r="GB120" s="17"/>
      <c r="GC120" s="17"/>
      <c r="GD120" s="17"/>
      <c r="GE120" s="17"/>
      <c r="GF120" s="17"/>
      <c r="GG120" s="17"/>
      <c r="GH120" s="17"/>
      <c r="GI120" s="17"/>
      <c r="GJ120" s="17"/>
      <c r="GK120" s="17"/>
      <c r="GL120" s="17"/>
      <c r="GM120" s="17"/>
      <c r="GN120" s="17"/>
      <c r="GO120" s="17"/>
      <c r="GP120" s="17"/>
      <c r="GQ120" s="17"/>
      <c r="GR120" s="17"/>
      <c r="GS120" s="17"/>
      <c r="GT120" s="17"/>
      <c r="GU120" s="17"/>
      <c r="GV120" s="17"/>
      <c r="GW120" s="17"/>
      <c r="GX120" s="17"/>
      <c r="GY120" s="17"/>
      <c r="GZ120" s="17"/>
      <c r="HA120" s="17"/>
      <c r="HB120" s="17"/>
      <c r="HC120" s="17"/>
      <c r="HD120" s="17"/>
      <c r="HE120" s="17"/>
      <c r="HF120" s="17"/>
      <c r="HG120" s="17"/>
      <c r="HH120" s="17"/>
      <c r="HI120" s="17"/>
      <c r="HJ120" s="17"/>
      <c r="HK120" s="17"/>
      <c r="HL120" s="17"/>
      <c r="HM120" s="17"/>
      <c r="HN120" s="17"/>
      <c r="HO120" s="17"/>
      <c r="HP120" s="17"/>
      <c r="HQ120" s="17"/>
      <c r="HR120" s="17"/>
      <c r="HS120" s="17"/>
      <c r="HT120" s="17"/>
      <c r="HU120" s="17"/>
      <c r="HV120" s="17"/>
      <c r="HW120" s="17"/>
      <c r="HX120" s="17"/>
      <c r="HY120" s="17"/>
      <c r="HZ120" s="17"/>
    </row>
    <row r="121" spans="73:234" ht="15" x14ac:dyDescent="0.25">
      <c r="BU121" s="17"/>
      <c r="BV121" s="17"/>
      <c r="BW121" s="17"/>
      <c r="BX121" s="17"/>
      <c r="BY121" s="17"/>
      <c r="BZ121" s="17"/>
      <c r="CA121" s="17"/>
      <c r="CB121" s="17"/>
      <c r="CC121" s="17"/>
      <c r="CD121" s="17"/>
      <c r="CE121" s="17"/>
      <c r="CF121" s="17"/>
      <c r="CG121" s="17"/>
      <c r="CH121" s="17"/>
      <c r="CI121" s="17"/>
      <c r="CJ121" s="17"/>
      <c r="CK121" s="17"/>
      <c r="CL121" s="17"/>
      <c r="CM121" s="17"/>
      <c r="CN121" s="17"/>
      <c r="CO121" s="17"/>
      <c r="CP121" s="17"/>
      <c r="CQ121" s="17"/>
      <c r="CR121" s="17"/>
      <c r="CS121" s="17"/>
      <c r="CT121" s="17"/>
      <c r="CU121" s="17"/>
      <c r="CV121" s="17"/>
      <c r="CW121" s="17"/>
      <c r="CX121" s="17"/>
      <c r="CY121" s="17"/>
      <c r="CZ121" s="17"/>
      <c r="DA121" s="17"/>
      <c r="DB121" s="17"/>
      <c r="DC121" s="17"/>
      <c r="DD121" s="17"/>
      <c r="DE121" s="17"/>
      <c r="DF121" s="17"/>
      <c r="DG121" s="17"/>
      <c r="DH121" s="17"/>
      <c r="DI121" s="17"/>
      <c r="DJ121" s="17"/>
      <c r="DK121" s="17"/>
      <c r="DL121" s="17"/>
      <c r="DM121" s="17"/>
      <c r="DN121" s="17"/>
      <c r="DO121" s="17"/>
      <c r="DP121" s="17"/>
      <c r="DQ121" s="17"/>
      <c r="DR121" s="17"/>
      <c r="DS121" s="17"/>
      <c r="DT121" s="17"/>
      <c r="DU121" s="17"/>
      <c r="DV121" s="17"/>
      <c r="DW121" s="17"/>
      <c r="DX121" s="17"/>
      <c r="DY121" s="17"/>
      <c r="DZ121" s="17"/>
      <c r="EA121" s="17"/>
      <c r="EB121" s="17"/>
      <c r="EC121" s="17"/>
      <c r="ED121" s="17"/>
      <c r="EE121" s="17"/>
      <c r="EF121" s="17"/>
      <c r="EG121" s="17"/>
      <c r="EH121" s="17"/>
      <c r="EI121" s="17"/>
      <c r="EJ121" s="17"/>
      <c r="EK121" s="17"/>
      <c r="EL121" s="17"/>
      <c r="EM121" s="17"/>
      <c r="EN121" s="17"/>
      <c r="EO121" s="17"/>
      <c r="EP121" s="17"/>
      <c r="EQ121" s="17"/>
      <c r="ER121" s="17"/>
      <c r="ES121" s="17"/>
      <c r="ET121" s="17"/>
      <c r="EU121" s="17"/>
      <c r="EV121" s="17"/>
      <c r="EW121" s="17"/>
      <c r="EX121" s="17"/>
      <c r="EY121" s="17"/>
      <c r="EZ121" s="17"/>
      <c r="FA121" s="17"/>
      <c r="FB121" s="17"/>
      <c r="FC121" s="17"/>
      <c r="FD121" s="17"/>
      <c r="FE121" s="17"/>
      <c r="FF121" s="17"/>
      <c r="FG121" s="17"/>
      <c r="FH121" s="17"/>
      <c r="FI121" s="17"/>
      <c r="FJ121" s="17"/>
      <c r="FK121" s="17"/>
      <c r="FL121" s="17"/>
      <c r="FM121" s="17"/>
      <c r="FN121" s="17"/>
      <c r="FO121" s="17"/>
      <c r="FP121" s="17"/>
      <c r="FQ121" s="17"/>
      <c r="FR121" s="17"/>
      <c r="FS121" s="17"/>
      <c r="FT121" s="17"/>
      <c r="FU121" s="17"/>
      <c r="FV121" s="17"/>
      <c r="FW121" s="17"/>
      <c r="FX121" s="17"/>
      <c r="FY121" s="17"/>
      <c r="FZ121" s="17"/>
      <c r="GA121" s="17"/>
      <c r="GB121" s="17"/>
      <c r="GC121" s="17"/>
      <c r="GD121" s="17"/>
      <c r="GE121" s="17"/>
      <c r="GF121" s="17"/>
      <c r="GG121" s="17"/>
      <c r="GH121" s="17"/>
      <c r="GI121" s="17"/>
      <c r="GJ121" s="17"/>
      <c r="GK121" s="17"/>
      <c r="GL121" s="17"/>
      <c r="GM121" s="17"/>
      <c r="GN121" s="17"/>
      <c r="GO121" s="17"/>
      <c r="GP121" s="17"/>
      <c r="GQ121" s="17"/>
      <c r="GR121" s="17"/>
      <c r="GS121" s="17"/>
      <c r="GT121" s="17"/>
      <c r="GU121" s="17"/>
      <c r="GV121" s="17"/>
      <c r="GW121" s="17"/>
      <c r="GX121" s="17"/>
      <c r="GY121" s="17"/>
      <c r="GZ121" s="17"/>
      <c r="HA121" s="17"/>
      <c r="HB121" s="17"/>
      <c r="HC121" s="17"/>
      <c r="HD121" s="17"/>
      <c r="HE121" s="17"/>
      <c r="HF121" s="17"/>
      <c r="HG121" s="17"/>
      <c r="HH121" s="17"/>
      <c r="HI121" s="17"/>
      <c r="HJ121" s="17"/>
      <c r="HK121" s="17"/>
      <c r="HL121" s="17"/>
      <c r="HM121" s="17"/>
      <c r="HN121" s="17"/>
      <c r="HO121" s="17"/>
      <c r="HP121" s="17"/>
      <c r="HQ121" s="17"/>
      <c r="HR121" s="17"/>
      <c r="HS121" s="17"/>
      <c r="HT121" s="17"/>
      <c r="HU121" s="17"/>
      <c r="HV121" s="17"/>
      <c r="HW121" s="17"/>
      <c r="HX121" s="17"/>
      <c r="HY121" s="17"/>
      <c r="HZ121" s="17"/>
    </row>
    <row r="122" spans="73:234" ht="15" x14ac:dyDescent="0.25">
      <c r="BU122" s="17"/>
      <c r="BV122" s="17"/>
      <c r="BW122" s="17"/>
      <c r="BX122" s="17"/>
      <c r="BY122" s="17"/>
      <c r="BZ122" s="17"/>
      <c r="CA122" s="17"/>
      <c r="CB122" s="17"/>
      <c r="CC122" s="17"/>
      <c r="CD122" s="17"/>
      <c r="CE122" s="17"/>
      <c r="CF122" s="17"/>
      <c r="CG122" s="17"/>
      <c r="CH122" s="17"/>
      <c r="CI122" s="17"/>
      <c r="CJ122" s="17"/>
      <c r="CK122" s="17"/>
      <c r="CL122" s="17"/>
      <c r="CM122" s="17"/>
      <c r="CN122" s="17"/>
      <c r="CO122" s="17"/>
      <c r="CP122" s="17"/>
      <c r="CQ122" s="17"/>
      <c r="CR122" s="17"/>
      <c r="CS122" s="17"/>
      <c r="CT122" s="17"/>
      <c r="CU122" s="17"/>
      <c r="CV122" s="17"/>
      <c r="CW122" s="17"/>
      <c r="CX122" s="17"/>
      <c r="CY122" s="17"/>
      <c r="CZ122" s="17"/>
      <c r="DA122" s="17"/>
      <c r="DB122" s="17"/>
      <c r="DC122" s="17"/>
      <c r="DD122" s="17"/>
      <c r="DE122" s="17"/>
      <c r="DF122" s="17"/>
      <c r="DG122" s="17"/>
      <c r="DH122" s="17"/>
      <c r="DI122" s="17"/>
      <c r="DJ122" s="17"/>
      <c r="DK122" s="17"/>
      <c r="DL122" s="17"/>
      <c r="DM122" s="17"/>
      <c r="DN122" s="17"/>
      <c r="DO122" s="17"/>
      <c r="DP122" s="17"/>
      <c r="DQ122" s="17"/>
      <c r="DR122" s="17"/>
      <c r="DS122" s="17"/>
      <c r="DT122" s="17"/>
      <c r="DU122" s="17"/>
      <c r="DV122" s="17"/>
      <c r="DW122" s="17"/>
      <c r="DX122" s="17"/>
      <c r="DY122" s="17"/>
      <c r="DZ122" s="17"/>
      <c r="EA122" s="17"/>
      <c r="EB122" s="17"/>
      <c r="EC122" s="17"/>
      <c r="ED122" s="17"/>
      <c r="EE122" s="17"/>
      <c r="EF122" s="17"/>
      <c r="EG122" s="17"/>
      <c r="EH122" s="17"/>
      <c r="EI122" s="17"/>
      <c r="EJ122" s="17"/>
      <c r="EK122" s="17"/>
      <c r="EL122" s="17"/>
      <c r="EM122" s="17"/>
      <c r="EN122" s="17"/>
      <c r="EO122" s="17"/>
      <c r="EP122" s="17"/>
      <c r="EQ122" s="17"/>
      <c r="ER122" s="17"/>
      <c r="ES122" s="17"/>
      <c r="ET122" s="17"/>
      <c r="EU122" s="17"/>
      <c r="EV122" s="17"/>
      <c r="EW122" s="17"/>
      <c r="EX122" s="17"/>
      <c r="EY122" s="17"/>
      <c r="EZ122" s="17"/>
      <c r="FA122" s="17"/>
      <c r="FB122" s="17"/>
      <c r="FC122" s="17"/>
      <c r="FD122" s="17"/>
      <c r="FE122" s="17"/>
      <c r="FF122" s="17"/>
      <c r="FG122" s="17"/>
      <c r="FH122" s="17"/>
      <c r="FI122" s="17"/>
      <c r="FJ122" s="17"/>
      <c r="FK122" s="17"/>
      <c r="FL122" s="17"/>
      <c r="FM122" s="17"/>
      <c r="FN122" s="17"/>
      <c r="FO122" s="17"/>
      <c r="FP122" s="17"/>
      <c r="FQ122" s="17"/>
      <c r="FR122" s="17"/>
      <c r="FS122" s="17"/>
      <c r="FT122" s="17"/>
      <c r="FU122" s="17"/>
      <c r="FV122" s="17"/>
      <c r="FW122" s="17"/>
      <c r="FX122" s="17"/>
      <c r="FY122" s="17"/>
      <c r="FZ122" s="17"/>
      <c r="GA122" s="17"/>
      <c r="GB122" s="17"/>
      <c r="GC122" s="17"/>
      <c r="GD122" s="17"/>
      <c r="GE122" s="17"/>
      <c r="GF122" s="17"/>
      <c r="GG122" s="17"/>
      <c r="GH122" s="17"/>
      <c r="GI122" s="17"/>
      <c r="GJ122" s="17"/>
      <c r="GK122" s="17"/>
      <c r="GL122" s="17"/>
      <c r="GM122" s="17"/>
      <c r="GN122" s="17"/>
      <c r="GO122" s="17"/>
      <c r="GP122" s="17"/>
      <c r="GQ122" s="17"/>
      <c r="GR122" s="17"/>
      <c r="GS122" s="17"/>
      <c r="GT122" s="17"/>
      <c r="GU122" s="17"/>
      <c r="GV122" s="17"/>
      <c r="GW122" s="17"/>
      <c r="GX122" s="17"/>
      <c r="GY122" s="17"/>
      <c r="GZ122" s="17"/>
      <c r="HA122" s="17"/>
      <c r="HB122" s="17"/>
      <c r="HC122" s="17"/>
      <c r="HD122" s="17"/>
      <c r="HE122" s="17"/>
      <c r="HF122" s="17"/>
      <c r="HG122" s="17"/>
      <c r="HH122" s="17"/>
      <c r="HI122" s="17"/>
      <c r="HJ122" s="17"/>
      <c r="HK122" s="17"/>
      <c r="HL122" s="17"/>
      <c r="HM122" s="17"/>
      <c r="HN122" s="17"/>
      <c r="HO122" s="17"/>
      <c r="HP122" s="17"/>
      <c r="HQ122" s="17"/>
      <c r="HR122" s="17"/>
      <c r="HS122" s="17"/>
      <c r="HT122" s="17"/>
      <c r="HU122" s="17"/>
      <c r="HV122" s="17"/>
      <c r="HW122" s="17"/>
      <c r="HX122" s="17"/>
      <c r="HY122" s="17"/>
      <c r="HZ122" s="17"/>
    </row>
    <row r="123" spans="73:234" ht="15" x14ac:dyDescent="0.25">
      <c r="BU123" s="17"/>
      <c r="BV123" s="17"/>
      <c r="BW123" s="17"/>
      <c r="BX123" s="17"/>
      <c r="BY123" s="17"/>
      <c r="BZ123" s="17"/>
      <c r="CA123" s="17"/>
      <c r="CB123" s="17"/>
      <c r="CC123" s="17"/>
      <c r="CD123" s="17"/>
      <c r="CE123" s="17"/>
      <c r="CF123" s="1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  <c r="CY123" s="17"/>
      <c r="CZ123" s="17"/>
      <c r="DA123" s="17"/>
      <c r="DB123" s="17"/>
      <c r="DC123" s="17"/>
      <c r="DD123" s="17"/>
      <c r="DE123" s="17"/>
      <c r="DF123" s="17"/>
      <c r="DG123" s="17"/>
      <c r="DH123" s="17"/>
      <c r="DI123" s="17"/>
      <c r="DJ123" s="17"/>
      <c r="DK123" s="17"/>
      <c r="DL123" s="17"/>
      <c r="DM123" s="17"/>
      <c r="DN123" s="17"/>
      <c r="DO123" s="17"/>
      <c r="DP123" s="17"/>
      <c r="DQ123" s="17"/>
      <c r="DR123" s="17"/>
      <c r="DS123" s="17"/>
      <c r="DT123" s="17"/>
      <c r="DU123" s="17"/>
      <c r="DV123" s="17"/>
      <c r="DW123" s="17"/>
      <c r="DX123" s="17"/>
      <c r="DY123" s="17"/>
      <c r="DZ123" s="17"/>
      <c r="EA123" s="17"/>
      <c r="EB123" s="17"/>
      <c r="EC123" s="17"/>
      <c r="ED123" s="17"/>
      <c r="EE123" s="17"/>
      <c r="EF123" s="17"/>
      <c r="EG123" s="17"/>
      <c r="EH123" s="17"/>
      <c r="EI123" s="17"/>
      <c r="EJ123" s="17"/>
      <c r="EK123" s="17"/>
      <c r="EL123" s="17"/>
      <c r="EM123" s="17"/>
      <c r="EN123" s="17"/>
      <c r="EO123" s="17"/>
      <c r="EP123" s="17"/>
      <c r="EQ123" s="17"/>
      <c r="ER123" s="17"/>
      <c r="ES123" s="17"/>
      <c r="ET123" s="17"/>
      <c r="EU123" s="17"/>
      <c r="EV123" s="17"/>
      <c r="EW123" s="17"/>
      <c r="EX123" s="17"/>
      <c r="EY123" s="17"/>
      <c r="EZ123" s="17"/>
      <c r="FA123" s="17"/>
      <c r="FB123" s="17"/>
      <c r="FC123" s="17"/>
      <c r="FD123" s="17"/>
      <c r="FE123" s="17"/>
      <c r="FF123" s="17"/>
      <c r="FG123" s="17"/>
      <c r="FH123" s="17"/>
      <c r="FI123" s="17"/>
      <c r="FJ123" s="17"/>
      <c r="FK123" s="17"/>
      <c r="FL123" s="17"/>
      <c r="FM123" s="17"/>
      <c r="FN123" s="17"/>
      <c r="FO123" s="17"/>
      <c r="FP123" s="17"/>
      <c r="FQ123" s="17"/>
      <c r="FR123" s="17"/>
      <c r="FS123" s="17"/>
      <c r="FT123" s="17"/>
      <c r="FU123" s="17"/>
      <c r="FV123" s="17"/>
      <c r="FW123" s="17"/>
      <c r="FX123" s="17"/>
      <c r="FY123" s="17"/>
      <c r="FZ123" s="17"/>
      <c r="GA123" s="17"/>
      <c r="GB123" s="17"/>
      <c r="GC123" s="17"/>
      <c r="GD123" s="17"/>
      <c r="GE123" s="17"/>
      <c r="GF123" s="17"/>
      <c r="GG123" s="17"/>
      <c r="GH123" s="17"/>
      <c r="GI123" s="17"/>
      <c r="GJ123" s="17"/>
      <c r="GK123" s="17"/>
      <c r="GL123" s="17"/>
      <c r="GM123" s="17"/>
      <c r="GN123" s="17"/>
      <c r="GO123" s="17"/>
      <c r="GP123" s="17"/>
      <c r="GQ123" s="17"/>
      <c r="GR123" s="17"/>
      <c r="GS123" s="17"/>
      <c r="GT123" s="17"/>
      <c r="GU123" s="17"/>
      <c r="GV123" s="17"/>
      <c r="GW123" s="17"/>
      <c r="GX123" s="17"/>
      <c r="GY123" s="17"/>
      <c r="GZ123" s="17"/>
      <c r="HA123" s="17"/>
      <c r="HB123" s="17"/>
      <c r="HC123" s="17"/>
      <c r="HD123" s="17"/>
      <c r="HE123" s="17"/>
      <c r="HF123" s="17"/>
      <c r="HG123" s="17"/>
      <c r="HH123" s="17"/>
      <c r="HI123" s="17"/>
      <c r="HJ123" s="17"/>
      <c r="HK123" s="17"/>
      <c r="HL123" s="17"/>
      <c r="HM123" s="17"/>
      <c r="HN123" s="17"/>
      <c r="HO123" s="17"/>
      <c r="HP123" s="17"/>
      <c r="HQ123" s="17"/>
      <c r="HR123" s="17"/>
      <c r="HS123" s="17"/>
      <c r="HT123" s="17"/>
      <c r="HU123" s="17"/>
      <c r="HV123" s="17"/>
      <c r="HW123" s="17"/>
      <c r="HX123" s="17"/>
      <c r="HY123" s="17"/>
      <c r="HZ123" s="17"/>
    </row>
    <row r="124" spans="73:234" ht="15" x14ac:dyDescent="0.25">
      <c r="BU124" s="17"/>
      <c r="BV124" s="17"/>
      <c r="BW124" s="17"/>
      <c r="BX124" s="17"/>
      <c r="BY124" s="17"/>
      <c r="BZ124" s="17"/>
      <c r="CA124" s="17"/>
      <c r="CB124" s="17"/>
      <c r="CC124" s="17"/>
      <c r="CD124" s="17"/>
      <c r="CE124" s="17"/>
      <c r="CF124" s="1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CY124" s="17"/>
      <c r="CZ124" s="17"/>
      <c r="DA124" s="17"/>
      <c r="DB124" s="17"/>
      <c r="DC124" s="17"/>
      <c r="DD124" s="17"/>
      <c r="DE124" s="17"/>
      <c r="DF124" s="17"/>
      <c r="DG124" s="17"/>
      <c r="DH124" s="17"/>
      <c r="DI124" s="17"/>
      <c r="DJ124" s="17"/>
      <c r="DK124" s="17"/>
      <c r="DL124" s="17"/>
      <c r="DM124" s="17"/>
      <c r="DN124" s="17"/>
      <c r="DO124" s="17"/>
      <c r="DP124" s="17"/>
      <c r="DQ124" s="17"/>
      <c r="DR124" s="17"/>
      <c r="DS124" s="17"/>
      <c r="DT124" s="17"/>
      <c r="DU124" s="17"/>
      <c r="DV124" s="17"/>
      <c r="DW124" s="17"/>
      <c r="DX124" s="17"/>
      <c r="DY124" s="17"/>
      <c r="DZ124" s="17"/>
      <c r="EA124" s="17"/>
      <c r="EB124" s="17"/>
      <c r="EC124" s="17"/>
      <c r="ED124" s="17"/>
      <c r="EE124" s="17"/>
      <c r="EF124" s="17"/>
      <c r="EG124" s="17"/>
      <c r="EH124" s="17"/>
      <c r="EI124" s="17"/>
      <c r="EJ124" s="17"/>
      <c r="EK124" s="17"/>
      <c r="EL124" s="17"/>
      <c r="EM124" s="17"/>
      <c r="EN124" s="17"/>
      <c r="EO124" s="17"/>
      <c r="EP124" s="17"/>
      <c r="EQ124" s="17"/>
      <c r="ER124" s="17"/>
      <c r="ES124" s="17"/>
      <c r="ET124" s="17"/>
      <c r="EU124" s="17"/>
      <c r="EV124" s="17"/>
      <c r="EW124" s="17"/>
      <c r="EX124" s="17"/>
      <c r="EY124" s="17"/>
      <c r="EZ124" s="17"/>
      <c r="FA124" s="17"/>
      <c r="FB124" s="17"/>
      <c r="FC124" s="17"/>
      <c r="FD124" s="17"/>
      <c r="FE124" s="17"/>
      <c r="FF124" s="17"/>
      <c r="FG124" s="17"/>
      <c r="FH124" s="17"/>
      <c r="FI124" s="17"/>
      <c r="FJ124" s="17"/>
      <c r="FK124" s="17"/>
      <c r="FL124" s="17"/>
      <c r="FM124" s="17"/>
      <c r="FN124" s="17"/>
      <c r="FO124" s="17"/>
      <c r="FP124" s="17"/>
      <c r="FQ124" s="17"/>
      <c r="FR124" s="17"/>
      <c r="FS124" s="17"/>
      <c r="FT124" s="17"/>
      <c r="FU124" s="17"/>
      <c r="FV124" s="17"/>
      <c r="FW124" s="17"/>
      <c r="FX124" s="17"/>
      <c r="FY124" s="17"/>
      <c r="FZ124" s="17"/>
      <c r="GA124" s="17"/>
      <c r="GB124" s="17"/>
      <c r="GC124" s="17"/>
      <c r="GD124" s="17"/>
      <c r="GE124" s="17"/>
      <c r="GF124" s="17"/>
      <c r="GG124" s="17"/>
      <c r="GH124" s="17"/>
      <c r="GI124" s="17"/>
      <c r="GJ124" s="17"/>
      <c r="GK124" s="17"/>
      <c r="GL124" s="17"/>
      <c r="GM124" s="17"/>
      <c r="GN124" s="17"/>
      <c r="GO124" s="17"/>
      <c r="GP124" s="17"/>
      <c r="GQ124" s="17"/>
      <c r="GR124" s="17"/>
      <c r="GS124" s="17"/>
      <c r="GT124" s="17"/>
      <c r="GU124" s="17"/>
      <c r="GV124" s="17"/>
      <c r="GW124" s="17"/>
      <c r="GX124" s="17"/>
      <c r="GY124" s="17"/>
      <c r="GZ124" s="17"/>
      <c r="HA124" s="17"/>
      <c r="HB124" s="17"/>
      <c r="HC124" s="17"/>
      <c r="HD124" s="17"/>
      <c r="HE124" s="17"/>
      <c r="HF124" s="17"/>
      <c r="HG124" s="17"/>
      <c r="HH124" s="17"/>
      <c r="HI124" s="17"/>
      <c r="HJ124" s="17"/>
      <c r="HK124" s="17"/>
      <c r="HL124" s="17"/>
      <c r="HM124" s="17"/>
      <c r="HN124" s="17"/>
      <c r="HO124" s="17"/>
      <c r="HP124" s="17"/>
      <c r="HQ124" s="17"/>
      <c r="HR124" s="17"/>
      <c r="HS124" s="17"/>
      <c r="HT124" s="17"/>
      <c r="HU124" s="17"/>
      <c r="HV124" s="17"/>
      <c r="HW124" s="17"/>
      <c r="HX124" s="17"/>
      <c r="HY124" s="17"/>
      <c r="HZ124" s="17"/>
    </row>
    <row r="125" spans="73:234" ht="15" x14ac:dyDescent="0.25">
      <c r="BU125" s="17"/>
      <c r="BV125" s="17"/>
      <c r="BW125" s="17"/>
      <c r="BX125" s="17"/>
      <c r="BY125" s="17"/>
      <c r="BZ125" s="17"/>
      <c r="CA125" s="17"/>
      <c r="CB125" s="17"/>
      <c r="CC125" s="17"/>
      <c r="CD125" s="17"/>
      <c r="CE125" s="17"/>
      <c r="CF125" s="1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CY125" s="17"/>
      <c r="CZ125" s="17"/>
      <c r="DA125" s="17"/>
      <c r="DB125" s="17"/>
      <c r="DC125" s="17"/>
      <c r="DD125" s="17"/>
      <c r="DE125" s="17"/>
      <c r="DF125" s="17"/>
      <c r="DG125" s="17"/>
      <c r="DH125" s="17"/>
      <c r="DI125" s="17"/>
      <c r="DJ125" s="17"/>
      <c r="DK125" s="17"/>
      <c r="DL125" s="17"/>
      <c r="DM125" s="17"/>
      <c r="DN125" s="17"/>
      <c r="DO125" s="17"/>
      <c r="DP125" s="17"/>
      <c r="DQ125" s="17"/>
      <c r="DR125" s="17"/>
      <c r="DS125" s="17"/>
      <c r="DT125" s="17"/>
      <c r="DU125" s="17"/>
      <c r="DV125" s="17"/>
      <c r="DW125" s="17"/>
      <c r="DX125" s="17"/>
      <c r="DY125" s="17"/>
      <c r="DZ125" s="17"/>
      <c r="EA125" s="17"/>
      <c r="EB125" s="17"/>
      <c r="EC125" s="17"/>
      <c r="ED125" s="17"/>
      <c r="EE125" s="17"/>
      <c r="EF125" s="17"/>
      <c r="EG125" s="17"/>
      <c r="EH125" s="17"/>
      <c r="EI125" s="17"/>
      <c r="EJ125" s="17"/>
      <c r="EK125" s="17"/>
      <c r="EL125" s="17"/>
      <c r="EM125" s="17"/>
      <c r="EN125" s="17"/>
      <c r="EO125" s="17"/>
      <c r="EP125" s="17"/>
      <c r="EQ125" s="17"/>
      <c r="ER125" s="17"/>
      <c r="ES125" s="17"/>
      <c r="ET125" s="17"/>
      <c r="EU125" s="17"/>
      <c r="EV125" s="17"/>
      <c r="EW125" s="17"/>
      <c r="EX125" s="17"/>
      <c r="EY125" s="17"/>
      <c r="EZ125" s="17"/>
      <c r="FA125" s="17"/>
      <c r="FB125" s="17"/>
      <c r="FC125" s="17"/>
      <c r="FD125" s="17"/>
      <c r="FE125" s="17"/>
      <c r="FF125" s="17"/>
      <c r="FG125" s="17"/>
      <c r="FH125" s="17"/>
      <c r="FI125" s="17"/>
      <c r="FJ125" s="17"/>
      <c r="FK125" s="17"/>
      <c r="FL125" s="17"/>
      <c r="FM125" s="17"/>
      <c r="FN125" s="17"/>
      <c r="FO125" s="17"/>
      <c r="FP125" s="17"/>
      <c r="FQ125" s="17"/>
      <c r="FR125" s="17"/>
      <c r="FS125" s="17"/>
      <c r="FT125" s="17"/>
      <c r="FU125" s="17"/>
      <c r="FV125" s="17"/>
      <c r="FW125" s="17"/>
      <c r="FX125" s="17"/>
      <c r="FY125" s="17"/>
      <c r="FZ125" s="17"/>
      <c r="GA125" s="17"/>
      <c r="GB125" s="17"/>
      <c r="GC125" s="17"/>
      <c r="GD125" s="17"/>
      <c r="GE125" s="17"/>
      <c r="GF125" s="17"/>
      <c r="GG125" s="17"/>
      <c r="GH125" s="17"/>
      <c r="GI125" s="17"/>
      <c r="GJ125" s="17"/>
      <c r="GK125" s="17"/>
      <c r="GL125" s="17"/>
      <c r="GM125" s="17"/>
      <c r="GN125" s="17"/>
      <c r="GO125" s="17"/>
      <c r="GP125" s="17"/>
      <c r="GQ125" s="17"/>
      <c r="GR125" s="17"/>
      <c r="GS125" s="17"/>
      <c r="GT125" s="17"/>
      <c r="GU125" s="17"/>
      <c r="GV125" s="17"/>
      <c r="GW125" s="17"/>
      <c r="GX125" s="17"/>
      <c r="GY125" s="17"/>
      <c r="GZ125" s="17"/>
      <c r="HA125" s="17"/>
      <c r="HB125" s="17"/>
      <c r="HC125" s="17"/>
      <c r="HD125" s="17"/>
      <c r="HE125" s="17"/>
      <c r="HF125" s="17"/>
      <c r="HG125" s="17"/>
      <c r="HH125" s="17"/>
      <c r="HI125" s="17"/>
      <c r="HJ125" s="17"/>
      <c r="HK125" s="17"/>
      <c r="HL125" s="17"/>
      <c r="HM125" s="17"/>
      <c r="HN125" s="17"/>
      <c r="HO125" s="17"/>
      <c r="HP125" s="17"/>
      <c r="HQ125" s="17"/>
      <c r="HR125" s="17"/>
      <c r="HS125" s="17"/>
      <c r="HT125" s="17"/>
      <c r="HU125" s="17"/>
      <c r="HV125" s="17"/>
      <c r="HW125" s="17"/>
      <c r="HX125" s="17"/>
      <c r="HY125" s="17"/>
      <c r="HZ125" s="17"/>
    </row>
    <row r="126" spans="73:234" ht="15" hidden="1" x14ac:dyDescent="0.25"/>
    <row r="127" spans="73:234" ht="15" hidden="1" x14ac:dyDescent="0.25"/>
    <row r="128" spans="73:234" ht="15" hidden="1" x14ac:dyDescent="0.25"/>
    <row r="129" ht="15" hidden="1" x14ac:dyDescent="0.25"/>
    <row r="130" ht="15" hidden="1" x14ac:dyDescent="0.25"/>
    <row r="131" ht="15" hidden="1" x14ac:dyDescent="0.25"/>
    <row r="132" ht="15" hidden="1" x14ac:dyDescent="0.25"/>
    <row r="133" ht="15" hidden="1" x14ac:dyDescent="0.25"/>
    <row r="134" ht="15" hidden="1" x14ac:dyDescent="0.25"/>
    <row r="135" ht="15" hidden="1" x14ac:dyDescent="0.25"/>
    <row r="136" ht="15" hidden="1" x14ac:dyDescent="0.25"/>
    <row r="137" ht="15" hidden="1" x14ac:dyDescent="0.25"/>
    <row r="138" ht="15" hidden="1" x14ac:dyDescent="0.25"/>
    <row r="139" ht="15" hidden="1" x14ac:dyDescent="0.25"/>
    <row r="140" ht="15" hidden="1" x14ac:dyDescent="0.25"/>
    <row r="141" ht="15" hidden="1" x14ac:dyDescent="0.25"/>
    <row r="142" ht="15" hidden="1" x14ac:dyDescent="0.25"/>
    <row r="143" ht="15" hidden="1" x14ac:dyDescent="0.25"/>
    <row r="144" ht="15" hidden="1" x14ac:dyDescent="0.25"/>
    <row r="145" ht="15" hidden="1" x14ac:dyDescent="0.25"/>
    <row r="146" ht="15" hidden="1" x14ac:dyDescent="0.25"/>
    <row r="147" ht="15" hidden="1" x14ac:dyDescent="0.25"/>
    <row r="148" ht="15" hidden="1" x14ac:dyDescent="0.25"/>
    <row r="149" ht="15" hidden="1" x14ac:dyDescent="0.25"/>
    <row r="150" ht="15" hidden="1" x14ac:dyDescent="0.25"/>
    <row r="151" ht="15" hidden="1" x14ac:dyDescent="0.25"/>
    <row r="152" ht="15" hidden="1" x14ac:dyDescent="0.25"/>
    <row r="153" ht="15" hidden="1" x14ac:dyDescent="0.25"/>
    <row r="154" ht="15" hidden="1" x14ac:dyDescent="0.25"/>
    <row r="155" ht="15" hidden="1" x14ac:dyDescent="0.25"/>
    <row r="156" ht="15" hidden="1" x14ac:dyDescent="0.25"/>
    <row r="157" ht="15" hidden="1" x14ac:dyDescent="0.25"/>
    <row r="158" ht="15" hidden="1" x14ac:dyDescent="0.25"/>
    <row r="159" ht="15" hidden="1" x14ac:dyDescent="0.25"/>
    <row r="160" ht="0" hidden="1" customHeight="1" x14ac:dyDescent="0.25"/>
    <row r="161" ht="0" hidden="1" customHeight="1" x14ac:dyDescent="0.25"/>
    <row r="162" ht="0" hidden="1" customHeight="1" x14ac:dyDescent="0.25"/>
    <row r="163" ht="0" hidden="1" customHeight="1" x14ac:dyDescent="0.25"/>
    <row r="164" ht="0" hidden="1" customHeight="1" x14ac:dyDescent="0.25"/>
    <row r="165" ht="0" hidden="1" customHeight="1" x14ac:dyDescent="0.25"/>
    <row r="166" ht="0" hidden="1" customHeight="1" x14ac:dyDescent="0.25"/>
    <row r="167" ht="0" hidden="1" customHeight="1" x14ac:dyDescent="0.25"/>
    <row r="168" ht="0" hidden="1" customHeight="1" x14ac:dyDescent="0.25"/>
    <row r="169" ht="0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</sheetData>
  <mergeCells count="37">
    <mergeCell ref="C15:G15"/>
    <mergeCell ref="K16:L16"/>
    <mergeCell ref="B2:AB3"/>
    <mergeCell ref="I6:J6"/>
    <mergeCell ref="C7:E7"/>
    <mergeCell ref="C8:D8"/>
    <mergeCell ref="K8:L8"/>
    <mergeCell ref="M8:AF8"/>
    <mergeCell ref="K17:K24"/>
    <mergeCell ref="K25:K29"/>
    <mergeCell ref="K30:K33"/>
    <mergeCell ref="AG8:AZ8"/>
    <mergeCell ref="BA8:BT8"/>
    <mergeCell ref="K9:L9"/>
    <mergeCell ref="K10:BT12"/>
    <mergeCell ref="K68:K75"/>
    <mergeCell ref="K76:K81"/>
    <mergeCell ref="D59:D60"/>
    <mergeCell ref="K52:K56"/>
    <mergeCell ref="C63:D63"/>
    <mergeCell ref="K67:L67"/>
    <mergeCell ref="C36:D36"/>
    <mergeCell ref="K37:BT39"/>
    <mergeCell ref="C45:D45"/>
    <mergeCell ref="C46:C49"/>
    <mergeCell ref="K43:L43"/>
    <mergeCell ref="K44:K51"/>
    <mergeCell ref="C37:C42"/>
    <mergeCell ref="BV37:BV39"/>
    <mergeCell ref="BV61:BV63"/>
    <mergeCell ref="BU37:BU39"/>
    <mergeCell ref="BU61:BU63"/>
    <mergeCell ref="D64:D65"/>
    <mergeCell ref="K61:BT63"/>
    <mergeCell ref="C52:D52"/>
    <mergeCell ref="C53:C56"/>
    <mergeCell ref="C58:D58"/>
  </mergeCells>
  <dataValidations count="3">
    <dataValidation type="decimal" operator="greaterThanOrEqual" allowBlank="1" showInputMessage="1" showErrorMessage="1" errorTitle="Low DA%" error="The entered DA% is lower than the current standing of 17.23%" sqref="E18:E20" xr:uid="{518AFBEB-E519-4FC7-870B-FCCDBEFC184D}">
      <formula1>0.1723</formula1>
    </dataValidation>
    <dataValidation type="decimal" operator="greaterThanOrEqual" allowBlank="1" showInputMessage="1" showErrorMessage="1" errorTitle="Low DA%" error="The entered DA% is lower than the current standing of 17.6%" sqref="E21" xr:uid="{EDE2B007-FC01-4CDF-8DCB-5B7CF52810F9}">
      <formula1>0.176</formula1>
    </dataValidation>
    <dataValidation type="whole" operator="lessThanOrEqual" allowBlank="1" showInputMessage="1" showErrorMessage="1" errorTitle="Saturation GRP Limit Reached" error="Saturation GRP for Sunbites is 740. Please enter a lower value" sqref="E26" xr:uid="{A6BCCCB1-4637-447E-A309-58C391136BBD}">
      <formula1>740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507E1-0D27-4B12-8FF2-DEF7BF8FCC3A}">
  <sheetPr codeName="Sheet9">
    <tabColor rgb="FF00B050"/>
  </sheetPr>
  <dimension ref="B1:XFD147"/>
  <sheetViews>
    <sheetView showGridLines="0" showRowColHeaders="0" topLeftCell="A6" zoomScale="80" zoomScaleNormal="80" workbookViewId="0">
      <selection activeCell="A6" sqref="A6"/>
    </sheetView>
  </sheetViews>
  <sheetFormatPr defaultColWidth="0" defaultRowHeight="15" zeroHeight="1" x14ac:dyDescent="0.25"/>
  <cols>
    <col min="1" max="1" width="9.140625" customWidth="1"/>
    <col min="2" max="2" width="16.85546875" bestFit="1" customWidth="1"/>
    <col min="3" max="7" width="9.140625" customWidth="1"/>
    <col min="8" max="8" width="8.140625" customWidth="1"/>
    <col min="9" max="9" width="9.140625" customWidth="1"/>
    <col min="10" max="10" width="1.42578125" customWidth="1"/>
    <col min="11" max="17" width="9.140625" customWidth="1"/>
    <col min="18" max="18" width="1.42578125" customWidth="1"/>
    <col min="19" max="26" width="9.140625" customWidth="1"/>
    <col min="27" max="29" width="9.140625" hidden="1"/>
    <col min="30" max="30" width="9.28515625" hidden="1"/>
    <col min="31" max="31" width="13.85546875" hidden="1"/>
    <col min="32" max="32" width="12.28515625" hidden="1"/>
    <col min="33" max="33" width="13.85546875" hidden="1"/>
    <col min="34" max="34" width="16.28515625" hidden="1"/>
    <col min="35" max="36" width="9.28515625" hidden="1"/>
    <col min="37" max="37" width="13.85546875" hidden="1"/>
    <col min="38" max="16382" width="9.140625" hidden="1"/>
  </cols>
  <sheetData>
    <row r="1" spans="2:18" hidden="1" x14ac:dyDescent="0.25"/>
    <row r="2" spans="2:18" hidden="1" x14ac:dyDescent="0.25"/>
    <row r="3" spans="2:18" hidden="1" x14ac:dyDescent="0.25"/>
    <row r="4" spans="2:18" hidden="1" x14ac:dyDescent="0.25"/>
    <row r="5" spans="2:18" hidden="1" x14ac:dyDescent="0.25"/>
    <row r="6" spans="2:18" x14ac:dyDescent="0.25"/>
    <row r="7" spans="2:18" x14ac:dyDescent="0.25"/>
    <row r="8" spans="2:18" x14ac:dyDescent="0.25"/>
    <row r="9" spans="2:18" ht="15.75" x14ac:dyDescent="0.25">
      <c r="B9" s="366" t="s">
        <v>285</v>
      </c>
      <c r="C9" s="567" t="s">
        <v>286</v>
      </c>
      <c r="D9" s="568"/>
      <c r="E9" s="569"/>
    </row>
    <row r="10" spans="2:18" x14ac:dyDescent="0.25"/>
    <row r="11" spans="2:18" ht="15.75" x14ac:dyDescent="0.25">
      <c r="B11" s="362" t="s">
        <v>52</v>
      </c>
      <c r="C11" s="574" t="s">
        <v>283</v>
      </c>
      <c r="D11" s="574"/>
      <c r="E11" s="574"/>
      <c r="F11" s="574" t="s">
        <v>284</v>
      </c>
      <c r="G11" s="574"/>
      <c r="H11" s="574"/>
      <c r="I11" s="574"/>
      <c r="J11" s="583" t="s">
        <v>280</v>
      </c>
      <c r="K11" s="583"/>
      <c r="L11" s="583"/>
      <c r="M11" s="583"/>
      <c r="N11" s="583" t="s">
        <v>281</v>
      </c>
      <c r="O11" s="583"/>
      <c r="P11" s="583" t="s">
        <v>282</v>
      </c>
      <c r="Q11" s="583"/>
      <c r="R11" s="584"/>
    </row>
    <row r="12" spans="2:18" ht="15.75" x14ac:dyDescent="0.25">
      <c r="B12" s="363" t="s">
        <v>82</v>
      </c>
      <c r="C12" s="575">
        <f>IF(summary_flag1=1,Simulator2!E9,Calculator!E9)</f>
        <v>149167702</v>
      </c>
      <c r="D12" s="575"/>
      <c r="E12" s="575"/>
      <c r="F12" s="575">
        <f>C12*(1+J12)</f>
        <v>160054311.31518865</v>
      </c>
      <c r="G12" s="575"/>
      <c r="H12" s="575"/>
      <c r="I12" s="575"/>
      <c r="J12" s="585">
        <f>AK134</f>
        <v>7.2982349189696913E-2</v>
      </c>
      <c r="K12" s="585"/>
      <c r="L12" s="585"/>
      <c r="M12" s="585"/>
      <c r="N12" s="585">
        <f>Calculator!D9</f>
        <v>7.2999999999999995E-2</v>
      </c>
      <c r="O12" s="585"/>
      <c r="P12" s="586">
        <f>IF((N12-J12)&lt;0,0,N12-J12)</f>
        <v>1.7650810303082576E-5</v>
      </c>
      <c r="Q12" s="587"/>
      <c r="R12" s="588"/>
    </row>
    <row r="13" spans="2:18" ht="15.75" x14ac:dyDescent="0.25">
      <c r="B13" s="364" t="s">
        <v>12</v>
      </c>
      <c r="C13" s="572">
        <f>IF(summary_flag1=1,Simulator2!E10,Calculator!E10)</f>
        <v>134633606</v>
      </c>
      <c r="D13" s="572"/>
      <c r="E13" s="572"/>
      <c r="F13" s="573">
        <f>C13*(1+J13)</f>
        <v>140422851.05731311</v>
      </c>
      <c r="G13" s="573"/>
      <c r="H13" s="573"/>
      <c r="I13" s="573"/>
      <c r="J13" s="576">
        <f>AK131</f>
        <v>4.2999999994898057E-2</v>
      </c>
      <c r="K13" s="576"/>
      <c r="L13" s="576"/>
      <c r="M13" s="576"/>
      <c r="N13" s="576">
        <f>Simulator2!D10</f>
        <v>4.2999999999999997E-2</v>
      </c>
      <c r="O13" s="576"/>
      <c r="P13" s="577">
        <f>IF((N13-J13)&lt;0,0,N13-J13)</f>
        <v>5.1019397040441561E-12</v>
      </c>
      <c r="Q13" s="578"/>
      <c r="R13" s="579"/>
    </row>
    <row r="14" spans="2:18" ht="15.75" x14ac:dyDescent="0.25">
      <c r="B14" s="364" t="s">
        <v>30</v>
      </c>
      <c r="C14" s="572">
        <f>IF(summary_flag1=1,Simulator2!E11,Calculator!E11)</f>
        <v>7665660</v>
      </c>
      <c r="D14" s="572"/>
      <c r="E14" s="572"/>
      <c r="F14" s="573">
        <f t="shared" ref="F14:F15" si="0">C14*(1+J14)</f>
        <v>9260117.2803318258</v>
      </c>
      <c r="G14" s="573"/>
      <c r="H14" s="573"/>
      <c r="I14" s="573"/>
      <c r="J14" s="576">
        <f t="shared" ref="J14:J15" si="1">AK132</f>
        <v>0.20800000004328736</v>
      </c>
      <c r="K14" s="576"/>
      <c r="L14" s="576"/>
      <c r="M14" s="576"/>
      <c r="N14" s="576">
        <f>Simulator2!D11</f>
        <v>0.20799999999999999</v>
      </c>
      <c r="O14" s="576"/>
      <c r="P14" s="577">
        <f>IF((N14-J14)&lt;0,0,N14-J14)</f>
        <v>0</v>
      </c>
      <c r="Q14" s="578"/>
      <c r="R14" s="579"/>
    </row>
    <row r="15" spans="2:18" ht="15.75" x14ac:dyDescent="0.25">
      <c r="B15" s="365" t="s">
        <v>38</v>
      </c>
      <c r="C15" s="570">
        <f>IF(summary_flag1=1,Simulator2!E12,Calculator!E12)</f>
        <v>6868436</v>
      </c>
      <c r="D15" s="570"/>
      <c r="E15" s="570"/>
      <c r="F15" s="571">
        <f t="shared" si="0"/>
        <v>10371342.977543717</v>
      </c>
      <c r="G15" s="571"/>
      <c r="H15" s="571"/>
      <c r="I15" s="571"/>
      <c r="J15" s="582">
        <f t="shared" si="1"/>
        <v>0.51000067228459534</v>
      </c>
      <c r="K15" s="582"/>
      <c r="L15" s="582"/>
      <c r="M15" s="582"/>
      <c r="N15" s="582">
        <f>Simulator2!D12</f>
        <v>0.51</v>
      </c>
      <c r="O15" s="582"/>
      <c r="P15" s="577">
        <f>IF((N15-J15)&lt;0,0,N15-J15)</f>
        <v>0</v>
      </c>
      <c r="Q15" s="578"/>
      <c r="R15" s="579"/>
    </row>
    <row r="16" spans="2:18" x14ac:dyDescent="0.25"/>
    <row r="17" spans="2:9" x14ac:dyDescent="0.25"/>
    <row r="18" spans="2:9" x14ac:dyDescent="0.25">
      <c r="B18" s="367"/>
      <c r="C18" s="558" t="s">
        <v>82</v>
      </c>
      <c r="D18" s="559"/>
      <c r="E18" s="559"/>
      <c r="F18" s="559"/>
      <c r="G18" s="559"/>
      <c r="H18" s="559"/>
      <c r="I18" s="560"/>
    </row>
    <row r="19" spans="2:9" x14ac:dyDescent="0.25">
      <c r="B19" s="561" t="s">
        <v>288</v>
      </c>
      <c r="C19" s="563" t="s">
        <v>95</v>
      </c>
      <c r="D19" s="564"/>
      <c r="E19" s="564"/>
      <c r="F19" s="565" t="s">
        <v>289</v>
      </c>
      <c r="G19" s="565"/>
      <c r="H19" s="565" t="s">
        <v>234</v>
      </c>
      <c r="I19" s="566"/>
    </row>
    <row r="20" spans="2:9" x14ac:dyDescent="0.25">
      <c r="B20" s="562"/>
      <c r="C20" s="368" t="s">
        <v>290</v>
      </c>
      <c r="D20" s="369" t="s">
        <v>291</v>
      </c>
      <c r="E20" s="370" t="s">
        <v>292</v>
      </c>
      <c r="F20" s="369" t="s">
        <v>293</v>
      </c>
      <c r="G20" s="369" t="s">
        <v>291</v>
      </c>
      <c r="H20" s="369" t="s">
        <v>293</v>
      </c>
      <c r="I20" s="371" t="s">
        <v>291</v>
      </c>
    </row>
    <row r="21" spans="2:9" x14ac:dyDescent="0.25">
      <c r="B21" s="372" t="s">
        <v>294</v>
      </c>
      <c r="C21" s="373">
        <f>SUM(C63,K63,S63)</f>
        <v>285280915.46999997</v>
      </c>
      <c r="D21" s="373">
        <f>SUM(D63,L63,T63)</f>
        <v>308105035.30081725</v>
      </c>
      <c r="E21" s="373">
        <f>D21-C21</f>
        <v>22824119.830817282</v>
      </c>
      <c r="F21" s="373">
        <f>SUM(F63,N63,V63)</f>
        <v>7013304.4847892383</v>
      </c>
      <c r="G21" s="373">
        <f>SUM(G63,O63,W63)</f>
        <v>7357469.0553133925</v>
      </c>
      <c r="H21" s="374">
        <f>F21*AH56/C21</f>
        <v>3.700534265950767</v>
      </c>
      <c r="I21" s="374">
        <f>G21*AI56/D21</f>
        <v>3.594546477246364</v>
      </c>
    </row>
    <row r="22" spans="2:9" x14ac:dyDescent="0.25">
      <c r="B22" s="375" t="s">
        <v>94</v>
      </c>
      <c r="C22" s="376">
        <f>SUM(C23:C28)</f>
        <v>112078125</v>
      </c>
      <c r="D22" s="376">
        <f>SUM(D23:D28)</f>
        <v>114058876.86011904</v>
      </c>
      <c r="E22" s="376">
        <f>D22-C22</f>
        <v>1980751.8601190448</v>
      </c>
      <c r="F22" s="376">
        <f>SUM(F23:F28)</f>
        <v>2846501.2200000128</v>
      </c>
      <c r="G22" s="376">
        <f>SUM(G23:G28)</f>
        <v>2759905.9800000135</v>
      </c>
      <c r="H22" s="434">
        <f>IF(summary_flag1=1,'Table Format Calculations'!W186,Calculator_Calculations!W186)</f>
        <v>3.7778018342975535</v>
      </c>
      <c r="I22" s="434">
        <f>IF(summary_flag1=1,'Table Format Calculations'!X186,Calculator_Calculations!X186)</f>
        <v>3.5665326276462093</v>
      </c>
    </row>
    <row r="23" spans="2:9" x14ac:dyDescent="0.25">
      <c r="B23" s="380" t="s">
        <v>97</v>
      </c>
      <c r="C23" s="381">
        <f>SUM(C65,K65,S65)</f>
        <v>55090125</v>
      </c>
      <c r="D23" s="381">
        <f>SUM(D65,L65,T65)</f>
        <v>49581112.5</v>
      </c>
      <c r="E23" s="381">
        <f>D23-C23</f>
        <v>-5509012.5</v>
      </c>
      <c r="F23" s="381">
        <f>SUM(F65,N65,V65)</f>
        <v>584095</v>
      </c>
      <c r="G23" s="381">
        <f>SUM(G65,O65,W65)</f>
        <v>525685.5</v>
      </c>
      <c r="H23" s="382">
        <f>IF(summary_flag1=1,'Table Format Calculations'!W180,Calculator_Calculations!W180)</f>
        <v>1.5749841148259121</v>
      </c>
      <c r="I23" s="382">
        <f>IF(summary_flag1=1,'Table Format Calculations'!X180,Calculator_Calculations!X180)</f>
        <v>1.5749841148259123</v>
      </c>
    </row>
    <row r="24" spans="2:9" x14ac:dyDescent="0.25">
      <c r="B24" s="380" t="s">
        <v>98</v>
      </c>
      <c r="C24" s="381">
        <f t="shared" ref="C24:D24" si="2">SUM(C66,K66,S66)</f>
        <v>20717500</v>
      </c>
      <c r="D24" s="381">
        <f t="shared" si="2"/>
        <v>18645750</v>
      </c>
      <c r="E24" s="381">
        <f t="shared" ref="E24:E35" si="3">D24-C24</f>
        <v>-2071750</v>
      </c>
      <c r="F24" s="381">
        <f t="shared" ref="F24:G24" si="4">SUM(F66,N66,V66)</f>
        <v>351114</v>
      </c>
      <c r="G24" s="381">
        <f t="shared" si="4"/>
        <v>316002.59999999998</v>
      </c>
      <c r="H24" s="382">
        <f>IF(summary_flag1=1,'Table Format Calculations'!W181,Calculator_Calculations!W181)</f>
        <v>2.5149191952550263</v>
      </c>
      <c r="I24" s="382">
        <f>IF(summary_flag1=1,'Table Format Calculations'!X181,Calculator_Calculations!X181)</f>
        <v>2.5149191952550263</v>
      </c>
    </row>
    <row r="25" spans="2:9" x14ac:dyDescent="0.25">
      <c r="B25" s="380" t="s">
        <v>100</v>
      </c>
      <c r="C25" s="381">
        <f t="shared" ref="C25:D25" si="5">SUM(C67,K67,S67)</f>
        <v>15018750</v>
      </c>
      <c r="D25" s="381">
        <f t="shared" si="5"/>
        <v>13516875</v>
      </c>
      <c r="E25" s="381">
        <f t="shared" si="3"/>
        <v>-1501875</v>
      </c>
      <c r="F25" s="381">
        <f t="shared" ref="F25:G25" si="6">SUM(F67,N67,V67)</f>
        <v>559778</v>
      </c>
      <c r="G25" s="381">
        <f t="shared" si="6"/>
        <v>503800.2</v>
      </c>
      <c r="H25" s="382">
        <f>IF(summary_flag1=1,'Table Format Calculations'!W182,Calculator_Calculations!W182)</f>
        <v>5.5246807619647207</v>
      </c>
      <c r="I25" s="382">
        <f>IF(summary_flag1=1,'Table Format Calculations'!X182,Calculator_Calculations!X182)</f>
        <v>5.5246807619647198</v>
      </c>
    </row>
    <row r="26" spans="2:9" x14ac:dyDescent="0.25">
      <c r="B26" s="380" t="s">
        <v>114</v>
      </c>
      <c r="C26" s="381">
        <f t="shared" ref="C26:D26" si="7">SUM(C68,K68,S68)</f>
        <v>13455250</v>
      </c>
      <c r="D26" s="381">
        <f t="shared" si="7"/>
        <v>12109725</v>
      </c>
      <c r="E26" s="381">
        <f t="shared" si="3"/>
        <v>-1345525</v>
      </c>
      <c r="F26" s="381">
        <f t="shared" ref="F26:G26" si="8">SUM(F68,N68,V68)</f>
        <v>503222</v>
      </c>
      <c r="G26" s="381">
        <f t="shared" si="8"/>
        <v>452899.80000000005</v>
      </c>
      <c r="H26" s="382">
        <f>IF(summary_flag1=1,'Table Format Calculations'!W183,Calculator_Calculations!W183)</f>
        <v>5.5501573072171428</v>
      </c>
      <c r="I26" s="382">
        <f>IF(summary_flag1=1,'Table Format Calculations'!X183,Calculator_Calculations!X183)</f>
        <v>5.5501573072171428</v>
      </c>
    </row>
    <row r="27" spans="2:9" x14ac:dyDescent="0.25">
      <c r="B27" s="380" t="s">
        <v>118</v>
      </c>
      <c r="C27" s="381">
        <f t="shared" ref="C27:D27" si="9">SUM(C69,K69,S69)</f>
        <v>6666750</v>
      </c>
      <c r="D27" s="381">
        <f t="shared" si="9"/>
        <v>19075664.360119045</v>
      </c>
      <c r="E27" s="381">
        <f t="shared" si="3"/>
        <v>12408914.360119045</v>
      </c>
      <c r="F27" s="381">
        <f t="shared" ref="F27:G27" si="10">SUM(F69,N69,V69)</f>
        <v>435102</v>
      </c>
      <c r="G27" s="381">
        <f t="shared" si="10"/>
        <v>548327.66</v>
      </c>
      <c r="H27" s="382">
        <f>IF(summary_flag1=1,'Table Format Calculations'!W184,Calculator_Calculations!W184)</f>
        <v>9.7127080671399337</v>
      </c>
      <c r="I27" s="382">
        <f>IF(summary_flag1=1,'Table Format Calculations'!X184,Calculator_Calculations!X184)</f>
        <v>4.0779760521851109</v>
      </c>
    </row>
    <row r="28" spans="2:9" x14ac:dyDescent="0.25">
      <c r="B28" s="380" t="s">
        <v>105</v>
      </c>
      <c r="C28" s="381">
        <f t="shared" ref="C28:D28" si="11">SUM(C70,K70,S70)</f>
        <v>1129750</v>
      </c>
      <c r="D28" s="381">
        <f t="shared" si="11"/>
        <v>1129750</v>
      </c>
      <c r="E28" s="381">
        <f t="shared" si="3"/>
        <v>0</v>
      </c>
      <c r="F28" s="381">
        <f>SUM(F70,N70,V70)</f>
        <v>413190.22000001301</v>
      </c>
      <c r="G28" s="381">
        <f>SUM(G70,O70,W70)</f>
        <v>413190.22000001301</v>
      </c>
    </row>
    <row r="29" spans="2:9" x14ac:dyDescent="0.25">
      <c r="B29" s="375" t="s">
        <v>295</v>
      </c>
      <c r="C29" s="377">
        <f>SUM(C30:C35)</f>
        <v>69286610.219999999</v>
      </c>
      <c r="D29" s="377">
        <f>SUM(D30:D35)</f>
        <v>90129978.190698192</v>
      </c>
      <c r="E29" s="376">
        <f>D29-C29</f>
        <v>20843367.970698193</v>
      </c>
      <c r="F29" s="377">
        <f>SUM(F30:F35)</f>
        <v>1278501.9244787749</v>
      </c>
      <c r="G29" s="377">
        <f>SUM(G30:G35)</f>
        <v>1709261.7350029291</v>
      </c>
      <c r="H29" s="434">
        <f>IF(summary_flag1=1,'Table Format Calculations'!W217,Calculator_Calculations!W217)</f>
        <v>2.7902918189021189</v>
      </c>
      <c r="I29" s="434">
        <f>IF(summary_flag1=1,'Table Format Calculations'!X217,Calculator_Calculations!X217)</f>
        <v>2.8901340618531903</v>
      </c>
    </row>
    <row r="30" spans="2:9" x14ac:dyDescent="0.25">
      <c r="B30" s="380" t="s">
        <v>104</v>
      </c>
      <c r="C30" s="381">
        <f>SUM(C72,K72,S72)</f>
        <v>30489260.990000002</v>
      </c>
      <c r="D30" s="381">
        <f>SUM(D72,L72,T72)</f>
        <v>42063852.85931652</v>
      </c>
      <c r="E30" s="381">
        <f t="shared" si="3"/>
        <v>11574591.869316518</v>
      </c>
      <c r="F30" s="381">
        <f>SUM(F72,N72,V72)</f>
        <v>486899.00881721661</v>
      </c>
      <c r="G30" s="381">
        <f>SUM(G72,O72,W72)</f>
        <v>666231.46704183077</v>
      </c>
      <c r="H30" s="382">
        <f>IF(summary_flag1=1,'Table Format Calculations'!W211,Calculator_Calculations!W211)</f>
        <v>2.4345638744371683</v>
      </c>
      <c r="I30" s="382">
        <f>IF(summary_flag1=1,'Table Format Calculations'!X211,Calculator_Calculations!X211)</f>
        <v>2.4199069386925474</v>
      </c>
    </row>
    <row r="31" spans="2:9" x14ac:dyDescent="0.25">
      <c r="B31" s="380" t="s">
        <v>106</v>
      </c>
      <c r="C31" s="381">
        <f t="shared" ref="C31:D31" si="12">SUM(C73,K73,S73)</f>
        <v>13222267.549999999</v>
      </c>
      <c r="D31" s="381">
        <f t="shared" si="12"/>
        <v>22491043.651359417</v>
      </c>
      <c r="E31" s="381">
        <f t="shared" si="3"/>
        <v>9268776.1013594177</v>
      </c>
      <c r="F31" s="381">
        <f t="shared" ref="F31:G31" si="13">SUM(F73,N73,V73)</f>
        <v>369498.53826275043</v>
      </c>
      <c r="G31" s="381">
        <f t="shared" si="13"/>
        <v>620925.89056175947</v>
      </c>
      <c r="H31" s="382">
        <f>IF(summary_flag1=1,'Table Format Calculations'!W212,Calculator_Calculations!W212)</f>
        <v>4.1991276413349246</v>
      </c>
      <c r="I31" s="382">
        <f>IF(summary_flag1=1,'Table Format Calculations'!X212,Calculator_Calculations!X212)</f>
        <v>4.2291186168826922</v>
      </c>
    </row>
    <row r="32" spans="2:9" x14ac:dyDescent="0.25">
      <c r="B32" s="380" t="s">
        <v>109</v>
      </c>
      <c r="C32" s="381">
        <f t="shared" ref="C32:D32" si="14">SUM(C74,K74,S74)</f>
        <v>8974495.5899999999</v>
      </c>
      <c r="D32" s="381">
        <f t="shared" si="14"/>
        <v>8974495.5900222771</v>
      </c>
      <c r="E32" s="381">
        <f t="shared" si="3"/>
        <v>2.2277235984802246E-5</v>
      </c>
      <c r="F32" s="381">
        <f t="shared" ref="F32:G32" si="15">SUM(F74,N74,V74)</f>
        <v>163544.31612064299</v>
      </c>
      <c r="G32" s="381">
        <f t="shared" si="15"/>
        <v>163544.31612117431</v>
      </c>
      <c r="H32" s="382">
        <f>IF(summary_flag1=1,'Table Format Calculations'!W213,Calculator_Calculations!W213)</f>
        <v>2.7302743826107125</v>
      </c>
      <c r="I32" s="382">
        <f>IF(summary_flag1=1,'Table Format Calculations'!X213,Calculator_Calculations!X213)</f>
        <v>2.730274382612798</v>
      </c>
    </row>
    <row r="33" spans="2:34" x14ac:dyDescent="0.25">
      <c r="B33" s="380" t="s">
        <v>111</v>
      </c>
      <c r="C33" s="381">
        <f t="shared" ref="C33:D33" si="16">SUM(C75,K75,S75)</f>
        <v>14287699.689999999</v>
      </c>
      <c r="D33" s="381">
        <f t="shared" si="16"/>
        <v>14287699.689999999</v>
      </c>
      <c r="E33" s="381">
        <f t="shared" si="3"/>
        <v>0</v>
      </c>
      <c r="F33" s="381">
        <f t="shared" ref="F33:G33" si="17">SUM(F75,N75,V75)</f>
        <v>243098.08418924324</v>
      </c>
      <c r="G33" s="381">
        <f t="shared" si="17"/>
        <v>243098.08418924324</v>
      </c>
      <c r="H33" s="382">
        <f>IF(summary_flag1=1,'Table Format Calculations'!W214,Calculator_Calculations!W214)</f>
        <v>2.5636145577543541</v>
      </c>
      <c r="I33" s="382">
        <f>IF(summary_flag1=1,'Table Format Calculations'!X214,Calculator_Calculations!X214)</f>
        <v>2.5636145577543541</v>
      </c>
    </row>
    <row r="34" spans="2:34" x14ac:dyDescent="0.25">
      <c r="B34" s="380" t="s">
        <v>121</v>
      </c>
      <c r="C34" s="381">
        <f t="shared" ref="C34:D34" si="18">SUM(C76,K76,S76)</f>
        <v>1581466</v>
      </c>
      <c r="D34" s="381">
        <f t="shared" si="18"/>
        <v>1581465.9999999739</v>
      </c>
      <c r="E34" s="381">
        <f t="shared" si="3"/>
        <v>-2.6077032089233398E-8</v>
      </c>
      <c r="F34" s="381">
        <f t="shared" ref="F34:G34" si="19">SUM(F76,N76,V76)</f>
        <v>10383.499999999982</v>
      </c>
      <c r="G34" s="381">
        <f t="shared" si="19"/>
        <v>10383.499999999809</v>
      </c>
      <c r="H34" s="382">
        <f>IF(summary_flag1=1,'Table Format Calculations'!W215,Calculator_Calculations!W215)</f>
        <v>1.0415861007557077</v>
      </c>
      <c r="I34" s="382">
        <f>IF(summary_flag1=1,'Table Format Calculations'!X215,Calculator_Calculations!X215)</f>
        <v>1.0415861007557075</v>
      </c>
    </row>
    <row r="35" spans="2:34" x14ac:dyDescent="0.25">
      <c r="B35" s="380" t="s">
        <v>211</v>
      </c>
      <c r="C35" s="381">
        <f t="shared" ref="C35:D35" si="20">SUM(C77,K77,S77)</f>
        <v>731420.4</v>
      </c>
      <c r="D35" s="381">
        <f t="shared" si="20"/>
        <v>731420.4</v>
      </c>
      <c r="E35" s="381">
        <f t="shared" si="3"/>
        <v>0</v>
      </c>
      <c r="F35" s="381">
        <f t="shared" ref="F35:G35" si="21">SUM(F77,N77,V77)</f>
        <v>5078.4770889215997</v>
      </c>
      <c r="G35" s="381">
        <f t="shared" si="21"/>
        <v>5078.4770889215997</v>
      </c>
      <c r="H35" s="382">
        <f>IF(summary_flag1=1,'Table Format Calculations'!W216,Calculator_Calculations!W216)</f>
        <v>1.0959440134576659</v>
      </c>
      <c r="I35" s="382">
        <f>IF(summary_flag1=1,'Table Format Calculations'!X216,Calculator_Calculations!X216)</f>
        <v>1.0959440134576659</v>
      </c>
    </row>
    <row r="36" spans="2:34" x14ac:dyDescent="0.25">
      <c r="B36" s="388" t="s">
        <v>86</v>
      </c>
      <c r="C36" s="389"/>
      <c r="D36" s="389"/>
      <c r="E36" s="389"/>
      <c r="F36" s="390"/>
      <c r="G36" s="390"/>
      <c r="H36" s="391"/>
      <c r="I36" s="391"/>
    </row>
    <row r="37" spans="2:34" x14ac:dyDescent="0.25">
      <c r="B37" s="395" t="s">
        <v>253</v>
      </c>
      <c r="C37" s="396">
        <f>SUM(C38:C41)</f>
        <v>36620486.789999999</v>
      </c>
      <c r="D37" s="396">
        <f>SUM(D38:D41)</f>
        <v>36620486.789999999</v>
      </c>
      <c r="E37" s="396">
        <f>D37-C37</f>
        <v>0</v>
      </c>
      <c r="F37" s="396">
        <f>SUM(F38:F41)</f>
        <v>1628760.5378693435</v>
      </c>
      <c r="G37" s="396">
        <f>SUM(G38:G41)</f>
        <v>1628760.5378693435</v>
      </c>
      <c r="H37" s="398">
        <f>IF(summary_flag1=1,'Table Format Calculations'!W248,Calculator_Calculations!W248)</f>
        <v>6.6654161534882208</v>
      </c>
      <c r="I37" s="398">
        <f>IF(summary_flag1=1,'Table Format Calculations'!X248,Calculator_Calculations!X248)</f>
        <v>6.6654161534882208</v>
      </c>
    </row>
    <row r="38" spans="2:34" x14ac:dyDescent="0.25">
      <c r="B38" s="380" t="s">
        <v>232</v>
      </c>
      <c r="C38" s="381">
        <f>SUM(C80,K80,S80)</f>
        <v>12872066.789999999</v>
      </c>
      <c r="D38" s="381">
        <f>SUM(D80,L80,T80)</f>
        <v>12872066.789999999</v>
      </c>
      <c r="E38" s="381">
        <f t="shared" ref="E38:E41" si="22">D38-C38</f>
        <v>0</v>
      </c>
      <c r="F38" s="381">
        <f>SUM(F80,N80,V80)</f>
        <v>493072.55714924785</v>
      </c>
      <c r="G38" s="381">
        <f>SUM(G80,O80,W80)</f>
        <v>493072.55714924785</v>
      </c>
      <c r="H38" s="382">
        <f>IF(summary_flag1=1,'Table Format Calculations'!W244,Calculator_Calculations!W244)</f>
        <v>5.7552585820368076</v>
      </c>
      <c r="I38" s="382">
        <f>IF(summary_flag1=1,'Table Format Calculations'!X244,Calculator_Calculations!X244)</f>
        <v>5.7552585820368076</v>
      </c>
    </row>
    <row r="39" spans="2:34" x14ac:dyDescent="0.25">
      <c r="B39" s="380" t="s">
        <v>119</v>
      </c>
      <c r="C39" s="381">
        <f t="shared" ref="C39:D39" si="23">SUM(C81,K81,S81)</f>
        <v>5641800</v>
      </c>
      <c r="D39" s="381">
        <f t="shared" si="23"/>
        <v>5641800</v>
      </c>
      <c r="E39" s="381">
        <f t="shared" si="22"/>
        <v>0</v>
      </c>
      <c r="F39" s="381">
        <f t="shared" ref="F39:G39" si="24">SUM(F81,N81,V81)</f>
        <v>209232.98157542368</v>
      </c>
      <c r="G39" s="381">
        <f t="shared" si="24"/>
        <v>209232.98157542368</v>
      </c>
      <c r="H39" s="382">
        <f>IF(summary_flag1=1,'Table Format Calculations'!W245,Calculator_Calculations!W245)</f>
        <v>5.551682273386743</v>
      </c>
      <c r="I39" s="382">
        <f>IF(summary_flag1=1,'Table Format Calculations'!X245,Calculator_Calculations!X245)</f>
        <v>5.551682273386743</v>
      </c>
    </row>
    <row r="40" spans="2:34" x14ac:dyDescent="0.25">
      <c r="B40" s="380" t="s">
        <v>233</v>
      </c>
      <c r="C40" s="381">
        <f t="shared" ref="C40:D40" si="25">SUM(C82,K82,S82)</f>
        <v>797400</v>
      </c>
      <c r="D40" s="381">
        <f t="shared" si="25"/>
        <v>797400</v>
      </c>
      <c r="E40" s="381">
        <f t="shared" si="22"/>
        <v>0</v>
      </c>
      <c r="F40" s="381">
        <f t="shared" ref="F40:G40" si="26">SUM(F82,N82,V82)</f>
        <v>178758.72722152862</v>
      </c>
      <c r="G40" s="381">
        <f t="shared" si="26"/>
        <v>178758.72722152862</v>
      </c>
      <c r="H40" s="382"/>
      <c r="I40" s="382"/>
    </row>
    <row r="41" spans="2:34" x14ac:dyDescent="0.25">
      <c r="B41" s="380" t="s">
        <v>120</v>
      </c>
      <c r="C41" s="381">
        <f t="shared" ref="C41:D41" si="27">SUM(C83,K83,S83)</f>
        <v>17309220</v>
      </c>
      <c r="D41" s="381">
        <f t="shared" si="27"/>
        <v>17309220</v>
      </c>
      <c r="E41" s="381">
        <f t="shared" si="22"/>
        <v>0</v>
      </c>
      <c r="F41" s="381">
        <f t="shared" ref="F41:G41" si="28">SUM(F83,N83,V83)</f>
        <v>747696.2719231433</v>
      </c>
      <c r="G41" s="381">
        <f t="shared" si="28"/>
        <v>747696.2719231433</v>
      </c>
      <c r="H41" s="382">
        <f>IF(summary_flag1=1,'Table Format Calculations'!W247,Calculator_Calculations!W247)</f>
        <v>6.4663597609028667</v>
      </c>
      <c r="I41" s="382">
        <f>IF(summary_flag1=1,'Table Format Calculations'!X247,Calculator_Calculations!X247)</f>
        <v>6.4663597609028667</v>
      </c>
    </row>
    <row r="42" spans="2:34" x14ac:dyDescent="0.25">
      <c r="B42" s="399" t="s">
        <v>252</v>
      </c>
      <c r="C42" s="400">
        <f>SUM(C84,K84)</f>
        <v>81522058.460000008</v>
      </c>
      <c r="D42" s="400">
        <f>SUM(D84,L84)</f>
        <v>81522058.460000008</v>
      </c>
      <c r="E42" s="400">
        <f t="shared" ref="E42" si="29">D42-C42</f>
        <v>0</v>
      </c>
      <c r="F42" s="400">
        <f t="shared" ref="F42" si="30">SUM(F84,N84,V84)</f>
        <v>1259540.8024411073</v>
      </c>
      <c r="G42" s="400">
        <f t="shared" ref="G42" si="31">SUM(G84,O84,W84)</f>
        <v>1259540.8024411073</v>
      </c>
      <c r="H42" s="430">
        <f>IF(summary_flag1=1,'Table Format Calculations'!W256,Calculator_Calculations!W256)</f>
        <v>2.3203335469621971</v>
      </c>
      <c r="I42" s="430">
        <f>IF(summary_flag1=1,'Table Format Calculations'!X256,Calculator_Calculations!X256)</f>
        <v>2.3203335469621971</v>
      </c>
    </row>
    <row r="43" spans="2:34" ht="15.75" x14ac:dyDescent="0.25">
      <c r="B43" s="392" t="s">
        <v>296</v>
      </c>
      <c r="C43" s="393"/>
      <c r="D43" s="393"/>
      <c r="E43" s="393"/>
      <c r="F43" s="394"/>
      <c r="G43" s="394"/>
      <c r="H43" s="394"/>
      <c r="I43" s="394"/>
    </row>
    <row r="44" spans="2:34" x14ac:dyDescent="0.25"/>
    <row r="45" spans="2:34" x14ac:dyDescent="0.25"/>
    <row r="46" spans="2:34" x14ac:dyDescent="0.25"/>
    <row r="47" spans="2:34" x14ac:dyDescent="0.25">
      <c r="AH47" t="s">
        <v>387</v>
      </c>
    </row>
    <row r="48" spans="2:34" x14ac:dyDescent="0.25">
      <c r="AG48" t="s">
        <v>383</v>
      </c>
      <c r="AH48" s="449">
        <f>C13</f>
        <v>134633606</v>
      </c>
    </row>
    <row r="49" spans="2:35" x14ac:dyDescent="0.25">
      <c r="AG49" t="s">
        <v>384</v>
      </c>
      <c r="AH49" s="449">
        <f t="shared" ref="AH49:AH50" si="32">C14</f>
        <v>7665660</v>
      </c>
    </row>
    <row r="50" spans="2:35" x14ac:dyDescent="0.25">
      <c r="AG50" t="s">
        <v>38</v>
      </c>
      <c r="AH50" s="449">
        <f t="shared" si="32"/>
        <v>6868436</v>
      </c>
    </row>
    <row r="51" spans="2:35" x14ac:dyDescent="0.25"/>
    <row r="52" spans="2:35" x14ac:dyDescent="0.25">
      <c r="AH52" t="s">
        <v>385</v>
      </c>
      <c r="AI52" t="s">
        <v>386</v>
      </c>
    </row>
    <row r="53" spans="2:35" x14ac:dyDescent="0.25">
      <c r="AG53" t="s">
        <v>383</v>
      </c>
      <c r="AH53">
        <f>'Table Format Calculations'!H13</f>
        <v>149.69667216973943</v>
      </c>
      <c r="AI53">
        <f>'Table Format Calculations'!AD12</f>
        <v>149.69667216973943</v>
      </c>
    </row>
    <row r="54" spans="2:35" x14ac:dyDescent="0.25">
      <c r="AG54" t="s">
        <v>384</v>
      </c>
      <c r="AH54">
        <f>'Table Format Calculations'!H14</f>
        <v>157.84176922830778</v>
      </c>
      <c r="AI54">
        <f>'Table Format Calculations'!AD13</f>
        <v>157.84176922830778</v>
      </c>
    </row>
    <row r="55" spans="2:35" x14ac:dyDescent="0.25">
      <c r="AG55" t="s">
        <v>38</v>
      </c>
      <c r="AH55">
        <f>'Table Format Calculations'!H15</f>
        <v>158.63947651733315</v>
      </c>
      <c r="AI55">
        <f>'Table Format Calculations'!AD14</f>
        <v>158.63947651733315</v>
      </c>
    </row>
    <row r="56" spans="2:35" x14ac:dyDescent="0.25">
      <c r="AG56" t="s">
        <v>82</v>
      </c>
      <c r="AH56" s="210">
        <f>SUMPRODUCT(AH53:AH55,AH48:AH50)/SUM(AH48:AH50)</f>
        <v>150.52701695872034</v>
      </c>
      <c r="AI56" s="210">
        <f>SUMPRODUCT(AI53:AI55,AH48:AH50)/SUM(AH48:AH50)</f>
        <v>150.52701695872034</v>
      </c>
    </row>
    <row r="57" spans="2:35" x14ac:dyDescent="0.25"/>
    <row r="58" spans="2:35" x14ac:dyDescent="0.25">
      <c r="AG58" t="s">
        <v>347</v>
      </c>
      <c r="AH58" s="210">
        <f>SUMPRODUCT(AH53:AH54,AH48:AH49)/SUM(AH48:AH49)</f>
        <v>150.13544846474849</v>
      </c>
      <c r="AI58" s="210">
        <f>SUMPRODUCT(AI53:AI54,AH48:AH49)/SUM(AH48:AH49)</f>
        <v>150.13544846474849</v>
      </c>
    </row>
    <row r="59" spans="2:35" x14ac:dyDescent="0.25"/>
    <row r="60" spans="2:35" x14ac:dyDescent="0.25">
      <c r="B60" s="367"/>
      <c r="C60" s="558" t="s">
        <v>12</v>
      </c>
      <c r="D60" s="559"/>
      <c r="E60" s="559"/>
      <c r="F60" s="559"/>
      <c r="G60" s="559"/>
      <c r="H60" s="559"/>
      <c r="I60" s="560"/>
      <c r="K60" s="558" t="s">
        <v>30</v>
      </c>
      <c r="L60" s="559"/>
      <c r="M60" s="559"/>
      <c r="N60" s="559"/>
      <c r="O60" s="559"/>
      <c r="P60" s="559"/>
      <c r="Q60" s="560"/>
      <c r="S60" s="558" t="s">
        <v>38</v>
      </c>
      <c r="T60" s="559"/>
      <c r="U60" s="559"/>
      <c r="V60" s="559"/>
      <c r="W60" s="559"/>
      <c r="X60" s="559"/>
      <c r="Y60" s="560"/>
    </row>
    <row r="61" spans="2:35" x14ac:dyDescent="0.25">
      <c r="B61" s="561" t="s">
        <v>288</v>
      </c>
      <c r="C61" s="563" t="s">
        <v>95</v>
      </c>
      <c r="D61" s="564"/>
      <c r="E61" s="564"/>
      <c r="F61" s="565" t="s">
        <v>289</v>
      </c>
      <c r="G61" s="565"/>
      <c r="H61" s="565" t="s">
        <v>234</v>
      </c>
      <c r="I61" s="566"/>
      <c r="K61" s="563" t="s">
        <v>95</v>
      </c>
      <c r="L61" s="564"/>
      <c r="M61" s="564"/>
      <c r="N61" s="565" t="s">
        <v>289</v>
      </c>
      <c r="O61" s="565"/>
      <c r="P61" s="565" t="s">
        <v>234</v>
      </c>
      <c r="Q61" s="566"/>
      <c r="S61" s="563" t="s">
        <v>95</v>
      </c>
      <c r="T61" s="564"/>
      <c r="U61" s="564"/>
      <c r="V61" s="565" t="s">
        <v>289</v>
      </c>
      <c r="W61" s="565"/>
      <c r="X61" s="565" t="s">
        <v>234</v>
      </c>
      <c r="Y61" s="566"/>
      <c r="AA61" t="s">
        <v>396</v>
      </c>
    </row>
    <row r="62" spans="2:35" x14ac:dyDescent="0.25">
      <c r="B62" s="562"/>
      <c r="C62" s="368" t="s">
        <v>290</v>
      </c>
      <c r="D62" s="369" t="s">
        <v>291</v>
      </c>
      <c r="E62" s="370" t="s">
        <v>292</v>
      </c>
      <c r="F62" s="369" t="s">
        <v>293</v>
      </c>
      <c r="G62" s="369" t="s">
        <v>291</v>
      </c>
      <c r="H62" s="369" t="s">
        <v>293</v>
      </c>
      <c r="I62" s="371" t="s">
        <v>291</v>
      </c>
      <c r="K62" s="368" t="s">
        <v>290</v>
      </c>
      <c r="L62" s="369" t="s">
        <v>291</v>
      </c>
      <c r="M62" s="370" t="s">
        <v>292</v>
      </c>
      <c r="N62" s="369" t="s">
        <v>293</v>
      </c>
      <c r="O62" s="369" t="s">
        <v>291</v>
      </c>
      <c r="P62" s="369" t="s">
        <v>293</v>
      </c>
      <c r="Q62" s="371" t="s">
        <v>291</v>
      </c>
      <c r="S62" s="368" t="s">
        <v>290</v>
      </c>
      <c r="T62" s="369" t="s">
        <v>291</v>
      </c>
      <c r="U62" s="370" t="s">
        <v>292</v>
      </c>
      <c r="V62" s="369" t="s">
        <v>293</v>
      </c>
      <c r="W62" s="369" t="s">
        <v>291</v>
      </c>
      <c r="X62" s="369" t="s">
        <v>293</v>
      </c>
      <c r="Y62" s="371" t="s">
        <v>291</v>
      </c>
    </row>
    <row r="63" spans="2:35" x14ac:dyDescent="0.25">
      <c r="B63" s="372" t="s">
        <v>294</v>
      </c>
      <c r="C63" s="373">
        <f>SUM(C64,C71,C80,C84)</f>
        <v>195226219.97</v>
      </c>
      <c r="D63" s="373">
        <f>SUM(D64,D71,D80,D84)</f>
        <v>194153316.1106981</v>
      </c>
      <c r="E63" s="373">
        <f>D63-C63</f>
        <v>-1072903.8593018949</v>
      </c>
      <c r="F63" s="431">
        <f>SUM(F64,F71,F79,F84)</f>
        <v>6410348.8574317265</v>
      </c>
      <c r="G63" s="431">
        <f>SUM(G64,G71,G79,G84)</f>
        <v>6318139.7306330334</v>
      </c>
      <c r="H63" s="374">
        <f>F63*AH53/C63</f>
        <v>4.9153637843937243</v>
      </c>
      <c r="I63" s="374">
        <f>G63*AI53/D63</f>
        <v>4.8714310469975226</v>
      </c>
      <c r="K63" s="431">
        <f>SUM(K64,K71,K79,K84)</f>
        <v>34488034.600000001</v>
      </c>
      <c r="L63" s="373">
        <f>SUM(L64,L71,L79,L84)</f>
        <v>39253339.50678581</v>
      </c>
      <c r="M63" s="373">
        <f>L63-K63</f>
        <v>4765304.9067858085</v>
      </c>
      <c r="N63" s="373">
        <f>SUM(N64,N71,N79,N84)</f>
        <v>400467.23101541802</v>
      </c>
      <c r="O63" s="373">
        <f>SUM(O64,O71,O79,O84)</f>
        <v>546457.07898006344</v>
      </c>
      <c r="P63" s="374">
        <f>N63*AH54/K63</f>
        <v>1.8328228034610887</v>
      </c>
      <c r="Q63" s="374">
        <f>O63*AI54/L63</f>
        <v>2.1973608675673431</v>
      </c>
      <c r="S63" s="431">
        <f>SUM(S64,S71,S79,S84)</f>
        <v>55566660.899999999</v>
      </c>
      <c r="T63" s="373">
        <f>SUM(T64,T71,T79,T84)</f>
        <v>74698379.683333308</v>
      </c>
      <c r="U63" s="373">
        <f>T63-S63</f>
        <v>19131718.783333309</v>
      </c>
      <c r="V63" s="373">
        <f>SUM(V64,V71,V79,V84)</f>
        <v>202488.39634209397</v>
      </c>
      <c r="W63" s="373">
        <f>SUM(W64,W71,W79,W84)</f>
        <v>492872.24570029613</v>
      </c>
      <c r="X63" s="374">
        <f>V63*AH55/S63</f>
        <v>0.57809219910394261</v>
      </c>
      <c r="Y63" s="374">
        <f>W63*AI55/T63</f>
        <v>1.0467294656093176</v>
      </c>
      <c r="AA63" s="210">
        <f>SUM(N63,F63)*AH58/SUM(C63,K63)</f>
        <v>4.4513777769865808</v>
      </c>
      <c r="AB63" s="210">
        <f>SUM(O63,G63)*AI58/SUM(D63,L63)</f>
        <v>4.4155524092250555</v>
      </c>
    </row>
    <row r="64" spans="2:35" x14ac:dyDescent="0.25">
      <c r="B64" s="375" t="s">
        <v>94</v>
      </c>
      <c r="C64" s="376">
        <f>SUM(C65:C70)</f>
        <v>72860750</v>
      </c>
      <c r="D64" s="376">
        <f>SUM(D65:D70)</f>
        <v>65653775</v>
      </c>
      <c r="E64" s="376">
        <f>D64-C64</f>
        <v>-7206975</v>
      </c>
      <c r="F64" s="447">
        <f>SUM(F65:F70)</f>
        <v>2573291.2200000128</v>
      </c>
      <c r="G64" s="447">
        <f>SUM(G65:G70)</f>
        <v>2353186.1200000132</v>
      </c>
      <c r="H64" s="434">
        <f>F64*AH53/C64</f>
        <v>5.286977311619915</v>
      </c>
      <c r="I64" s="434">
        <f>G64*AI53/D64</f>
        <v>5.3654817435863071</v>
      </c>
      <c r="K64" s="376">
        <f>SUM(K65:K70)</f>
        <v>22556750</v>
      </c>
      <c r="L64" s="376">
        <f>SUM(L65:L70)</f>
        <v>25861526.026785713</v>
      </c>
      <c r="M64" s="376">
        <f>L64-K64</f>
        <v>3304776.0267857127</v>
      </c>
      <c r="N64" s="376">
        <f>SUM(N65:N70)</f>
        <v>241988</v>
      </c>
      <c r="O64" s="376">
        <f>SUM(O65:O70)</f>
        <v>345476.19999999995</v>
      </c>
      <c r="P64" s="434">
        <f>IF(summary_flag1=1,'Table Format Calculations'!C75,Calculator_Calculations!C75)</f>
        <v>1.6933208042834071</v>
      </c>
      <c r="Q64" s="434">
        <f>IF(summary_flag1=1,'Table Format Calculations'!D75,Calculator_Calculations!D75)</f>
        <v>2.108559818851889</v>
      </c>
      <c r="S64" s="376">
        <f>SUM(S65:S70)</f>
        <v>16660625</v>
      </c>
      <c r="T64" s="376">
        <f>SUM(T65:T70)</f>
        <v>22543575.833333336</v>
      </c>
      <c r="U64" s="376">
        <f>T64-S64</f>
        <v>5882950.8333333358</v>
      </c>
      <c r="V64" s="376">
        <f>SUM(V65:V70)</f>
        <v>31222</v>
      </c>
      <c r="W64" s="376">
        <f>SUM(W65:W70)</f>
        <v>61243.66</v>
      </c>
      <c r="X64" s="378">
        <f>IF(summary_flag1=1,'Table Format Calculations'!C89,Calculator_Calculations!C89)</f>
        <v>0.2972902718730045</v>
      </c>
      <c r="Y64" s="379">
        <f>IF(summary_flag1=1,'Table Format Calculations'!D89,Calculator_Calculations!D89)</f>
        <v>0.43097254110147792</v>
      </c>
      <c r="AA64" s="210">
        <f>SUM(N64,F64)*AH58/SUM(C64,K64)</f>
        <v>4.4297241936561873</v>
      </c>
      <c r="AB64" s="210">
        <f>SUM(O64,G64)*AI58/SUM(D64,L64)</f>
        <v>4.4272910991084702</v>
      </c>
    </row>
    <row r="65" spans="2:28" x14ac:dyDescent="0.25">
      <c r="B65" s="380" t="s">
        <v>97</v>
      </c>
      <c r="C65" s="381">
        <v>36296000</v>
      </c>
      <c r="D65" s="381">
        <f>IF(summary_flag1=1,'Table Format Calculations'!Q54,Calculator_Calculations!Q54)</f>
        <v>32666400.000000004</v>
      </c>
      <c r="E65" s="381">
        <f>D65-C65</f>
        <v>-3629599.9999999963</v>
      </c>
      <c r="F65" s="381">
        <f>IF(summary_flag1=1,'Table Format Calculations'!S54,Calculator_Calculations!S54)</f>
        <v>534798</v>
      </c>
      <c r="G65" s="381">
        <f>IF(summary_flag1=1,'Table Format Calculations'!R54,Calculator_Calculations!R54)</f>
        <v>481318.2</v>
      </c>
      <c r="H65" s="382">
        <f>IF(summary_flag1=1,'Table Format Calculations'!C54,Calculator_Calculations!C54)</f>
        <v>2.2056832952124839</v>
      </c>
      <c r="I65" s="382">
        <f>IF(summary_flag1=1,'Table Format Calculations'!D54,Calculator_Calculations!D54)</f>
        <v>2.2056832952124839</v>
      </c>
      <c r="K65" s="381">
        <v>10182250</v>
      </c>
      <c r="L65" s="381">
        <f>IF(summary_flag1=1,'Table Format Calculations'!Q68,Calculator_Calculations!Q68)</f>
        <v>9164025</v>
      </c>
      <c r="M65" s="381">
        <f>L65-K65</f>
        <v>-1018225</v>
      </c>
      <c r="N65" s="381">
        <f>IF(summary_flag1=1,'Table Format Calculations'!S68,Calculator_Calculations!S68)</f>
        <v>42502</v>
      </c>
      <c r="O65" s="381">
        <f>IF(summary_flag1=1,'Table Format Calculations'!R68,Calculator_Calculations!R68)</f>
        <v>38251.799999999996</v>
      </c>
      <c r="P65" s="382">
        <f>IF(summary_flag1=1,'Table Format Calculations'!C68,Calculator_Calculations!C68)</f>
        <v>0.65885151864681557</v>
      </c>
      <c r="Q65" s="382">
        <f>IF(summary_flag1=1,'Table Format Calculations'!D68,Calculator_Calculations!D68)</f>
        <v>0.65885151864681546</v>
      </c>
      <c r="S65" s="381">
        <v>8611875</v>
      </c>
      <c r="T65" s="381">
        <f>IF(summary_flag1=1,'Table Format Calculations'!Q83,Calculator_Calculations!Q83)</f>
        <v>7750687.5</v>
      </c>
      <c r="U65" s="381">
        <f>T65-S65</f>
        <v>-861187.5</v>
      </c>
      <c r="V65" s="381">
        <f>IF(summary_flag1=1,'Table Format Calculations'!S83,Calculator_Calculations!S83)</f>
        <v>6795</v>
      </c>
      <c r="W65" s="381">
        <f>IF(summary_flag1=1,'Table Format Calculations'!R83,Calculator_Calculations!R83)</f>
        <v>6115.5</v>
      </c>
      <c r="X65" s="382">
        <f>IF(summary_flag1=1,'Table Format Calculations'!C83,Calculator_Calculations!C83)</f>
        <v>0.1251707953187057</v>
      </c>
      <c r="Y65" s="382">
        <f>IF(summary_flag1=1,'Table Format Calculations'!D83,Calculator_Calculations!D83)</f>
        <v>0.1251707953187057</v>
      </c>
    </row>
    <row r="66" spans="2:28" x14ac:dyDescent="0.25">
      <c r="B66" s="380" t="s">
        <v>98</v>
      </c>
      <c r="C66" s="381">
        <v>13580000</v>
      </c>
      <c r="D66" s="381">
        <f>IF(summary_flag1=1,'Table Format Calculations'!Q55,Calculator_Calculations!Q55)</f>
        <v>12222000</v>
      </c>
      <c r="E66" s="381">
        <f t="shared" ref="E66:E70" si="33">D66-C66</f>
        <v>-1358000</v>
      </c>
      <c r="F66" s="381">
        <f>IF(summary_flag1=1,'Table Format Calculations'!S55,Calculator_Calculations!S55)</f>
        <v>310072</v>
      </c>
      <c r="G66" s="381">
        <f>IF(summary_flag1=1,'Table Format Calculations'!R55,Calculator_Calculations!R55)</f>
        <v>279064.8</v>
      </c>
      <c r="H66" s="382">
        <f>IF(summary_flag1=1,'Table Format Calculations'!C55,Calculator_Calculations!C55)</f>
        <v>3.4180225723869988</v>
      </c>
      <c r="I66" s="382">
        <f>IF(summary_flag1=1,'Table Format Calculations'!D55,Calculator_Calculations!D55)</f>
        <v>3.4180225723869988</v>
      </c>
      <c r="K66" s="381">
        <v>4291500</v>
      </c>
      <c r="L66" s="381">
        <f>IF(summary_flag1=1,'Table Format Calculations'!Q69,Calculator_Calculations!Q69)</f>
        <v>3862350.0000000005</v>
      </c>
      <c r="M66" s="381">
        <f t="shared" ref="M66:M70" si="34">L66-K66</f>
        <v>-429149.99999999953</v>
      </c>
      <c r="N66" s="381">
        <f>IF(summary_flag1=1,'Table Format Calculations'!S69,Calculator_Calculations!S69)</f>
        <v>36024</v>
      </c>
      <c r="O66" s="381">
        <f>IF(summary_flag1=1,'Table Format Calculations'!R69,Calculator_Calculations!R69)</f>
        <v>32421.600000000002</v>
      </c>
      <c r="P66" s="382">
        <f>IF(summary_flag1=1,'Table Format Calculations'!C69,Calculator_Calculations!C69)</f>
        <v>1.3249660712293043</v>
      </c>
      <c r="Q66" s="382">
        <f>IF(summary_flag1=1,'Table Format Calculations'!D69,Calculator_Calculations!D69)</f>
        <v>1.3249660712293041</v>
      </c>
      <c r="S66" s="381">
        <v>2846000</v>
      </c>
      <c r="T66" s="381">
        <f>IF(summary_flag1=1,'Table Format Calculations'!Q84,Calculator_Calculations!Q84)</f>
        <v>2561400.0000000005</v>
      </c>
      <c r="U66" s="381">
        <f t="shared" ref="U66:U70" si="35">T66-S66</f>
        <v>-284599.99999999953</v>
      </c>
      <c r="V66" s="381">
        <f>IF(summary_flag1=1,'Table Format Calculations'!S84,Calculator_Calculations!S84)</f>
        <v>5018</v>
      </c>
      <c r="W66" s="381">
        <f>IF(summary_flag1=1,'Table Format Calculations'!R84,Calculator_Calculations!R84)</f>
        <v>4516.2000000000007</v>
      </c>
      <c r="X66" s="382">
        <f>IF(summary_flag1=1,'Table Format Calculations'!C84,Calculator_Calculations!C84)</f>
        <v>0.27970937918621847</v>
      </c>
      <c r="Y66" s="382">
        <f>IF(summary_flag1=1,'Table Format Calculations'!D84,Calculator_Calculations!D84)</f>
        <v>0.27970937918621847</v>
      </c>
    </row>
    <row r="67" spans="2:28" x14ac:dyDescent="0.25">
      <c r="B67" s="380" t="s">
        <v>100</v>
      </c>
      <c r="C67" s="381">
        <v>9984250</v>
      </c>
      <c r="D67" s="381">
        <f>IF(summary_flag1=1,'Table Format Calculations'!Q56,Calculator_Calculations!Q56)</f>
        <v>8985825</v>
      </c>
      <c r="E67" s="381">
        <f t="shared" si="33"/>
        <v>-998425</v>
      </c>
      <c r="F67" s="381">
        <f>IF(summary_flag1=1,'Table Format Calculations'!S56,Calculator_Calculations!S56)</f>
        <v>508400</v>
      </c>
      <c r="G67" s="381">
        <f>IF(summary_flag1=1,'Table Format Calculations'!R56,Calculator_Calculations!R56)</f>
        <v>457560</v>
      </c>
      <c r="H67" s="382">
        <f>IF(summary_flag1=1,'Table Format Calculations'!C56,Calculator_Calculations!C56)</f>
        <v>7.6225843835135869</v>
      </c>
      <c r="I67" s="382">
        <f>IF(summary_flag1=1,'Table Format Calculations'!D56,Calculator_Calculations!D56)</f>
        <v>7.622584383513586</v>
      </c>
      <c r="K67" s="381">
        <v>3114500</v>
      </c>
      <c r="L67" s="381">
        <f>IF(summary_flag1=1,'Table Format Calculations'!Q70,Calculator_Calculations!Q70)</f>
        <v>2803050</v>
      </c>
      <c r="M67" s="381">
        <f t="shared" si="34"/>
        <v>-311450</v>
      </c>
      <c r="N67" s="381">
        <f>IF(summary_flag1=1,'Table Format Calculations'!S70,Calculator_Calculations!S70)</f>
        <v>43512</v>
      </c>
      <c r="O67" s="381">
        <f>IF(summary_flag1=1,'Table Format Calculations'!R70,Calculator_Calculations!R70)</f>
        <v>39160.799999999996</v>
      </c>
      <c r="P67" s="382">
        <f>IF(summary_flag1=1,'Table Format Calculations'!C70,Calculator_Calculations!C70)</f>
        <v>2.2051729210666648</v>
      </c>
      <c r="Q67" s="382">
        <f>IF(summary_flag1=1,'Table Format Calculations'!D70,Calculator_Calculations!D70)</f>
        <v>2.2051729210666648</v>
      </c>
      <c r="S67" s="381">
        <v>1920000</v>
      </c>
      <c r="T67" s="381">
        <f>IF(summary_flag1=1,'Table Format Calculations'!Q85,Calculator_Calculations!Q85)</f>
        <v>1728000.0000000002</v>
      </c>
      <c r="U67" s="381">
        <f t="shared" si="35"/>
        <v>-191999.99999999977</v>
      </c>
      <c r="V67" s="381">
        <f>IF(summary_flag1=1,'Table Format Calculations'!S85,Calculator_Calculations!S85)</f>
        <v>7866</v>
      </c>
      <c r="W67" s="381">
        <f>IF(summary_flag1=1,'Table Format Calculations'!R85,Calculator_Calculations!R85)</f>
        <v>7079.4000000000005</v>
      </c>
      <c r="X67" s="382">
        <f>IF(summary_flag1=1,'Table Format Calculations'!C85,Calculator_Calculations!C85)</f>
        <v>0.64992610535694928</v>
      </c>
      <c r="Y67" s="382">
        <f>IF(summary_flag1=1,'Table Format Calculations'!D85,Calculator_Calculations!D85)</f>
        <v>0.64992610535694917</v>
      </c>
    </row>
    <row r="68" spans="2:28" x14ac:dyDescent="0.25">
      <c r="B68" s="380" t="s">
        <v>114</v>
      </c>
      <c r="C68" s="381">
        <v>8234500</v>
      </c>
      <c r="D68" s="381">
        <f>IF(summary_flag1=1,'Table Format Calculations'!Q57,Calculator_Calculations!Q57)</f>
        <v>7411050</v>
      </c>
      <c r="E68" s="381">
        <f t="shared" si="33"/>
        <v>-823450</v>
      </c>
      <c r="F68" s="381">
        <f>IF(summary_flag1=1,'Table Format Calculations'!S57,Calculator_Calculations!S57)</f>
        <v>454196</v>
      </c>
      <c r="G68" s="381">
        <f>IF(summary_flag1=1,'Table Format Calculations'!R57,Calculator_Calculations!R57)</f>
        <v>408776.4</v>
      </c>
      <c r="H68" s="382">
        <f>IF(summary_flag1=1,'Table Format Calculations'!C57,Calculator_Calculations!C57)</f>
        <v>8.2569226683838686</v>
      </c>
      <c r="I68" s="382">
        <f>IF(summary_flag1=1,'Table Format Calculations'!D57,Calculator_Calculations!D57)</f>
        <v>8.2569226683838703</v>
      </c>
      <c r="K68" s="381">
        <v>3009000</v>
      </c>
      <c r="L68" s="381">
        <f>IF(summary_flag1=1,'Table Format Calculations'!Q71,Calculator_Calculations!Q71)</f>
        <v>2708100.0000000005</v>
      </c>
      <c r="M68" s="381">
        <f t="shared" si="34"/>
        <v>-300899.99999999953</v>
      </c>
      <c r="N68" s="381">
        <f>IF(summary_flag1=1,'Table Format Calculations'!S71,Calculator_Calculations!S71)</f>
        <v>42366</v>
      </c>
      <c r="O68" s="381">
        <f>IF(summary_flag1=1,'Table Format Calculations'!R71,Calculator_Calculations!R71)</f>
        <v>38129.4</v>
      </c>
      <c r="P68" s="382">
        <f>IF(summary_flag1=1,'Table Format Calculations'!C71,Calculator_Calculations!C71)</f>
        <v>2.2223743420161139</v>
      </c>
      <c r="Q68" s="382">
        <f>IF(summary_flag1=1,'Table Format Calculations'!D71,Calculator_Calculations!D71)</f>
        <v>2.2223743420161139</v>
      </c>
      <c r="S68" s="381">
        <v>2211750</v>
      </c>
      <c r="T68" s="381">
        <f>IF(summary_flag1=1,'Table Format Calculations'!Q86,Calculator_Calculations!Q86)</f>
        <v>1990574.9999999998</v>
      </c>
      <c r="U68" s="381">
        <f t="shared" si="35"/>
        <v>-221175.00000000023</v>
      </c>
      <c r="V68" s="381">
        <f>IF(summary_flag1=1,'Table Format Calculations'!S86,Calculator_Calculations!S86)</f>
        <v>6660</v>
      </c>
      <c r="W68" s="381">
        <f>IF(summary_flag1=1,'Table Format Calculations'!R86,Calculator_Calculations!R86)</f>
        <v>5994</v>
      </c>
      <c r="X68" s="382">
        <f>IF(summary_flag1=1,'Table Format Calculations'!C86,Calculator_Calculations!C86)</f>
        <v>0.47769364241231549</v>
      </c>
      <c r="Y68" s="382">
        <f>IF(summary_flag1=1,'Table Format Calculations'!D86,Calculator_Calculations!D86)</f>
        <v>0.47769364241231554</v>
      </c>
    </row>
    <row r="69" spans="2:28" x14ac:dyDescent="0.25">
      <c r="B69" s="380" t="s">
        <v>118</v>
      </c>
      <c r="C69" s="381">
        <v>3975000</v>
      </c>
      <c r="D69" s="381">
        <f>IF(summary_flag1=1,'Table Format Calculations'!Q58,Calculator_Calculations!Q58)</f>
        <v>3577500</v>
      </c>
      <c r="E69" s="381">
        <f t="shared" si="33"/>
        <v>-397500</v>
      </c>
      <c r="F69" s="381">
        <f>IF(summary_flag1=1,'Table Format Calculations'!S58,Calculator_Calculations!S58)</f>
        <v>393585</v>
      </c>
      <c r="G69" s="381">
        <f>IF(summary_flag1=1,'Table Format Calculations'!R58,Calculator_Calculations!R58)</f>
        <v>354226.5</v>
      </c>
      <c r="H69" s="382">
        <f>IF(summary_flag1=1,'Table Format Calculations'!C58,Calculator_Calculations!C58)</f>
        <v>14.822230117214312</v>
      </c>
      <c r="I69" s="382">
        <f>IF(summary_flag1=1,'Table Format Calculations'!D58,Calculator_Calculations!D58)</f>
        <v>14.822230117214314</v>
      </c>
      <c r="K69" s="381">
        <v>1653250</v>
      </c>
      <c r="L69" s="381">
        <f>IF(summary_flag1=1,'Table Format Calculations'!Q72,Calculator_Calculations!Q72)</f>
        <v>7017751.0267857127</v>
      </c>
      <c r="M69" s="381">
        <f t="shared" si="34"/>
        <v>5364501.0267857127</v>
      </c>
      <c r="N69" s="381">
        <f>IF(summary_flag1=1,'Table Format Calculations'!S72,Calculator_Calculations!S72)</f>
        <v>36960</v>
      </c>
      <c r="O69" s="381">
        <f>IF(summary_flag1=1,'Table Format Calculations'!R72,Calculator_Calculations!R72)</f>
        <v>156888.59999999998</v>
      </c>
      <c r="P69" s="382">
        <f>IF(summary_flag1=1,'Table Format Calculations'!C72,Calculator_Calculations!C72)</f>
        <v>3.5287051508714686</v>
      </c>
      <c r="Q69" s="382">
        <f>IF(summary_flag1=1,'Table Format Calculations'!D72,Calculator_Calculations!D72)</f>
        <v>3.5287051508714691</v>
      </c>
      <c r="S69" s="381">
        <v>1038500</v>
      </c>
      <c r="T69" s="381">
        <f>IF(summary_flag1=1,'Table Format Calculations'!Q87,Calculator_Calculations!Q87)</f>
        <v>8480413.333333334</v>
      </c>
      <c r="U69" s="381">
        <f t="shared" si="35"/>
        <v>7441913.333333334</v>
      </c>
      <c r="V69" s="381">
        <f>IF(summary_flag1=1,'Table Format Calculations'!S87,Calculator_Calculations!S87)</f>
        <v>4557</v>
      </c>
      <c r="W69" s="381">
        <f>IF(summary_flag1=1,'Table Format Calculations'!R87,Calculator_Calculations!R87)</f>
        <v>37212.560000000005</v>
      </c>
      <c r="X69" s="382">
        <f>IF(summary_flag1=1,'Table Format Calculations'!C87,Calculator_Calculations!C87)</f>
        <v>0.69611949397158124</v>
      </c>
      <c r="Y69" s="382">
        <f>IF(summary_flag1=1,'Table Format Calculations'!D87,Calculator_Calculations!D87)</f>
        <v>0.69611949397158124</v>
      </c>
    </row>
    <row r="70" spans="2:28" x14ac:dyDescent="0.25">
      <c r="B70" s="380" t="s">
        <v>105</v>
      </c>
      <c r="C70" s="381">
        <v>791000</v>
      </c>
      <c r="D70" s="381">
        <f>IF(summary_flag1=1,'Table Format Calculations'!Q59,Calculator_Calculations!Q59)</f>
        <v>791000</v>
      </c>
      <c r="E70" s="383">
        <f t="shared" si="33"/>
        <v>0</v>
      </c>
      <c r="F70" s="381">
        <f>IF(summary_flag1=1,'Table Format Calculations'!S59,Calculator_Calculations!S59)</f>
        <v>372240.22000001301</v>
      </c>
      <c r="G70" s="381">
        <f>IF(summary_flag1=1,'Table Format Calculations'!R59,Calculator_Calculations!R59)</f>
        <v>372240.22000001301</v>
      </c>
      <c r="K70" s="381">
        <v>306250</v>
      </c>
      <c r="L70" s="381">
        <f>IF(summary_flag1=1,'Table Format Calculations'!Q73,Calculator_Calculations!Q73)</f>
        <v>306250</v>
      </c>
      <c r="M70" s="383">
        <f t="shared" si="34"/>
        <v>0</v>
      </c>
      <c r="N70" s="381">
        <f>IF(summary_flag1=1,'Table Format Calculations'!S73,Calculator_Calculations!S73)</f>
        <v>40624</v>
      </c>
      <c r="O70" s="381">
        <f>IF(summary_flag1=1,'Table Format Calculations'!R73,Calculator_Calculations!R73)</f>
        <v>40624</v>
      </c>
      <c r="P70" s="382"/>
      <c r="Q70" s="382"/>
      <c r="S70" s="381">
        <v>32500</v>
      </c>
      <c r="T70" s="381">
        <f>IF(summary_flag1=1,'Table Format Calculations'!Q88,Calculator_Calculations!Q88)</f>
        <v>32499.999999999996</v>
      </c>
      <c r="U70" s="383">
        <f t="shared" si="35"/>
        <v>0</v>
      </c>
      <c r="V70" s="381">
        <f>IF(summary_flag1=1,'Table Format Calculations'!S88,Calculator_Calculations!S88)</f>
        <v>326</v>
      </c>
      <c r="W70" s="381">
        <f>IF(summary_flag1=1,'Table Format Calculations'!R88,Calculator_Calculations!R88)</f>
        <v>326</v>
      </c>
    </row>
    <row r="71" spans="2:28" x14ac:dyDescent="0.25">
      <c r="B71" s="375" t="s">
        <v>295</v>
      </c>
      <c r="C71" s="377">
        <f>SUM(C72:C77)</f>
        <v>37920644.720000006</v>
      </c>
      <c r="D71" s="377">
        <f>SUM(D72:D77)</f>
        <v>44054715.860698104</v>
      </c>
      <c r="E71" s="377">
        <f>D71-C71</f>
        <v>6134071.1406980976</v>
      </c>
      <c r="F71" s="376">
        <f>SUM(F72:F77)</f>
        <v>1053838.0461694186</v>
      </c>
      <c r="G71" s="376">
        <f>SUM(G72:G77)</f>
        <v>1181734.0193707254</v>
      </c>
      <c r="H71" s="378">
        <f>F71*AH53/C71</f>
        <v>4.1601626154372555</v>
      </c>
      <c r="I71" s="378">
        <f>G71*AI53/D71</f>
        <v>4.015498605164872</v>
      </c>
      <c r="K71" s="377">
        <f>SUM(K72:K77)</f>
        <v>4868429.6000000006</v>
      </c>
      <c r="L71" s="377">
        <f>SUM(L72:L77)</f>
        <v>6328958.4800000982</v>
      </c>
      <c r="M71" s="377">
        <f>L71-K71</f>
        <v>1460528.8800000977</v>
      </c>
      <c r="N71" s="377">
        <f>SUM(N72:N77)</f>
        <v>83673.434309356118</v>
      </c>
      <c r="O71" s="377">
        <f>SUM(O72:O77)</f>
        <v>126175.08227400159</v>
      </c>
      <c r="P71" s="434">
        <f>IF(summary_flag1=1,'Table Format Calculations'!U122,Calculator_Calculations!U122)</f>
        <v>2.7128178887083747</v>
      </c>
      <c r="Q71" s="434">
        <f>IF(summary_flag1=1,'Table Format Calculations'!V122,Calculator_Calculations!V122)</f>
        <v>3.146757603417774</v>
      </c>
      <c r="S71" s="376">
        <f>SUM(S72:S77)</f>
        <v>26497535.899999999</v>
      </c>
      <c r="T71" s="377">
        <f>SUM(T72:T77)</f>
        <v>39746303.849999979</v>
      </c>
      <c r="U71" s="377">
        <f>T71-S71</f>
        <v>13248767.949999981</v>
      </c>
      <c r="V71" s="377">
        <f>SUM(V72:V77)</f>
        <v>140990.44400000008</v>
      </c>
      <c r="W71" s="377">
        <f>SUM(W72:W77)</f>
        <v>401352.63335820223</v>
      </c>
      <c r="X71" s="378">
        <f>IF(summary_flag1=1,'Table Format Calculations'!U134,Calculator_Calculations!U134)</f>
        <v>0.84410302582537078</v>
      </c>
      <c r="Y71" s="378">
        <f>IF(summary_flag1=1,'Table Format Calculations'!V134,Calculator_Calculations!V134)</f>
        <v>1.6019193104115101</v>
      </c>
      <c r="AA71" s="210">
        <f>SUM(N71,F71)*AH58/SUM(C71,K71)</f>
        <v>3.9912243713965165</v>
      </c>
      <c r="AB71" s="210">
        <f>SUM(O71,G71)*AI58/SUM(D71,L71)</f>
        <v>3.8973640191212029</v>
      </c>
    </row>
    <row r="72" spans="2:28" x14ac:dyDescent="0.25">
      <c r="B72" s="380" t="s">
        <v>104</v>
      </c>
      <c r="C72" s="384">
        <v>17408673.990000002</v>
      </c>
      <c r="D72" s="381">
        <f>IF(summary_flag1=1,'Table Format Calculations'!O106,Calculator_Calculations!O106)</f>
        <v>22426672.797939125</v>
      </c>
      <c r="E72" s="384">
        <f>D72-C72</f>
        <v>5017998.8079391234</v>
      </c>
      <c r="F72" s="381">
        <f>IF(summary_flag1=1,'Table Format Calculations'!R106,Calculator_Calculations!R106)</f>
        <v>330812.41870578646</v>
      </c>
      <c r="G72" s="381">
        <f>IF(summary_flag1=1,'Table Format Calculations'!S106,Calculator_Calculations!S106)</f>
        <v>426168.12033307017</v>
      </c>
      <c r="H72" s="382">
        <f>IF(summary_flag1=1,'Table Format Calculations'!U106,Calculator_Calculations!U106)</f>
        <v>2.8446461931061</v>
      </c>
      <c r="I72" s="382">
        <f>IF(summary_flag1=1,'Table Format Calculations'!V106,Calculator_Calculations!V106)</f>
        <v>2.8446461931061</v>
      </c>
      <c r="K72" s="384">
        <v>2367586</v>
      </c>
      <c r="L72" s="418">
        <f>IF(summary_flag1=1,'Table Format Calculations'!O119,Calculator_Calculations!O119)</f>
        <v>3828114.8800000981</v>
      </c>
      <c r="M72" s="384">
        <f>L72-K72</f>
        <v>1460528.8800000981</v>
      </c>
      <c r="N72" s="381">
        <f>IF(summary_flag1=1,'Table Format Calculations'!R119,Calculator_Calculations!R119)</f>
        <v>68897.170111430009</v>
      </c>
      <c r="O72" s="381">
        <f>IF(summary_flag1=1,'Table Format Calculations'!S119,Calculator_Calculations!S119)</f>
        <v>111398.81807607548</v>
      </c>
      <c r="P72" s="382">
        <f>IF(summary_flag1=1,'Table Format Calculations'!U119,Calculator_Calculations!U119)</f>
        <v>4.5932233191156726</v>
      </c>
      <c r="Q72" s="382">
        <f>IF(summary_flag1=1,'Table Format Calculations'!V119,Calculator_Calculations!V119)</f>
        <v>4.5932233191156735</v>
      </c>
      <c r="S72" s="384">
        <v>10713001</v>
      </c>
      <c r="T72" s="418">
        <f>IF(summary_flag1=1,'Table Format Calculations'!O130,Calculator_Calculations!O130)</f>
        <v>15809065.181377295</v>
      </c>
      <c r="U72" s="384">
        <f>T72-S72</f>
        <v>5096064.1813772954</v>
      </c>
      <c r="V72" s="419">
        <f>IF(summary_flag1=1,'Table Format Calculations'!R130,Calculator_Calculations!R130)</f>
        <v>87189.420000000158</v>
      </c>
      <c r="W72" s="419">
        <f>IF(summary_flag1=1,'Table Format Calculations'!S130,Calculator_Calculations!S130)</f>
        <v>128664.52863268506</v>
      </c>
      <c r="X72" s="382">
        <f>IF(summary_flag1=1,'Table Format Calculations'!U130,Calculator_Calculations!U130)</f>
        <v>1.2911119812879623</v>
      </c>
      <c r="Y72" s="382">
        <f>IF(summary_flag1=1,'Table Format Calculations'!V130,Calculator_Calculations!V130)</f>
        <v>1.2911119812879623</v>
      </c>
    </row>
    <row r="73" spans="2:28" x14ac:dyDescent="0.25">
      <c r="B73" s="380" t="s">
        <v>106</v>
      </c>
      <c r="C73" s="384">
        <v>11844012.949999999</v>
      </c>
      <c r="D73" s="381">
        <f>IF(summary_flag1=1,'Table Format Calculations'!O109,Calculator_Calculations!O109)</f>
        <v>12960085.282736696</v>
      </c>
      <c r="E73" s="384">
        <f>D73-C73</f>
        <v>1116072.332736697</v>
      </c>
      <c r="F73" s="381">
        <f>IF(summary_flag1=1,'Table Format Calculations'!R109,Calculator_Calculations!R109)</f>
        <v>345324.74877134745</v>
      </c>
      <c r="G73" s="381">
        <f>IF(summary_flag1=1,'Table Format Calculations'!S109,Calculator_Calculations!S109)</f>
        <v>377865.02034483908</v>
      </c>
      <c r="H73" s="382">
        <f>IF(summary_flag1=1,'Table Format Calculations'!U109,Calculator_Calculations!U109)</f>
        <v>4.3645651121077194</v>
      </c>
      <c r="I73" s="382">
        <f>IF(summary_flag1=1,'Table Format Calculations'!V109,Calculator_Calculations!V109)</f>
        <v>4.3645651121077194</v>
      </c>
      <c r="K73" s="384">
        <v>799758.9</v>
      </c>
      <c r="L73" s="381">
        <f>IF(summary_flag1=1,'Table Format Calculations'!O121,Calculator_Calculations!O121)</f>
        <v>799758.9</v>
      </c>
      <c r="M73" s="384">
        <f t="shared" ref="M73:M77" si="36">L73-K73</f>
        <v>0</v>
      </c>
      <c r="N73" s="381">
        <f>IF(summary_flag1=1,'Table Format Calculations'!R121,Calculator_Calculations!R121)</f>
        <v>8642.1034914030006</v>
      </c>
      <c r="O73" s="381">
        <f>IF(summary_flag1=1,'Table Format Calculations'!S121,Calculator_Calculations!S121)</f>
        <v>8642.1034914030006</v>
      </c>
      <c r="P73" s="382">
        <f>IF(summary_flag1=1,'Table Format Calculations'!U121,Calculator_Calculations!U121)</f>
        <v>1.7056201624479395</v>
      </c>
      <c r="Q73" s="382">
        <f>IF(summary_flag1=1,'Table Format Calculations'!V121,Calculator_Calculations!V121)</f>
        <v>1.7056201624479395</v>
      </c>
      <c r="S73" s="384">
        <v>578495.69999999995</v>
      </c>
      <c r="T73" s="418">
        <f>IF(summary_flag1=1,'Table Format Calculations'!O132,Calculator_Calculations!O132)</f>
        <v>8731199.4686227199</v>
      </c>
      <c r="U73" s="384">
        <f t="shared" ref="U73:U77" si="37">T73-S73</f>
        <v>8152703.7686227197</v>
      </c>
      <c r="V73" s="419">
        <f>IF(summary_flag1=1,'Table Format Calculations'!R132,Calculator_Calculations!R132)</f>
        <v>15531.685999999994</v>
      </c>
      <c r="W73" s="419">
        <f>IF(summary_flag1=1,'Table Format Calculations'!S132,Calculator_Calculations!S132)</f>
        <v>234418.76672551743</v>
      </c>
      <c r="X73" s="382">
        <f>IF(summary_flag1=1,'Table Format Calculations'!U133,Calculator_Calculations!U133)</f>
        <v>0.33997719559495992</v>
      </c>
      <c r="Y73" s="382">
        <f>IF(summary_flag1=1,'Table Format Calculations'!V133,Calculator_Calculations!V133)</f>
        <v>0.33997719559495992</v>
      </c>
    </row>
    <row r="74" spans="2:28" x14ac:dyDescent="0.25">
      <c r="B74" s="380" t="s">
        <v>109</v>
      </c>
      <c r="C74" s="384">
        <v>6755882.290000001</v>
      </c>
      <c r="D74" s="381">
        <f>IF(summary_flag1=1,'Table Format Calculations'!O107,Calculator_Calculations!O107)</f>
        <v>6755882.2900222782</v>
      </c>
      <c r="E74" s="384">
        <f>D74-C74</f>
        <v>2.2277235984802246E-5</v>
      </c>
      <c r="F74" s="381">
        <f>IF(summary_flag1=1,'Table Format Calculations'!R107,Calculator_Calculations!R107)</f>
        <v>161124.7555030415</v>
      </c>
      <c r="G74" s="381">
        <f>IF(summary_flag1=1,'Table Format Calculations'!S107,Calculator_Calculations!S107)</f>
        <v>161124.75550357281</v>
      </c>
      <c r="H74" s="382">
        <f>IF(summary_flag1=1,'Table Format Calculations'!U109,Calculator_Calculations!U109)</f>
        <v>4.3645651121077194</v>
      </c>
      <c r="I74" s="382">
        <f>IF(summary_flag1=1,'Table Format Calculations'!V109,Calculator_Calculations!V109)</f>
        <v>4.3645651121077194</v>
      </c>
      <c r="K74" s="384">
        <v>969664.3</v>
      </c>
      <c r="L74" s="381">
        <f>IF(summary_flag1=1,'Table Format Calculations'!O120,Calculator_Calculations!O120)</f>
        <v>969664.3</v>
      </c>
      <c r="M74" s="384">
        <f t="shared" si="36"/>
        <v>0</v>
      </c>
      <c r="N74" s="381">
        <f>IF(summary_flag1=1,'Table Format Calculations'!R120,Calculator_Calculations!R120)</f>
        <v>1055.6836176014999</v>
      </c>
      <c r="O74" s="381">
        <f>IF(summary_flag1=1,'Table Format Calculations'!S120,Calculator_Calculations!S120)</f>
        <v>1055.6836176014999</v>
      </c>
      <c r="P74" s="382">
        <f>IF(summary_flag1=1,'Table Format Calculations'!U120,Calculator_Calculations!U120)</f>
        <v>0.17184397728941972</v>
      </c>
      <c r="Q74" s="382">
        <f>IF(summary_flag1=1,'Table Format Calculations'!V120,Calculator_Calculations!V120)</f>
        <v>0.17184397728941972</v>
      </c>
      <c r="S74" s="384">
        <v>1248949</v>
      </c>
      <c r="T74" s="418">
        <f>IF(summary_flag1=1,'Table Format Calculations'!O131,Calculator_Calculations!O131)</f>
        <v>1248949</v>
      </c>
      <c r="U74" s="384">
        <f t="shared" si="37"/>
        <v>0</v>
      </c>
      <c r="V74" s="419">
        <f>IF(summary_flag1=1,'Table Format Calculations'!R131,Calculator_Calculations!R131)</f>
        <v>1363.8770000000004</v>
      </c>
      <c r="W74" s="419">
        <f>IF(summary_flag1=1,'Table Format Calculations'!S131,Calculator_Calculations!S131)</f>
        <v>1363.8770000000004</v>
      </c>
      <c r="X74" s="382">
        <f>IF(summary_flag1=1,'Table Format Calculations'!U131,Calculator_Calculations!U131)</f>
        <v>0.17323744469472402</v>
      </c>
      <c r="Y74" s="382">
        <f>IF(summary_flag1=1,'Table Format Calculations'!V131,Calculator_Calculations!V131)</f>
        <v>0.17323744469472402</v>
      </c>
    </row>
    <row r="75" spans="2:28" x14ac:dyDescent="0.25">
      <c r="B75" s="380" t="s">
        <v>111</v>
      </c>
      <c r="C75" s="384">
        <v>1912075.4900000002</v>
      </c>
      <c r="D75" s="381">
        <f>IF(summary_flag1=1,'Table Format Calculations'!O108,Calculator_Calculations!O108)</f>
        <v>1912075.49</v>
      </c>
      <c r="E75" s="384">
        <f t="shared" ref="E75" si="38">D75-C75</f>
        <v>0</v>
      </c>
      <c r="F75" s="381">
        <f>IF(summary_flag1=1,'Table Format Calculations'!R108,Calculator_Calculations!R108)</f>
        <v>216576.12318924328</v>
      </c>
      <c r="G75" s="381">
        <f>IF(summary_flag1=1,'Table Format Calculations'!S108,Calculator_Calculations!S108)</f>
        <v>216576.12318924328</v>
      </c>
      <c r="H75" s="382">
        <f>IF(summary_flag1=1,'Table Format Calculations'!U108,Calculator_Calculations!U108)</f>
        <v>16.955776632466144</v>
      </c>
      <c r="I75" s="382">
        <f>IF(summary_flag1=1,'Table Format Calculations'!V108,Calculator_Calculations!V108)</f>
        <v>16.955776632466144</v>
      </c>
      <c r="K75" s="384"/>
      <c r="L75" s="381"/>
      <c r="M75" s="384"/>
      <c r="N75" s="381"/>
      <c r="O75" s="381"/>
      <c r="P75" s="381"/>
      <c r="Q75" s="381"/>
      <c r="S75" s="384">
        <v>12375624.199999999</v>
      </c>
      <c r="T75" s="418">
        <f>IF(summary_flag1=1,'Table Format Calculations'!O133,Calculator_Calculations!O133)</f>
        <v>12375624.199999999</v>
      </c>
      <c r="U75" s="384">
        <f t="shared" si="37"/>
        <v>0</v>
      </c>
      <c r="V75" s="419">
        <f>IF(summary_flag1=1,'Table Format Calculations'!R133,Calculator_Calculations!R133)</f>
        <v>26521.960999999959</v>
      </c>
      <c r="W75" s="419">
        <f>IF(summary_flag1=1,'Table Format Calculations'!S133,Calculator_Calculations!S133)</f>
        <v>26521.960999999959</v>
      </c>
      <c r="X75" s="382">
        <f>IF(summary_flag1=1,'Table Format Calculations'!U132,Calculator_Calculations!U132)</f>
        <v>4.2592166829789599</v>
      </c>
      <c r="Y75" s="382">
        <f>IF(summary_flag1=1,'Table Format Calculations'!V132,Calculator_Calculations!V132)</f>
        <v>4.2592166829789599</v>
      </c>
    </row>
    <row r="76" spans="2:28" x14ac:dyDescent="0.25">
      <c r="B76" s="380" t="s">
        <v>121</v>
      </c>
      <c r="C76" s="384"/>
      <c r="D76" s="384"/>
      <c r="E76" s="384"/>
      <c r="F76" s="385"/>
      <c r="G76" s="385"/>
      <c r="H76" s="385"/>
      <c r="I76" s="385"/>
      <c r="K76" s="384"/>
      <c r="L76" s="381"/>
      <c r="M76" s="384"/>
      <c r="N76" s="381"/>
      <c r="O76" s="381"/>
      <c r="P76" s="382"/>
      <c r="Q76" s="382"/>
      <c r="S76" s="384">
        <v>1581466</v>
      </c>
      <c r="T76" s="418">
        <f>IF(summary_flag1=1,'Table Format Calculations'!O129,Calculator_Calculations!O129)</f>
        <v>1581465.9999999739</v>
      </c>
      <c r="U76" s="384">
        <f t="shared" si="37"/>
        <v>-2.6077032089233398E-8</v>
      </c>
      <c r="V76" s="419">
        <f>IF(summary_flag1=1,'Table Format Calculations'!R129,Calculator_Calculations!R129)</f>
        <v>10383.499999999982</v>
      </c>
      <c r="W76" s="419">
        <f>IF(summary_flag1=1,'Table Format Calculations'!S129,Calculator_Calculations!S129)</f>
        <v>10383.499999999809</v>
      </c>
      <c r="X76" s="382">
        <f>IF(summary_flag1=1,'Table Format Calculations'!U129,Calculator_Calculations!U129)</f>
        <v>1.0415861007557077</v>
      </c>
      <c r="Y76" s="382">
        <f>IF(summary_flag1=1,'Table Format Calculations'!V129,Calculator_Calculations!V129)</f>
        <v>1.0415861007557075</v>
      </c>
    </row>
    <row r="77" spans="2:28" x14ac:dyDescent="0.25">
      <c r="B77" s="380" t="s">
        <v>211</v>
      </c>
      <c r="C77" s="384"/>
      <c r="D77" s="384"/>
      <c r="E77" s="384"/>
      <c r="F77" s="385"/>
      <c r="G77" s="385"/>
      <c r="H77" s="386"/>
      <c r="I77" s="386"/>
      <c r="K77" s="384">
        <v>731420.4</v>
      </c>
      <c r="L77" s="381">
        <f>IF(summary_flag1=1,'Table Format Calculations'!O118,Calculator_Calculations!O118)</f>
        <v>731420.4</v>
      </c>
      <c r="M77" s="384">
        <f t="shared" si="36"/>
        <v>0</v>
      </c>
      <c r="N77" s="381">
        <f>IF(summary_flag1=1,'Table Format Calculations'!R118,Calculator_Calculations!R118)</f>
        <v>5078.4770889215997</v>
      </c>
      <c r="O77" s="381">
        <f>IF(summary_flag1=1,'Table Format Calculations'!S118,Calculator_Calculations!S118)</f>
        <v>5078.4770889215997</v>
      </c>
      <c r="P77" s="382">
        <f>IF(summary_flag1=1,'Table Format Calculations'!U118,Calculator_Calculations!U118)</f>
        <v>1.0959440134576659</v>
      </c>
      <c r="Q77" s="382">
        <f>IF(summary_flag1=1,'Table Format Calculations'!V118,Calculator_Calculations!V118)</f>
        <v>1.0959440134576659</v>
      </c>
      <c r="S77" s="384"/>
      <c r="T77" s="384"/>
      <c r="U77" s="384">
        <f t="shared" si="37"/>
        <v>0</v>
      </c>
      <c r="V77" s="385"/>
      <c r="W77" s="385"/>
      <c r="X77" s="382"/>
      <c r="Y77" s="386"/>
    </row>
    <row r="78" spans="2:28" x14ac:dyDescent="0.25">
      <c r="B78" s="388" t="s">
        <v>86</v>
      </c>
      <c r="C78" s="389"/>
      <c r="D78" s="389"/>
      <c r="E78" s="389"/>
      <c r="F78" s="390"/>
      <c r="G78" s="390"/>
      <c r="H78" s="391"/>
      <c r="I78" s="391"/>
      <c r="K78" s="389"/>
      <c r="L78" s="389"/>
      <c r="M78" s="389"/>
      <c r="N78" s="390"/>
      <c r="O78" s="390"/>
      <c r="P78" s="391"/>
      <c r="Q78" s="391"/>
      <c r="S78" s="389"/>
      <c r="T78" s="389"/>
      <c r="U78" s="389"/>
      <c r="V78" s="390"/>
      <c r="W78" s="390"/>
      <c r="X78" s="391"/>
      <c r="Y78" s="391"/>
    </row>
    <row r="79" spans="2:28" x14ac:dyDescent="0.25">
      <c r="B79" s="395" t="s">
        <v>253</v>
      </c>
      <c r="C79" s="396">
        <f>SUM(C80:C83)</f>
        <v>32323986.789999999</v>
      </c>
      <c r="D79" s="396">
        <f>SUM(D80:D83)</f>
        <v>32323986.789999999</v>
      </c>
      <c r="E79" s="396">
        <f>D79-C79</f>
        <v>0</v>
      </c>
      <c r="F79" s="432">
        <f>SUM(F80:F83)</f>
        <v>1598484.5855272496</v>
      </c>
      <c r="G79" s="432">
        <f>SUM(G80:G83)</f>
        <v>1598484.5855272496</v>
      </c>
      <c r="H79" s="398">
        <f>IF(summary_flag1=1,'Table Format Calculations'!S143,Calculator_Calculations!S143)</f>
        <v>7.4027942321175075</v>
      </c>
      <c r="I79" s="398">
        <f>IF(summary_flag1=1,'Table Format Calculations'!T143,Calculator_Calculations!T143)</f>
        <v>7.4027942321175075</v>
      </c>
      <c r="K79" s="396">
        <v>1410055</v>
      </c>
      <c r="L79" s="396">
        <v>1410055</v>
      </c>
      <c r="M79" s="396"/>
      <c r="N79" s="397"/>
      <c r="O79" s="397"/>
      <c r="P79" s="398"/>
      <c r="Q79" s="398"/>
      <c r="S79" s="396">
        <f>SUM(S80:S83)</f>
        <v>4296500</v>
      </c>
      <c r="T79" s="396">
        <f>SUM(T80:T83)</f>
        <v>4296500</v>
      </c>
      <c r="U79" s="396">
        <f>T79-S79</f>
        <v>0</v>
      </c>
      <c r="V79" s="396">
        <f>SUM(V80:V83)</f>
        <v>30275.9523420939</v>
      </c>
      <c r="W79" s="396">
        <f>SUM(W80:W83)</f>
        <v>30275.9523420939</v>
      </c>
      <c r="X79" s="398">
        <f>IF(summary_flag1=1,'Table Format Calculations'!S147,Calculator_Calculations!S147)</f>
        <v>1.1178776284448977</v>
      </c>
      <c r="Y79" s="398">
        <f>IF(summary_flag1=1,'Table Format Calculations'!T147,Calculator_Calculations!T147)</f>
        <v>1.1178776284448977</v>
      </c>
    </row>
    <row r="80" spans="2:28" x14ac:dyDescent="0.25">
      <c r="B80" s="380" t="s">
        <v>232</v>
      </c>
      <c r="C80" s="384">
        <f>'Table Format Calculations'!J139</f>
        <v>8575566.7899999991</v>
      </c>
      <c r="D80" s="381">
        <f>IF(summary_flag1=1,'Table Format Calculations'!M139,Calculator_Calculations!M139)</f>
        <v>8575566.7899999991</v>
      </c>
      <c r="E80" s="387">
        <f>D80-C80</f>
        <v>0</v>
      </c>
      <c r="F80" s="381">
        <f>IF(summary_flag1=1,'Table Format Calculations'!K139,Calculator_Calculations!K139)</f>
        <v>462796.60480715393</v>
      </c>
      <c r="G80" s="381">
        <f>IF(summary_flag1=1,'Table Format Calculations'!O139,Calculator_Calculations!O139)</f>
        <v>462796.60480715393</v>
      </c>
      <c r="H80" s="382">
        <f>IF(summary_flag1=1,'Table Format Calculations'!S139,Calculator_Calculations!S139)</f>
        <v>8.0786627085537503</v>
      </c>
      <c r="I80" s="382">
        <f>IF(summary_flag1=1,'Table Format Calculations'!T139,Calculator_Calculations!T139)</f>
        <v>8.0786627085537503</v>
      </c>
      <c r="K80" s="384"/>
      <c r="L80" s="384"/>
      <c r="M80" s="387"/>
      <c r="N80" s="385"/>
      <c r="O80" s="385"/>
      <c r="P80" s="386"/>
      <c r="Q80" s="386"/>
      <c r="S80" s="384">
        <v>4296500</v>
      </c>
      <c r="T80" s="381">
        <f>IF(summary_flag1=1,'Table Format Calculations'!M147,Calculator_Calculations!M147)</f>
        <v>4296500</v>
      </c>
      <c r="U80" s="387">
        <f>T80-S80</f>
        <v>0</v>
      </c>
      <c r="V80" s="381">
        <f>IF(summary_flag1=1,'Table Format Calculations'!K147,Calculator_Calculations!K147)</f>
        <v>30275.9523420939</v>
      </c>
      <c r="W80" s="381">
        <f>IF(summary_flag1=1,'Table Format Calculations'!O147,Calculator_Calculations!O147)</f>
        <v>30275.9523420939</v>
      </c>
      <c r="X80" s="382">
        <f>IF(summary_flag1=1,'Table Format Calculations'!S147,Calculator_Calculations!S147)</f>
        <v>1.1178776284448977</v>
      </c>
      <c r="Y80" s="382">
        <f>IF(summary_flag1=1,'Table Format Calculations'!T147,Calculator_Calculations!T147)</f>
        <v>1.1178776284448977</v>
      </c>
    </row>
    <row r="81" spans="2:25" x14ac:dyDescent="0.25">
      <c r="B81" s="380" t="s">
        <v>119</v>
      </c>
      <c r="C81" s="384">
        <f>'Table Format Calculations'!J140</f>
        <v>5641800</v>
      </c>
      <c r="D81" s="381">
        <f>IF(summary_flag1=1,'Table Format Calculations'!M140,Calculator_Calculations!M140)</f>
        <v>5641800</v>
      </c>
      <c r="E81" s="387">
        <f t="shared" ref="E81:E83" si="39">D81-C81</f>
        <v>0</v>
      </c>
      <c r="F81" s="381">
        <f>IF(summary_flag1=1,'Table Format Calculations'!K140,Calculator_Calculations!K140)</f>
        <v>209232.98157542368</v>
      </c>
      <c r="G81" s="381">
        <f>IF(summary_flag1=1,'Table Format Calculations'!O140,Calculator_Calculations!O140)</f>
        <v>209232.98157542368</v>
      </c>
      <c r="H81" s="382">
        <f>IF(summary_flag1=1,'Table Format Calculations'!S140,Calculator_Calculations!S140)</f>
        <v>5.551682273386743</v>
      </c>
      <c r="I81" s="382">
        <f>IF(summary_flag1=1,'Table Format Calculations'!T140,Calculator_Calculations!T140)</f>
        <v>5.551682273386743</v>
      </c>
      <c r="K81" s="384"/>
      <c r="L81" s="384"/>
      <c r="M81" s="387"/>
      <c r="N81" s="385"/>
      <c r="O81" s="385"/>
      <c r="P81" s="386"/>
      <c r="Q81" s="386"/>
      <c r="S81" s="384"/>
      <c r="T81" s="384"/>
      <c r="U81" s="387"/>
      <c r="V81" s="385"/>
      <c r="W81" s="385"/>
      <c r="X81" s="386"/>
      <c r="Y81" s="386"/>
    </row>
    <row r="82" spans="2:25" x14ac:dyDescent="0.25">
      <c r="B82" s="380" t="s">
        <v>233</v>
      </c>
      <c r="C82" s="384">
        <f>'Table Format Calculations'!J141</f>
        <v>797400</v>
      </c>
      <c r="D82" s="381">
        <f>IF(summary_flag1=1,'Table Format Calculations'!M141,Calculator_Calculations!M141)</f>
        <v>797400</v>
      </c>
      <c r="E82" s="387">
        <f t="shared" si="39"/>
        <v>0</v>
      </c>
      <c r="F82" s="381">
        <f>IF(summary_flag1=1,'Table Format Calculations'!K141,Calculator_Calculations!K141)</f>
        <v>178758.72722152862</v>
      </c>
      <c r="G82" s="381">
        <f>IF(summary_flag1=1,'Table Format Calculations'!O141,Calculator_Calculations!O141)</f>
        <v>178758.72722152862</v>
      </c>
      <c r="H82" s="382">
        <f>IF(summary_flag1=1,'Table Format Calculations'!S141,Calculator_Calculations!S141)</f>
        <v>33.558548515627095</v>
      </c>
      <c r="I82" s="382">
        <f>IF(summary_flag1=1,'Table Format Calculations'!T141,Calculator_Calculations!T141)</f>
        <v>33.558548515627095</v>
      </c>
      <c r="K82" s="384"/>
      <c r="L82" s="384"/>
      <c r="M82" s="387"/>
      <c r="N82" s="385"/>
      <c r="O82" s="385"/>
      <c r="P82" s="386"/>
      <c r="Q82" s="386"/>
      <c r="S82" s="384"/>
      <c r="T82" s="384"/>
      <c r="U82" s="387"/>
      <c r="V82" s="385"/>
      <c r="W82" s="385"/>
      <c r="X82" s="386"/>
      <c r="Y82" s="386"/>
    </row>
    <row r="83" spans="2:25" x14ac:dyDescent="0.25">
      <c r="B83" s="380" t="s">
        <v>120</v>
      </c>
      <c r="C83" s="384">
        <f>'Table Format Calculations'!J142</f>
        <v>17309220</v>
      </c>
      <c r="D83" s="381">
        <f>IF(summary_flag1=1,'Table Format Calculations'!M142,Calculator_Calculations!M142)</f>
        <v>17309220</v>
      </c>
      <c r="E83" s="387">
        <f t="shared" si="39"/>
        <v>0</v>
      </c>
      <c r="F83" s="381">
        <f>IF(summary_flag1=1,'Table Format Calculations'!K142,Calculator_Calculations!K142)</f>
        <v>747696.2719231433</v>
      </c>
      <c r="G83" s="381">
        <f>IF(summary_flag1=1,'Table Format Calculations'!O142,Calculator_Calculations!O142)</f>
        <v>747696.2719231433</v>
      </c>
      <c r="H83" s="382">
        <f>IF(summary_flag1=1,'Table Format Calculations'!S142,Calculator_Calculations!S142)</f>
        <v>6.4663597609028667</v>
      </c>
      <c r="I83" s="382">
        <f>IF(summary_flag1=1,'Table Format Calculations'!T142,Calculator_Calculations!T142)</f>
        <v>6.4663597609028667</v>
      </c>
      <c r="K83" s="384"/>
      <c r="L83" s="384"/>
      <c r="M83" s="387"/>
      <c r="N83" s="385"/>
      <c r="O83" s="385"/>
      <c r="P83" s="386"/>
      <c r="Q83" s="386"/>
      <c r="S83" s="384"/>
      <c r="T83" s="384"/>
      <c r="U83" s="387"/>
      <c r="V83" s="385"/>
      <c r="W83" s="385"/>
      <c r="X83" s="386"/>
      <c r="Y83" s="386"/>
    </row>
    <row r="84" spans="2:25" x14ac:dyDescent="0.25">
      <c r="B84" s="399" t="s">
        <v>252</v>
      </c>
      <c r="C84" s="400">
        <f>'Table Format Calculations'!J151</f>
        <v>75869258.460000008</v>
      </c>
      <c r="D84" s="400">
        <f>IF(summary_flag1=1,'Table Format Calculations'!P151,Calculator_Calculations!P151)</f>
        <v>75869258.460000008</v>
      </c>
      <c r="E84" s="400">
        <f>D84-C84</f>
        <v>0</v>
      </c>
      <c r="F84" s="400">
        <f>IF(summary_flag1=1,'Table Format Calculations'!K151,Calculator_Calculations!K151)</f>
        <v>1184735.0057350455</v>
      </c>
      <c r="G84" s="400">
        <f>IF(summary_flag1=1,'Table Format Calculations'!R151,Calculator_Calculations!R151)</f>
        <v>1184735.0057350455</v>
      </c>
      <c r="H84" s="430">
        <f>IF(summary_flag1=1,'Table Format Calculations'!U151,Calculator_Calculations!U151)</f>
        <v>2.3375856224433362</v>
      </c>
      <c r="I84" s="430">
        <f>IF(summary_flag1=1,'Table Format Calculations'!V151,Calculator_Calculations!V151)</f>
        <v>2.3375856224433362</v>
      </c>
      <c r="K84" s="400">
        <v>5652800</v>
      </c>
      <c r="L84" s="400">
        <f>IF(summary_flag1=1,'Table Format Calculations'!P157,Calculator_Calculations!P157)</f>
        <v>5652800</v>
      </c>
      <c r="M84" s="400">
        <f>L84-K84</f>
        <v>0</v>
      </c>
      <c r="N84" s="429">
        <f>IF(summary_flag1=1,'Table Format Calculations'!K157,Calculator_Calculations!K157)</f>
        <v>74805.796706061883</v>
      </c>
      <c r="O84" s="429">
        <f>IF(summary_flag1=1,'Table Format Calculations'!R157,Calculator_Calculations!R157)</f>
        <v>74805.796706061883</v>
      </c>
      <c r="P84" s="430">
        <f>IF(summary_flag1=1,'Table Format Calculations'!U157,Calculator_Calculations!U157)</f>
        <v>2.0887841955522797</v>
      </c>
      <c r="Q84" s="430">
        <f>IF(summary_flag1=1,'Table Format Calculations'!V157,Calculator_Calculations!V157)</f>
        <v>2.0887841955522797</v>
      </c>
      <c r="S84" s="400">
        <v>8112000</v>
      </c>
      <c r="T84" s="400">
        <v>8112000</v>
      </c>
      <c r="U84" s="400"/>
      <c r="V84" s="401"/>
      <c r="W84" s="401"/>
      <c r="X84" s="402"/>
      <c r="Y84" s="402"/>
    </row>
    <row r="85" spans="2:25" ht="15.75" x14ac:dyDescent="0.25">
      <c r="B85" s="392" t="s">
        <v>296</v>
      </c>
      <c r="C85" s="393"/>
      <c r="D85" s="393"/>
      <c r="E85" s="393"/>
      <c r="F85" s="394"/>
      <c r="G85" s="394"/>
      <c r="H85" s="394"/>
      <c r="I85" s="394"/>
      <c r="K85" s="393"/>
      <c r="L85" s="393"/>
      <c r="M85" s="393"/>
      <c r="N85" s="394"/>
      <c r="O85" s="394"/>
      <c r="P85" s="394"/>
      <c r="Q85" s="394"/>
      <c r="S85" s="393"/>
      <c r="T85" s="393"/>
      <c r="U85" s="393"/>
      <c r="V85" s="394"/>
      <c r="W85" s="394"/>
      <c r="X85" s="394"/>
      <c r="Y85" s="394"/>
    </row>
    <row r="86" spans="2:25" x14ac:dyDescent="0.25"/>
    <row r="87" spans="2:25" hidden="1" x14ac:dyDescent="0.25">
      <c r="H87" s="433"/>
      <c r="I87" s="433"/>
    </row>
    <row r="88" spans="2:25" hidden="1" x14ac:dyDescent="0.25"/>
    <row r="89" spans="2:25" hidden="1" x14ac:dyDescent="0.25"/>
    <row r="90" spans="2:25" hidden="1" x14ac:dyDescent="0.25"/>
    <row r="91" spans="2:25" hidden="1" x14ac:dyDescent="0.25"/>
    <row r="92" spans="2:25" hidden="1" x14ac:dyDescent="0.25"/>
    <row r="93" spans="2:25" hidden="1" x14ac:dyDescent="0.25"/>
    <row r="94" spans="2:25" hidden="1" x14ac:dyDescent="0.25"/>
    <row r="95" spans="2:25" hidden="1" x14ac:dyDescent="0.25"/>
    <row r="96" spans="2:25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spans="28:37" hidden="1" x14ac:dyDescent="0.25"/>
    <row r="114" spans="28:37" hidden="1" x14ac:dyDescent="0.25"/>
    <row r="115" spans="28:37" hidden="1" x14ac:dyDescent="0.25"/>
    <row r="116" spans="28:37" hidden="1" x14ac:dyDescent="0.25"/>
    <row r="117" spans="28:37" hidden="1" x14ac:dyDescent="0.25"/>
    <row r="118" spans="28:37" hidden="1" x14ac:dyDescent="0.25"/>
    <row r="119" spans="28:37" hidden="1" x14ac:dyDescent="0.25"/>
    <row r="120" spans="28:37" hidden="1" x14ac:dyDescent="0.25"/>
    <row r="121" spans="28:37" hidden="1" x14ac:dyDescent="0.25"/>
    <row r="122" spans="28:37" ht="15.75" hidden="1" x14ac:dyDescent="0.25">
      <c r="AB122" s="580" t="s">
        <v>298</v>
      </c>
      <c r="AC122" s="581"/>
      <c r="AD122" s="581"/>
      <c r="AE122" s="581"/>
      <c r="AF122" s="581"/>
      <c r="AG122" s="581"/>
      <c r="AH122" s="581"/>
      <c r="AI122" s="581"/>
      <c r="AJ122" s="581"/>
      <c r="AK122" s="581"/>
    </row>
    <row r="123" spans="28:37" ht="31.5" hidden="1" x14ac:dyDescent="0.25">
      <c r="AB123" s="406" t="s">
        <v>52</v>
      </c>
      <c r="AC123" s="407" t="s">
        <v>297</v>
      </c>
      <c r="AD123" s="407" t="s">
        <v>299</v>
      </c>
      <c r="AE123" s="407" t="s">
        <v>85</v>
      </c>
      <c r="AF123" s="407" t="s">
        <v>141</v>
      </c>
      <c r="AG123" s="407" t="s">
        <v>91</v>
      </c>
      <c r="AH123" s="407" t="s">
        <v>101</v>
      </c>
      <c r="AI123" s="407" t="s">
        <v>245</v>
      </c>
      <c r="AJ123" s="407" t="s">
        <v>255</v>
      </c>
      <c r="AK123" s="408" t="s">
        <v>296</v>
      </c>
    </row>
    <row r="124" spans="28:37" hidden="1" x14ac:dyDescent="0.25">
      <c r="AB124" t="s">
        <v>12</v>
      </c>
      <c r="AC124" t="s">
        <v>300</v>
      </c>
      <c r="AD124" s="4">
        <f>IF(summary_flag1=1,'Table Format Calculations'!P171,Calculator_Calculations!P171)</f>
        <v>0</v>
      </c>
      <c r="AE124" s="4">
        <f>IF(summary_flag1=1,'Table Format Calculations'!N171,Calculator_Calculations!N171)</f>
        <v>5165210.8387038605</v>
      </c>
      <c r="AF124" s="4">
        <f>IF(summary_flag1=1,'Table Format Calculations'!R171,Calculator_Calculations!R171)</f>
        <v>0</v>
      </c>
      <c r="AG124" s="4">
        <f>IF(summary_flag1=1,'Table Format Calculations'!J171,Calculator_Calculations!J171)</f>
        <v>496138.24540793989</v>
      </c>
      <c r="AH124" s="4">
        <f>IF(summary_flag1=1,'Table Format Calculations'!L171,Calculator_Calculations!L171)</f>
        <v>127895.97320130664</v>
      </c>
      <c r="AI124" s="4">
        <f>IF(summary_flag1=1,'Table Format Calculations'!T171,Calculator_Calculations!T171)</f>
        <v>0</v>
      </c>
      <c r="AJ124" s="4">
        <f>IF(summary_flag1=1,'Table Format Calculations'!V171,Calculator_Calculations!V171)</f>
        <v>0</v>
      </c>
      <c r="AK124" s="4">
        <f>SUM(AD124:AJ124)</f>
        <v>5789245.057313107</v>
      </c>
    </row>
    <row r="125" spans="28:37" hidden="1" x14ac:dyDescent="0.25">
      <c r="AB125" t="s">
        <v>30</v>
      </c>
      <c r="AC125" t="s">
        <v>300</v>
      </c>
      <c r="AD125" s="4">
        <f>IF(summary_flag1=1,'Table Format Calculations'!P172,Calculator_Calculations!P172)</f>
        <v>0</v>
      </c>
      <c r="AE125" s="4">
        <f>IF(summary_flag1=1,'Table Format Calculations'!N172,Calculator_Calculations!N172)</f>
        <v>1372904.921226087</v>
      </c>
      <c r="AF125" s="4">
        <f>IF(summary_flag1=1,'Table Format Calculations'!R172,Calculator_Calculations!R172)</f>
        <v>60767.931604963393</v>
      </c>
      <c r="AG125" s="4">
        <f>IF(summary_flag1=1,'Table Format Calculations'!J172,Calculator_Calculations!J172)</f>
        <v>96073.772119774949</v>
      </c>
      <c r="AH125" s="4">
        <f>IF(summary_flag1=1,'Table Format Calculations'!L172,Calculator_Calculations!L172)</f>
        <v>64710.65538100079</v>
      </c>
      <c r="AI125" s="4">
        <f>IF(summary_flag1=1,'Table Format Calculations'!T172,Calculator_Calculations!T172)</f>
        <v>0</v>
      </c>
      <c r="AJ125" s="4">
        <f>IF(summary_flag1=1,'Table Format Calculations'!V172,Calculator_Calculations!V172)</f>
        <v>0</v>
      </c>
      <c r="AK125" s="4">
        <f t="shared" ref="AK125:AK126" si="40">SUM(AD125:AJ125)</f>
        <v>1594457.2803318263</v>
      </c>
    </row>
    <row r="126" spans="28:37" hidden="1" x14ac:dyDescent="0.25">
      <c r="AB126" t="s">
        <v>38</v>
      </c>
      <c r="AC126" t="s">
        <v>300</v>
      </c>
      <c r="AD126" s="4">
        <f>IF(summary_flag1=1,'Table Format Calculations'!P173,Calculator_Calculations!P173)</f>
        <v>0</v>
      </c>
      <c r="AE126" s="4">
        <f>IF(summary_flag1=1,'Table Format Calculations'!N173,Calculator_Calculations!N173)</f>
        <v>3118715.3127400456</v>
      </c>
      <c r="AF126" s="4">
        <f>IF(summary_flag1=1,'Table Format Calculations'!R173,Calculator_Calculations!R173)</f>
        <v>93807.565445468761</v>
      </c>
      <c r="AG126" s="4">
        <f>IF(summary_flag1=1,'Table Format Calculations'!J173,Calculator_Calculations!J173)</f>
        <v>30021.910000000036</v>
      </c>
      <c r="AH126" s="4">
        <f>IF(summary_flag1=1,'Table Format Calculations'!L173,Calculator_Calculations!L173)</f>
        <v>260362.18935820216</v>
      </c>
      <c r="AI126" s="4">
        <f>IF(summary_flag1=1,'Table Format Calculations'!T173,Calculator_Calculations!T173)</f>
        <v>0</v>
      </c>
      <c r="AJ126" s="4">
        <f>IF(summary_flag1=1,'Table Format Calculations'!V173,Calculator_Calculations!V173)</f>
        <v>0</v>
      </c>
      <c r="AK126" s="4">
        <f t="shared" si="40"/>
        <v>3502906.9775437168</v>
      </c>
    </row>
    <row r="127" spans="28:37" hidden="1" x14ac:dyDescent="0.25">
      <c r="AB127" t="s">
        <v>82</v>
      </c>
      <c r="AC127" s="417">
        <f>SUM(C13:E15)</f>
        <v>149167702</v>
      </c>
      <c r="AD127" s="194">
        <f t="shared" ref="AD127:AK127" si="41">SUM(AD124:AD126)</f>
        <v>0</v>
      </c>
      <c r="AE127" s="194">
        <f t="shared" si="41"/>
        <v>9656831.0726699941</v>
      </c>
      <c r="AF127" s="194">
        <f t="shared" si="41"/>
        <v>154575.49705043214</v>
      </c>
      <c r="AG127" s="194">
        <f t="shared" si="41"/>
        <v>622233.92752771487</v>
      </c>
      <c r="AH127" s="194">
        <f t="shared" si="41"/>
        <v>452968.81794050959</v>
      </c>
      <c r="AI127" s="194">
        <f t="shared" si="41"/>
        <v>0</v>
      </c>
      <c r="AJ127" s="194">
        <f t="shared" si="41"/>
        <v>0</v>
      </c>
      <c r="AK127" s="194">
        <f t="shared" si="41"/>
        <v>10886609.31518865</v>
      </c>
    </row>
    <row r="128" spans="28:37" hidden="1" x14ac:dyDescent="0.25"/>
    <row r="129" spans="28:37" ht="15.75" hidden="1" x14ac:dyDescent="0.25">
      <c r="AB129" s="580" t="s">
        <v>298</v>
      </c>
      <c r="AC129" s="581"/>
      <c r="AD129" s="581"/>
      <c r="AE129" s="581"/>
      <c r="AF129" s="581"/>
      <c r="AG129" s="581"/>
      <c r="AH129" s="581"/>
      <c r="AI129" s="581"/>
      <c r="AJ129" s="581"/>
      <c r="AK129" s="581"/>
    </row>
    <row r="130" spans="28:37" ht="31.5" hidden="1" x14ac:dyDescent="0.25">
      <c r="AB130" s="406" t="s">
        <v>52</v>
      </c>
      <c r="AC130" s="407" t="s">
        <v>297</v>
      </c>
      <c r="AD130" s="407" t="s">
        <v>299</v>
      </c>
      <c r="AE130" s="407" t="s">
        <v>85</v>
      </c>
      <c r="AF130" s="407" t="s">
        <v>141</v>
      </c>
      <c r="AG130" s="407" t="s">
        <v>91</v>
      </c>
      <c r="AH130" s="407" t="s">
        <v>101</v>
      </c>
      <c r="AI130" s="407" t="s">
        <v>245</v>
      </c>
      <c r="AJ130" s="407" t="s">
        <v>255</v>
      </c>
      <c r="AK130" s="408" t="s">
        <v>296</v>
      </c>
    </row>
    <row r="131" spans="28:37" hidden="1" x14ac:dyDescent="0.25">
      <c r="AB131" t="s">
        <v>12</v>
      </c>
      <c r="AC131" t="s">
        <v>300</v>
      </c>
      <c r="AD131" s="204">
        <f>AD124/$C13</f>
        <v>0</v>
      </c>
      <c r="AE131" s="204">
        <f t="shared" ref="AE131:AK131" si="42">AE124/$C13</f>
        <v>3.8364944623884324E-2</v>
      </c>
      <c r="AF131" s="204">
        <f t="shared" si="42"/>
        <v>0</v>
      </c>
      <c r="AG131" s="204">
        <f t="shared" si="42"/>
        <v>3.6850995835908894E-3</v>
      </c>
      <c r="AH131" s="204">
        <f t="shared" si="42"/>
        <v>9.4995578742284182E-4</v>
      </c>
      <c r="AI131" s="204">
        <f t="shared" si="42"/>
        <v>0</v>
      </c>
      <c r="AJ131" s="204">
        <f t="shared" si="42"/>
        <v>0</v>
      </c>
      <c r="AK131" s="204">
        <f t="shared" si="42"/>
        <v>4.2999999994898057E-2</v>
      </c>
    </row>
    <row r="132" spans="28:37" hidden="1" x14ac:dyDescent="0.25">
      <c r="AB132" t="s">
        <v>30</v>
      </c>
      <c r="AC132" t="s">
        <v>300</v>
      </c>
      <c r="AD132" s="204">
        <f t="shared" ref="AD132:AK132" si="43">AD125/$C14</f>
        <v>0</v>
      </c>
      <c r="AE132" s="204">
        <f t="shared" si="43"/>
        <v>0.17909807129798178</v>
      </c>
      <c r="AF132" s="204">
        <f t="shared" si="43"/>
        <v>7.927292836489408E-3</v>
      </c>
      <c r="AG132" s="204">
        <f t="shared" si="43"/>
        <v>1.2533007219179425E-2</v>
      </c>
      <c r="AH132" s="204">
        <f t="shared" si="43"/>
        <v>8.4416286896367414E-3</v>
      </c>
      <c r="AI132" s="204">
        <f t="shared" si="43"/>
        <v>0</v>
      </c>
      <c r="AJ132" s="204">
        <f t="shared" si="43"/>
        <v>0</v>
      </c>
      <c r="AK132" s="204">
        <f t="shared" si="43"/>
        <v>0.20800000004328736</v>
      </c>
    </row>
    <row r="133" spans="28:37" hidden="1" x14ac:dyDescent="0.25">
      <c r="AB133" t="s">
        <v>38</v>
      </c>
      <c r="AC133" t="s">
        <v>300</v>
      </c>
      <c r="AD133" s="204">
        <f t="shared" ref="AD133:AK133" si="44">AD126/$C15</f>
        <v>0</v>
      </c>
      <c r="AE133" s="204">
        <f t="shared" si="44"/>
        <v>0.45406484281720694</v>
      </c>
      <c r="AF133" s="204">
        <f t="shared" si="44"/>
        <v>1.3657776740653733E-2</v>
      </c>
      <c r="AG133" s="204">
        <f t="shared" si="44"/>
        <v>4.3709965412795631E-3</v>
      </c>
      <c r="AH133" s="204">
        <f t="shared" si="44"/>
        <v>3.7907056185455056E-2</v>
      </c>
      <c r="AI133" s="204">
        <f t="shared" si="44"/>
        <v>0</v>
      </c>
      <c r="AJ133" s="204">
        <f t="shared" si="44"/>
        <v>0</v>
      </c>
      <c r="AK133" s="204">
        <f t="shared" si="44"/>
        <v>0.51000067228459534</v>
      </c>
    </row>
    <row r="134" spans="28:37" hidden="1" x14ac:dyDescent="0.25">
      <c r="AB134" t="s">
        <v>82</v>
      </c>
      <c r="AD134" s="204">
        <f>AD127/$AC$127</f>
        <v>0</v>
      </c>
      <c r="AE134" s="204">
        <f t="shared" ref="AE134:AK134" si="45">AE127/$AC$127</f>
        <v>6.4738082997819427E-2</v>
      </c>
      <c r="AF134" s="204">
        <f t="shared" si="45"/>
        <v>1.0362531230147403E-3</v>
      </c>
      <c r="AG134" s="204">
        <f t="shared" si="45"/>
        <v>4.171371678888737E-3</v>
      </c>
      <c r="AH134" s="204">
        <f t="shared" si="45"/>
        <v>3.0366413899740145E-3</v>
      </c>
      <c r="AI134" s="204">
        <f t="shared" si="45"/>
        <v>0</v>
      </c>
      <c r="AJ134" s="204">
        <f t="shared" si="45"/>
        <v>0</v>
      </c>
      <c r="AK134" s="204">
        <f t="shared" si="45"/>
        <v>7.2982349189696913E-2</v>
      </c>
    </row>
    <row r="135" spans="28:37" hidden="1" x14ac:dyDescent="0.25"/>
    <row r="136" spans="28:37" hidden="1" x14ac:dyDescent="0.25"/>
    <row r="137" spans="28:37" hidden="1" x14ac:dyDescent="0.25"/>
    <row r="138" spans="28:37" hidden="1" x14ac:dyDescent="0.25"/>
    <row r="139" spans="28:37" hidden="1" x14ac:dyDescent="0.25"/>
    <row r="140" spans="28:37" hidden="1" x14ac:dyDescent="0.25"/>
    <row r="141" spans="28:37" hidden="1" x14ac:dyDescent="0.25"/>
    <row r="142" spans="28:37" hidden="1" x14ac:dyDescent="0.25"/>
    <row r="143" spans="28:37" hidden="1" x14ac:dyDescent="0.25"/>
    <row r="144" spans="28:37" hidden="1" x14ac:dyDescent="0.25"/>
    <row r="145" spans="16383:16384" hidden="1" x14ac:dyDescent="0.25">
      <c r="XFD145">
        <f>INDEX($XFC$146:$XFC$147,MATCH($C$9,$XFD$146:$XFD$147,0))</f>
        <v>1</v>
      </c>
    </row>
    <row r="146" spans="16383:16384" hidden="1" x14ac:dyDescent="0.25">
      <c r="XFC146">
        <v>1</v>
      </c>
      <c r="XFD146" t="s">
        <v>286</v>
      </c>
    </row>
    <row r="147" spans="16383:16384" hidden="1" x14ac:dyDescent="0.25">
      <c r="XFC147">
        <v>2</v>
      </c>
      <c r="XFD147" t="s">
        <v>287</v>
      </c>
    </row>
  </sheetData>
  <mergeCells count="46">
    <mergeCell ref="J11:M11"/>
    <mergeCell ref="N11:O11"/>
    <mergeCell ref="P11:R11"/>
    <mergeCell ref="J13:M13"/>
    <mergeCell ref="N13:O13"/>
    <mergeCell ref="P13:R13"/>
    <mergeCell ref="J12:M12"/>
    <mergeCell ref="N12:O12"/>
    <mergeCell ref="P12:R12"/>
    <mergeCell ref="J14:M14"/>
    <mergeCell ref="N14:O14"/>
    <mergeCell ref="P14:R14"/>
    <mergeCell ref="AB129:AK129"/>
    <mergeCell ref="AB122:AK122"/>
    <mergeCell ref="J15:M15"/>
    <mergeCell ref="N15:O15"/>
    <mergeCell ref="P15:R15"/>
    <mergeCell ref="S60:Y60"/>
    <mergeCell ref="S61:U61"/>
    <mergeCell ref="V61:W61"/>
    <mergeCell ref="X61:Y61"/>
    <mergeCell ref="K60:Q60"/>
    <mergeCell ref="K61:M61"/>
    <mergeCell ref="N61:O61"/>
    <mergeCell ref="P61:Q61"/>
    <mergeCell ref="C9:E9"/>
    <mergeCell ref="C60:I60"/>
    <mergeCell ref="B61:B62"/>
    <mergeCell ref="C61:E61"/>
    <mergeCell ref="F61:G61"/>
    <mergeCell ref="H61:I61"/>
    <mergeCell ref="C15:E15"/>
    <mergeCell ref="F15:I15"/>
    <mergeCell ref="C13:E13"/>
    <mergeCell ref="F13:I13"/>
    <mergeCell ref="C11:E11"/>
    <mergeCell ref="F11:I11"/>
    <mergeCell ref="C12:E12"/>
    <mergeCell ref="F12:I12"/>
    <mergeCell ref="C14:E14"/>
    <mergeCell ref="F14:I14"/>
    <mergeCell ref="C18:I18"/>
    <mergeCell ref="B19:B20"/>
    <mergeCell ref="C19:E19"/>
    <mergeCell ref="F19:G19"/>
    <mergeCell ref="H19:I19"/>
  </mergeCells>
  <dataValidations count="1">
    <dataValidation type="list" allowBlank="1" showInputMessage="1" showErrorMessage="1" sqref="C9:E9" xr:uid="{C699AA5A-EEDC-4CA8-936F-AB838DD3B673}">
      <formula1>$XFD$146:$XFD$147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30D00-43D7-4EA4-AD8E-CC6880F4DCB8}">
  <sheetPr codeName="Sheet7"/>
  <dimension ref="A1:IR167"/>
  <sheetViews>
    <sheetView topLeftCell="F1" zoomScale="80" zoomScaleNormal="80" workbookViewId="0">
      <selection activeCell="CK22" sqref="CK22:DD24"/>
    </sheetView>
  </sheetViews>
  <sheetFormatPr defaultRowHeight="15" x14ac:dyDescent="0.25"/>
  <cols>
    <col min="7" max="7" width="18.7109375" bestFit="1" customWidth="1"/>
    <col min="8" max="8" width="17.28515625" customWidth="1"/>
    <col min="9" max="9" width="21.7109375" customWidth="1"/>
    <col min="10" max="10" width="15.140625" bestFit="1" customWidth="1"/>
    <col min="11" max="11" width="16.28515625" bestFit="1" customWidth="1"/>
    <col min="12" max="12" width="24.28515625" customWidth="1"/>
    <col min="13" max="13" width="19.140625" customWidth="1"/>
    <col min="14" max="14" width="27.140625" customWidth="1"/>
    <col min="15" max="15" width="18.7109375" bestFit="1" customWidth="1"/>
    <col min="16" max="16" width="24.85546875" customWidth="1"/>
    <col min="17" max="17" width="20.42578125" customWidth="1"/>
    <col min="18" max="19" width="12" bestFit="1" customWidth="1"/>
    <col min="20" max="20" width="15.140625" bestFit="1" customWidth="1"/>
    <col min="22" max="23" width="13.5703125" bestFit="1" customWidth="1"/>
    <col min="24" max="24" width="11.140625" customWidth="1"/>
    <col min="25" max="25" width="12.28515625" customWidth="1"/>
    <col min="26" max="26" width="16.7109375" bestFit="1" customWidth="1"/>
    <col min="27" max="27" width="11.140625" customWidth="1"/>
    <col min="28" max="28" width="13.42578125" customWidth="1"/>
    <col min="29" max="29" width="15.140625" customWidth="1"/>
    <col min="30" max="30" width="17" bestFit="1" customWidth="1"/>
    <col min="31" max="31" width="21.7109375" bestFit="1" customWidth="1"/>
    <col min="32" max="32" width="27.5703125" customWidth="1"/>
    <col min="33" max="33" width="14.7109375" customWidth="1"/>
    <col min="39" max="39" width="15.5703125" customWidth="1"/>
    <col min="49" max="49" width="13.28515625" bestFit="1" customWidth="1"/>
    <col min="50" max="53" width="14.28515625" bestFit="1" customWidth="1"/>
    <col min="54" max="56" width="13.28515625" bestFit="1" customWidth="1"/>
    <col min="57" max="57" width="9.42578125" bestFit="1" customWidth="1"/>
    <col min="58" max="58" width="14.28515625" bestFit="1" customWidth="1"/>
    <col min="59" max="59" width="13.28515625" bestFit="1" customWidth="1"/>
    <col min="60" max="61" width="11.5703125" bestFit="1" customWidth="1"/>
    <col min="62" max="62" width="13.28515625" bestFit="1" customWidth="1"/>
    <col min="63" max="63" width="10.5703125" bestFit="1" customWidth="1"/>
    <col min="64" max="64" width="9.42578125" bestFit="1" customWidth="1"/>
    <col min="65" max="65" width="10.5703125" bestFit="1" customWidth="1"/>
    <col min="66" max="66" width="11.5703125" bestFit="1" customWidth="1"/>
    <col min="67" max="67" width="13.28515625" bestFit="1" customWidth="1"/>
    <col min="68" max="68" width="11.5703125" bestFit="1" customWidth="1"/>
    <col min="69" max="69" width="12.28515625" bestFit="1" customWidth="1"/>
    <col min="70" max="72" width="13.85546875" bestFit="1" customWidth="1"/>
    <col min="73" max="76" width="12.28515625" bestFit="1" customWidth="1"/>
    <col min="77" max="77" width="9.28515625" bestFit="1" customWidth="1"/>
    <col min="78" max="78" width="13.85546875" bestFit="1" customWidth="1"/>
    <col min="79" max="80" width="12.28515625" bestFit="1" customWidth="1"/>
    <col min="81" max="81" width="11.28515625" bestFit="1" customWidth="1"/>
    <col min="82" max="82" width="12.28515625" bestFit="1" customWidth="1"/>
    <col min="83" max="83" width="10.140625" bestFit="1" customWidth="1"/>
    <col min="84" max="84" width="9.28515625" bestFit="1" customWidth="1"/>
    <col min="85" max="85" width="10.140625" bestFit="1" customWidth="1"/>
    <col min="86" max="86" width="11.28515625" bestFit="1" customWidth="1"/>
    <col min="87" max="87" width="17.140625" customWidth="1"/>
    <col min="88" max="88" width="11.28515625" bestFit="1" customWidth="1"/>
    <col min="89" max="91" width="11.42578125" bestFit="1" customWidth="1"/>
    <col min="92" max="92" width="10.7109375" bestFit="1" customWidth="1"/>
    <col min="93" max="95" width="11.42578125" bestFit="1" customWidth="1"/>
    <col min="96" max="96" width="10.7109375" bestFit="1" customWidth="1"/>
    <col min="98" max="98" width="11.42578125" bestFit="1" customWidth="1"/>
    <col min="99" max="101" width="10.7109375" bestFit="1" customWidth="1"/>
    <col min="102" max="102" width="18.85546875" customWidth="1"/>
    <col min="103" max="103" width="10.7109375" bestFit="1" customWidth="1"/>
    <col min="105" max="108" width="10.7109375" bestFit="1" customWidth="1"/>
    <col min="111" max="111" width="25.140625" customWidth="1"/>
    <col min="149" max="149" width="14.85546875" bestFit="1" customWidth="1"/>
    <col min="150" max="152" width="15.85546875" bestFit="1" customWidth="1"/>
    <col min="153" max="153" width="15.140625" bestFit="1" customWidth="1"/>
    <col min="154" max="154" width="15.85546875" bestFit="1" customWidth="1"/>
    <col min="155" max="155" width="15.140625" bestFit="1" customWidth="1"/>
    <col min="156" max="156" width="13.85546875" bestFit="1" customWidth="1"/>
    <col min="157" max="157" width="9.28515625" bestFit="1" customWidth="1"/>
    <col min="158" max="158" width="15.85546875" bestFit="1" customWidth="1"/>
    <col min="159" max="159" width="14.85546875" bestFit="1" customWidth="1"/>
    <col min="160" max="160" width="13" bestFit="1" customWidth="1"/>
    <col min="161" max="161" width="9.28515625" bestFit="1" customWidth="1"/>
    <col min="162" max="162" width="15.85546875" bestFit="1" customWidth="1"/>
    <col min="163" max="163" width="12" bestFit="1" customWidth="1"/>
    <col min="164" max="164" width="9.28515625" bestFit="1" customWidth="1"/>
    <col min="165" max="165" width="18.140625" customWidth="1"/>
    <col min="166" max="166" width="13" bestFit="1" customWidth="1"/>
    <col min="167" max="167" width="15.85546875" bestFit="1" customWidth="1"/>
    <col min="168" max="168" width="13" bestFit="1" customWidth="1"/>
    <col min="169" max="169" width="19" customWidth="1"/>
    <col min="190" max="190" width="12" bestFit="1" customWidth="1"/>
    <col min="210" max="210" width="15.140625" customWidth="1"/>
  </cols>
  <sheetData>
    <row r="1" spans="7:108" ht="30" customHeight="1" thickBot="1" x14ac:dyDescent="0.3">
      <c r="G1" s="538" t="s">
        <v>200</v>
      </c>
      <c r="H1" s="36" t="s">
        <v>52</v>
      </c>
      <c r="I1" s="126" t="s">
        <v>59</v>
      </c>
      <c r="J1" s="127" t="s">
        <v>60</v>
      </c>
      <c r="K1" s="127" t="s">
        <v>62</v>
      </c>
      <c r="L1" s="127" t="s">
        <v>61</v>
      </c>
      <c r="M1" s="127" t="s">
        <v>17</v>
      </c>
      <c r="N1" s="127" t="s">
        <v>18</v>
      </c>
      <c r="O1" s="127" t="s">
        <v>63</v>
      </c>
      <c r="P1" s="127" t="s">
        <v>64</v>
      </c>
      <c r="Q1" s="127" t="s">
        <v>22</v>
      </c>
      <c r="R1" s="127" t="s">
        <v>70</v>
      </c>
      <c r="S1" s="127" t="s">
        <v>65</v>
      </c>
      <c r="T1" s="127" t="s">
        <v>66</v>
      </c>
      <c r="U1" s="127" t="s">
        <v>35</v>
      </c>
      <c r="V1" s="127" t="s">
        <v>36</v>
      </c>
      <c r="W1" s="127" t="s">
        <v>37</v>
      </c>
      <c r="X1" s="127" t="s">
        <v>39</v>
      </c>
      <c r="Y1" s="127" t="s">
        <v>42</v>
      </c>
      <c r="Z1" s="127" t="s">
        <v>67</v>
      </c>
      <c r="AA1" s="127" t="s">
        <v>68</v>
      </c>
      <c r="AB1" s="128" t="s">
        <v>69</v>
      </c>
      <c r="CI1" s="269" t="s">
        <v>221</v>
      </c>
      <c r="CJ1" s="267">
        <v>0.2</v>
      </c>
    </row>
    <row r="2" spans="7:108" ht="15" customHeight="1" thickBot="1" x14ac:dyDescent="0.3">
      <c r="G2" s="538"/>
      <c r="H2" s="123" t="s">
        <v>12</v>
      </c>
      <c r="I2" s="131">
        <f>MIN(100,(1+'Thai input'!$E8)*I22)</f>
        <v>24.48</v>
      </c>
      <c r="J2" s="131">
        <f>MIN(100,(1+'Thai input'!$E8)*J22)</f>
        <v>36.72</v>
      </c>
      <c r="K2" s="131">
        <f>MIN(100,(1+'Thai input'!$E8)*K22)</f>
        <v>20.399999999999999</v>
      </c>
      <c r="L2" s="131">
        <f>MIN(100,(1+'Thai input'!$E8)*L22)</f>
        <v>29.580000000000002</v>
      </c>
      <c r="M2" s="131">
        <f>MIN(100,(1+'Thai input'!$E8)*M22)</f>
        <v>39.78</v>
      </c>
      <c r="N2" s="131">
        <f>MIN(100,(1+'Thai input'!$E8)*N22)</f>
        <v>20.399999999999999</v>
      </c>
      <c r="O2" s="131">
        <f>MIN(100,(1+'Thai input'!$E8)*O22)</f>
        <v>17.34</v>
      </c>
      <c r="P2" s="131">
        <f>MIN(100,(1+'Thai input'!$E8)*P22)</f>
        <v>27.54</v>
      </c>
      <c r="Q2" s="131">
        <f>MIN(100,(1+'Thai input'!$E8)*Q22)</f>
        <v>0</v>
      </c>
      <c r="R2" s="131">
        <f>MIN(100,(1+'Thai input'!$E8)*R22)</f>
        <v>46.92</v>
      </c>
      <c r="S2" s="131">
        <f>MIN(100,(1+'Thai input'!$E8)*S22)</f>
        <v>33.660000000000004</v>
      </c>
      <c r="T2" s="131">
        <f>MIN(100,(1+'Thai input'!$E8)*T22)</f>
        <v>0</v>
      </c>
      <c r="U2" s="131">
        <f>MIN(100,(1+'Thai input'!$E8)*U22)</f>
        <v>0</v>
      </c>
      <c r="V2" s="131">
        <f>MIN(100,(1+'Thai input'!$E8)*V22)</f>
        <v>40.799999999999997</v>
      </c>
      <c r="W2" s="131">
        <f>MIN(100,(1+'Thai input'!$E8)*W22)</f>
        <v>0</v>
      </c>
      <c r="X2" s="131">
        <f>MIN(100,(1+'Thai input'!$E8)*X22)</f>
        <v>0</v>
      </c>
      <c r="Y2" s="131">
        <f>MIN(100,(1+'Thai input'!$E8)*Y22)</f>
        <v>0</v>
      </c>
      <c r="Z2" s="131">
        <f>MIN(100,(1+'Thai input'!$E8)*Z22)</f>
        <v>0</v>
      </c>
      <c r="AA2" s="131">
        <f>MIN(100,(1+'Thai input'!$E8)*AA22)</f>
        <v>0</v>
      </c>
      <c r="AB2" s="131">
        <f>MIN(100,(1+'Thai input'!$E8)*AB22)</f>
        <v>0</v>
      </c>
      <c r="CK2" s="539" t="s">
        <v>219</v>
      </c>
      <c r="CL2" s="540"/>
      <c r="CM2" s="540"/>
      <c r="CN2" s="540"/>
      <c r="CO2" s="540"/>
      <c r="CP2" s="540"/>
      <c r="CQ2" s="540"/>
      <c r="CR2" s="540"/>
      <c r="CS2" s="540"/>
      <c r="CT2" s="540"/>
      <c r="CU2" s="540"/>
      <c r="CV2" s="540"/>
      <c r="CW2" s="540"/>
      <c r="CX2" s="540"/>
      <c r="CY2" s="540"/>
      <c r="CZ2" s="540"/>
      <c r="DA2" s="540"/>
      <c r="DB2" s="540"/>
      <c r="DC2" s="540"/>
      <c r="DD2" s="541"/>
    </row>
    <row r="3" spans="7:108" ht="15.75" thickBot="1" x14ac:dyDescent="0.3">
      <c r="G3" s="538"/>
      <c r="H3" s="124" t="s">
        <v>30</v>
      </c>
      <c r="I3" s="448">
        <f>MIN(100,(1+'Thai input'!$E9)*I23)</f>
        <v>0</v>
      </c>
      <c r="J3" s="448">
        <f>MIN(100,(1+'Thai input'!$E9)*J23)</f>
        <v>0</v>
      </c>
      <c r="K3" s="448">
        <f>MIN(100,(1+'Thai input'!$E9)*K23)</f>
        <v>34.410000000000004</v>
      </c>
      <c r="L3" s="448">
        <f>MIN(100,(1+'Thai input'!$E9)*L23)</f>
        <v>0</v>
      </c>
      <c r="M3" s="448">
        <f>MIN(100,(1+'Thai input'!$E9)*M23)</f>
        <v>0</v>
      </c>
      <c r="N3" s="448">
        <f>MIN(100,(1+'Thai input'!$E9)*N23)</f>
        <v>0</v>
      </c>
      <c r="O3" s="448">
        <f>MIN(100,(1+'Thai input'!$E9)*O23)</f>
        <v>0</v>
      </c>
      <c r="P3" s="448">
        <f>MIN(100,(1+'Thai input'!$E9)*P23)</f>
        <v>0</v>
      </c>
      <c r="Q3" s="448">
        <f>MIN(100,(1+'Thai input'!$E9)*Q23)</f>
        <v>0</v>
      </c>
      <c r="R3" s="448">
        <f>MIN(100,(1+'Thai input'!$E9)*R23)</f>
        <v>7.7700000000000005</v>
      </c>
      <c r="S3" s="448">
        <f>MIN(100,(1+'Thai input'!$E9)*S23)</f>
        <v>35.520000000000003</v>
      </c>
      <c r="T3" s="448">
        <f>MIN(100,(1+'Thai input'!$E9)*T23)</f>
        <v>21.090000000000003</v>
      </c>
      <c r="U3" s="448">
        <f>MIN(100,(1+'Thai input'!$E9)*U23)</f>
        <v>17.760000000000002</v>
      </c>
      <c r="V3" s="448">
        <f>MIN(100,(1+'Thai input'!$E9)*V23)</f>
        <v>33.300000000000004</v>
      </c>
      <c r="W3" s="448">
        <f>MIN(100,(1+'Thai input'!$E9)*W23)</f>
        <v>2.2200000000000002</v>
      </c>
      <c r="X3" s="448">
        <f>MIN(100,(1+'Thai input'!$E9)*X23)</f>
        <v>0</v>
      </c>
      <c r="Y3" s="448">
        <f>MIN(100,(1+'Thai input'!$E9)*Y23)</f>
        <v>0</v>
      </c>
      <c r="Z3" s="448">
        <f>MIN(100,(1+'Thai input'!$E9)*Z23)</f>
        <v>0</v>
      </c>
      <c r="AA3" s="448">
        <f>MIN(100,(1+'Thai input'!$E9)*AA23)</f>
        <v>0</v>
      </c>
      <c r="AB3" s="448">
        <f>MIN(100,(1+'Thai input'!$E9)*AB23)</f>
        <v>0</v>
      </c>
      <c r="CK3" s="126" t="s">
        <v>59</v>
      </c>
      <c r="CL3" s="127" t="s">
        <v>60</v>
      </c>
      <c r="CM3" s="127" t="s">
        <v>62</v>
      </c>
      <c r="CN3" s="127" t="s">
        <v>61</v>
      </c>
      <c r="CO3" s="127" t="s">
        <v>17</v>
      </c>
      <c r="CP3" s="127" t="s">
        <v>18</v>
      </c>
      <c r="CQ3" s="127" t="s">
        <v>63</v>
      </c>
      <c r="CR3" s="127" t="s">
        <v>64</v>
      </c>
      <c r="CS3" s="127" t="s">
        <v>22</v>
      </c>
      <c r="CT3" s="127" t="s">
        <v>70</v>
      </c>
      <c r="CU3" s="127" t="s">
        <v>65</v>
      </c>
      <c r="CV3" s="127" t="s">
        <v>66</v>
      </c>
      <c r="CW3" s="127" t="s">
        <v>35</v>
      </c>
      <c r="CX3" s="127" t="s">
        <v>36</v>
      </c>
      <c r="CY3" s="127" t="s">
        <v>37</v>
      </c>
      <c r="CZ3" s="127" t="s">
        <v>39</v>
      </c>
      <c r="DA3" s="127" t="s">
        <v>42</v>
      </c>
      <c r="DB3" s="127" t="s">
        <v>67</v>
      </c>
      <c r="DC3" s="127" t="s">
        <v>68</v>
      </c>
      <c r="DD3" s="128" t="s">
        <v>69</v>
      </c>
    </row>
    <row r="4" spans="7:108" ht="15.75" thickBot="1" x14ac:dyDescent="0.3">
      <c r="G4" s="538"/>
      <c r="H4" s="124" t="s">
        <v>38</v>
      </c>
      <c r="I4" s="448">
        <f>MIN(100,(1+'Thai input'!$E10)*I24)</f>
        <v>0</v>
      </c>
      <c r="J4" s="448">
        <f>MIN(100,(1+'Thai input'!$E10)*J24)</f>
        <v>0</v>
      </c>
      <c r="K4" s="448">
        <f>MIN(100,(1+'Thai input'!$E10)*K24)</f>
        <v>15.36</v>
      </c>
      <c r="L4" s="448">
        <f>MIN(100,(1+'Thai input'!$E10)*L24)</f>
        <v>0</v>
      </c>
      <c r="M4" s="448">
        <f>MIN(100,(1+'Thai input'!$E10)*M24)</f>
        <v>0</v>
      </c>
      <c r="N4" s="448">
        <f>MIN(100,(1+'Thai input'!$E10)*N24)</f>
        <v>0</v>
      </c>
      <c r="O4" s="448">
        <f>MIN(100,(1+'Thai input'!$E10)*O24)</f>
        <v>0</v>
      </c>
      <c r="P4" s="448">
        <f>MIN(100,(1+'Thai input'!$E10)*P24)</f>
        <v>0</v>
      </c>
      <c r="Q4" s="448">
        <f>MIN(100,(1+'Thai input'!$E10)*Q24)</f>
        <v>0</v>
      </c>
      <c r="R4" s="448">
        <f>MIN(100,(1+'Thai input'!$E10)*R24)</f>
        <v>0</v>
      </c>
      <c r="S4" s="448">
        <f>MIN(100,(1+'Thai input'!$E10)*S24)</f>
        <v>0</v>
      </c>
      <c r="T4" s="448">
        <f>MIN(100,(1+'Thai input'!$E10)*T24)</f>
        <v>0</v>
      </c>
      <c r="U4" s="448">
        <f>MIN(100,(1+'Thai input'!$E10)*U24)</f>
        <v>0</v>
      </c>
      <c r="V4" s="448">
        <f>MIN(100,(1+'Thai input'!$E10)*V24)</f>
        <v>3.84</v>
      </c>
      <c r="W4" s="448">
        <f>MIN(100,(1+'Thai input'!$E10)*W24)</f>
        <v>0</v>
      </c>
      <c r="X4" s="448">
        <f>MIN(100,(1+'Thai input'!$E10)*X24)</f>
        <v>0</v>
      </c>
      <c r="Y4" s="448">
        <f>MIN(100,(1+'Thai input'!$E10)*Y24)</f>
        <v>1.28</v>
      </c>
      <c r="Z4" s="448">
        <f>MIN(100,(1+'Thai input'!$E10)*Z24)</f>
        <v>26.88</v>
      </c>
      <c r="AA4" s="448">
        <f>MIN(100,(1+'Thai input'!$E10)*AA24)</f>
        <v>28.16</v>
      </c>
      <c r="AB4" s="448">
        <f>MIN(100,(1+'Thai input'!$E10)*AB24)</f>
        <v>6.4</v>
      </c>
      <c r="CK4" s="268">
        <f t="shared" ref="CK4:CR4" si="0">I19+(I19*$CJ$1)</f>
        <v>47.731022855187668</v>
      </c>
      <c r="CL4" s="268">
        <f t="shared" si="0"/>
        <v>37.05618451453519</v>
      </c>
      <c r="CM4" s="268">
        <f t="shared" si="0"/>
        <v>31.699159822223749</v>
      </c>
      <c r="CN4" s="268">
        <f t="shared" si="0"/>
        <v>33.906649544033044</v>
      </c>
      <c r="CO4" s="268">
        <f t="shared" si="0"/>
        <v>32.318810649048729</v>
      </c>
      <c r="CP4" s="268">
        <f t="shared" si="0"/>
        <v>20.470353907200863</v>
      </c>
      <c r="CQ4" s="268">
        <f t="shared" si="0"/>
        <v>18.21984365285914</v>
      </c>
      <c r="CR4" s="268">
        <f t="shared" si="0"/>
        <v>17.187579983698406</v>
      </c>
      <c r="CS4" s="264"/>
      <c r="CT4" s="268">
        <f>R19+(R19*$CJ$1)</f>
        <v>14.19755197377666</v>
      </c>
      <c r="CU4" s="268">
        <f>S19+(S19*$CJ$1)</f>
        <v>22.710049404541575</v>
      </c>
      <c r="CV4" s="133"/>
      <c r="CW4" s="133"/>
      <c r="CX4" s="268">
        <f>V19+(V19*$CJ$1)</f>
        <v>16.948532878203494</v>
      </c>
      <c r="CY4" s="133"/>
      <c r="CZ4" s="133"/>
      <c r="DA4" s="133"/>
      <c r="DB4" s="133"/>
      <c r="DC4" s="133"/>
      <c r="DD4" s="150"/>
    </row>
    <row r="5" spans="7:108" ht="15.75" thickBot="1" x14ac:dyDescent="0.3">
      <c r="CK5" s="135"/>
      <c r="CL5" s="125"/>
      <c r="CM5" s="268">
        <f>K20+(K20*$CJ$1)</f>
        <v>34.71218785923724</v>
      </c>
      <c r="CN5" s="125"/>
      <c r="CO5" s="125"/>
      <c r="CP5" s="125"/>
      <c r="CQ5" s="125"/>
      <c r="CR5" s="125"/>
      <c r="CS5" s="265"/>
      <c r="CT5" s="268">
        <f>R20+(R20*$CJ$1)</f>
        <v>12.092983607992473</v>
      </c>
      <c r="CU5" s="268">
        <f>S20+(S20*$CJ$1)</f>
        <v>22.193495573876639</v>
      </c>
      <c r="CV5" s="268">
        <f>T20+(T20*$CJ$1)</f>
        <v>16.957647504207827</v>
      </c>
      <c r="CW5" s="268">
        <f>U20+(U20*$CJ$1)</f>
        <v>19.161064234034253</v>
      </c>
      <c r="CX5" s="268">
        <f>V20+(V20*$CJ$1)</f>
        <v>17.55135120764599</v>
      </c>
      <c r="CY5" s="268">
        <f>W20+(W20*$CJ$1)</f>
        <v>12.441528874296639</v>
      </c>
      <c r="CZ5" s="23"/>
      <c r="DA5" s="23"/>
      <c r="DB5" s="23"/>
      <c r="DC5" s="23"/>
      <c r="DD5" s="151"/>
    </row>
    <row r="6" spans="7:108" ht="15.75" thickBot="1" x14ac:dyDescent="0.3">
      <c r="I6" s="461">
        <v>24.5</v>
      </c>
      <c r="J6" s="461">
        <v>36.5</v>
      </c>
      <c r="K6" s="461">
        <v>20.5</v>
      </c>
      <c r="L6" s="461">
        <v>29.499999999999996</v>
      </c>
      <c r="M6" s="461">
        <v>39.5</v>
      </c>
      <c r="N6" s="461">
        <v>20.5</v>
      </c>
      <c r="O6" s="461">
        <v>17.5</v>
      </c>
      <c r="P6" s="461">
        <v>27</v>
      </c>
      <c r="Q6" s="461"/>
      <c r="R6" s="461">
        <v>46.5</v>
      </c>
      <c r="S6" s="461">
        <v>33</v>
      </c>
      <c r="T6" s="461"/>
      <c r="U6" s="461"/>
      <c r="V6" s="461">
        <v>40.5</v>
      </c>
      <c r="W6" s="461"/>
      <c r="X6" s="461"/>
      <c r="Y6" s="461"/>
      <c r="Z6" s="461"/>
      <c r="AA6" s="461"/>
      <c r="AB6" s="461"/>
      <c r="CK6" s="136"/>
      <c r="CL6" s="137"/>
      <c r="CM6" s="268">
        <f>K21+(K21*$CJ$1)</f>
        <v>35.374978871938396</v>
      </c>
      <c r="CN6" s="268">
        <f>L21+(L21*$CJ$1)</f>
        <v>35.450780966218666</v>
      </c>
      <c r="CO6" s="137"/>
      <c r="CP6" s="137"/>
      <c r="CQ6" s="137"/>
      <c r="CR6" s="137"/>
      <c r="CS6" s="25"/>
      <c r="CT6" s="25"/>
      <c r="CU6" s="25"/>
      <c r="CV6" s="25"/>
      <c r="CW6" s="25"/>
      <c r="CX6" s="268">
        <f>V21+(V21*$CJ$1)</f>
        <v>15.029829730852137</v>
      </c>
      <c r="CY6" s="25"/>
      <c r="CZ6" s="266"/>
      <c r="DA6" s="268">
        <f>Y21+(Y21*$CJ$1)</f>
        <v>17.162482190913408</v>
      </c>
      <c r="DB6" s="268">
        <f>Z21+(Z21*$CJ$1)</f>
        <v>16.958650272116145</v>
      </c>
      <c r="DC6" s="268">
        <f>AA21+(AA21*$CJ$1)</f>
        <v>12.583330857284958</v>
      </c>
      <c r="DD6" s="268">
        <f>AB21+(AB21*$CJ$1)</f>
        <v>12.035227155825913</v>
      </c>
    </row>
    <row r="7" spans="7:108" ht="15.75" thickBot="1" x14ac:dyDescent="0.3">
      <c r="I7" s="461"/>
      <c r="J7" s="461"/>
      <c r="K7" s="461">
        <v>31.5</v>
      </c>
      <c r="L7" s="461"/>
      <c r="M7" s="461"/>
      <c r="N7" s="461"/>
      <c r="O7" s="461"/>
      <c r="P7" s="461"/>
      <c r="Q7" s="461"/>
      <c r="R7" s="461">
        <v>7.5</v>
      </c>
      <c r="S7" s="461">
        <v>32.5</v>
      </c>
      <c r="T7" s="461">
        <v>19.5</v>
      </c>
      <c r="U7" s="461">
        <v>16</v>
      </c>
      <c r="V7" s="461">
        <v>30.5</v>
      </c>
      <c r="W7" s="461">
        <v>2.5</v>
      </c>
      <c r="X7" s="461"/>
      <c r="Y7" s="461"/>
      <c r="Z7" s="461"/>
      <c r="AA7" s="461"/>
      <c r="AB7" s="461"/>
    </row>
    <row r="8" spans="7:108" x14ac:dyDescent="0.25">
      <c r="I8" s="461"/>
      <c r="J8" s="461"/>
      <c r="K8" s="461">
        <v>14.071938611988527</v>
      </c>
      <c r="L8" s="461">
        <v>0</v>
      </c>
      <c r="M8" s="461"/>
      <c r="N8" s="461"/>
      <c r="O8" s="461"/>
      <c r="P8" s="461"/>
      <c r="Q8" s="461"/>
      <c r="R8" s="461"/>
      <c r="S8" s="461"/>
      <c r="T8" s="461"/>
      <c r="U8" s="461"/>
      <c r="V8" s="461">
        <v>3</v>
      </c>
      <c r="W8" s="461"/>
      <c r="X8" s="461"/>
      <c r="Y8" s="461">
        <v>1.0278627715455535</v>
      </c>
      <c r="Z8" s="461">
        <v>24</v>
      </c>
      <c r="AA8" s="461">
        <v>25.000000000000004</v>
      </c>
      <c r="AB8" s="461">
        <v>6.2116234173349882</v>
      </c>
      <c r="CK8" s="131">
        <v>25.2</v>
      </c>
      <c r="CL8" s="132">
        <v>37.799999999999997</v>
      </c>
      <c r="CM8" s="132">
        <v>21</v>
      </c>
      <c r="CN8" s="132">
        <v>30.45</v>
      </c>
      <c r="CO8" s="132">
        <v>40.950000000000003</v>
      </c>
      <c r="CP8" s="132">
        <v>21</v>
      </c>
      <c r="CQ8" s="132">
        <v>17.850000000000001</v>
      </c>
      <c r="CR8" s="132">
        <v>28.35</v>
      </c>
      <c r="CS8" s="132">
        <v>0</v>
      </c>
      <c r="CT8" s="132">
        <v>48.3</v>
      </c>
      <c r="CU8" s="132">
        <v>34.65</v>
      </c>
      <c r="CV8" s="132">
        <v>0</v>
      </c>
      <c r="CW8" s="132">
        <v>0</v>
      </c>
      <c r="CX8" s="132">
        <v>42</v>
      </c>
      <c r="CY8" s="132">
        <v>0</v>
      </c>
      <c r="CZ8" s="132">
        <v>0</v>
      </c>
      <c r="DA8" s="132">
        <v>0</v>
      </c>
      <c r="DB8" s="132">
        <v>0</v>
      </c>
      <c r="DC8" s="132">
        <v>0</v>
      </c>
      <c r="DD8" s="141">
        <v>0</v>
      </c>
    </row>
    <row r="9" spans="7:108" x14ac:dyDescent="0.25">
      <c r="CK9" s="135">
        <v>0</v>
      </c>
      <c r="CL9" s="125">
        <v>0</v>
      </c>
      <c r="CM9" s="125">
        <v>36</v>
      </c>
      <c r="CN9" s="125">
        <v>0</v>
      </c>
      <c r="CO9" s="125">
        <v>0</v>
      </c>
      <c r="CP9" s="125">
        <v>0</v>
      </c>
      <c r="CQ9" s="125">
        <v>0</v>
      </c>
      <c r="CR9" s="125">
        <v>0</v>
      </c>
      <c r="CS9" s="125">
        <v>0</v>
      </c>
      <c r="CT9" s="125">
        <v>12</v>
      </c>
      <c r="CU9" s="125">
        <v>37</v>
      </c>
      <c r="CV9" s="125">
        <v>24</v>
      </c>
      <c r="CW9" s="125">
        <v>21</v>
      </c>
      <c r="CX9" s="125">
        <v>35</v>
      </c>
      <c r="CY9" s="125">
        <v>7</v>
      </c>
      <c r="CZ9" s="125">
        <v>0</v>
      </c>
      <c r="DA9" s="125">
        <v>0</v>
      </c>
      <c r="DB9" s="125">
        <v>0</v>
      </c>
      <c r="DC9" s="125">
        <v>0</v>
      </c>
      <c r="DD9" s="139">
        <v>0</v>
      </c>
    </row>
    <row r="10" spans="7:108" ht="15.75" thickBot="1" x14ac:dyDescent="0.3"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CK10" s="136">
        <v>0</v>
      </c>
      <c r="CL10" s="137">
        <v>0</v>
      </c>
      <c r="CM10" s="137">
        <v>18</v>
      </c>
      <c r="CN10" s="137">
        <v>0</v>
      </c>
      <c r="CO10" s="137">
        <v>0</v>
      </c>
      <c r="CP10" s="137">
        <v>0</v>
      </c>
      <c r="CQ10" s="137">
        <v>0</v>
      </c>
      <c r="CR10" s="137">
        <v>0</v>
      </c>
      <c r="CS10" s="137">
        <v>0</v>
      </c>
      <c r="CT10" s="137">
        <v>0</v>
      </c>
      <c r="CU10" s="137">
        <v>0</v>
      </c>
      <c r="CV10" s="137">
        <v>0</v>
      </c>
      <c r="CW10" s="137">
        <v>0</v>
      </c>
      <c r="CX10" s="137">
        <v>4.5</v>
      </c>
      <c r="CY10" s="137">
        <v>0</v>
      </c>
      <c r="CZ10" s="137">
        <v>0</v>
      </c>
      <c r="DA10" s="137">
        <v>1.5</v>
      </c>
      <c r="DB10" s="137">
        <v>31.5</v>
      </c>
      <c r="DC10" s="137">
        <v>33</v>
      </c>
      <c r="DD10" s="142">
        <v>7.5</v>
      </c>
    </row>
    <row r="11" spans="7:108" x14ac:dyDescent="0.25">
      <c r="CJ11" t="s">
        <v>139</v>
      </c>
      <c r="CK11" s="194">
        <f>MOD(CK21,0.5)</f>
        <v>0</v>
      </c>
      <c r="CL11" s="194">
        <f t="shared" ref="CL11:DD11" si="1">MOD(CL21,0.5)</f>
        <v>0</v>
      </c>
      <c r="CM11" s="194">
        <f t="shared" si="1"/>
        <v>0.47914905994866075</v>
      </c>
      <c r="CN11" s="194">
        <f t="shared" si="1"/>
        <v>4.2317471848889454E-2</v>
      </c>
      <c r="CO11" s="194">
        <f t="shared" si="1"/>
        <v>0</v>
      </c>
      <c r="CP11" s="194">
        <f t="shared" si="1"/>
        <v>0</v>
      </c>
      <c r="CQ11" s="194">
        <f t="shared" si="1"/>
        <v>0</v>
      </c>
      <c r="CR11" s="194">
        <f t="shared" si="1"/>
        <v>0</v>
      </c>
      <c r="CS11" s="194">
        <f t="shared" si="1"/>
        <v>0</v>
      </c>
      <c r="CT11" s="194">
        <f t="shared" si="1"/>
        <v>0</v>
      </c>
      <c r="CU11" s="194">
        <f t="shared" si="1"/>
        <v>0</v>
      </c>
      <c r="CV11" s="194">
        <f t="shared" si="1"/>
        <v>0</v>
      </c>
      <c r="CW11" s="194">
        <f t="shared" si="1"/>
        <v>0</v>
      </c>
      <c r="CX11" s="194">
        <f t="shared" si="1"/>
        <v>2.4858109043448096E-2</v>
      </c>
      <c r="CY11" s="194">
        <f t="shared" si="1"/>
        <v>0</v>
      </c>
      <c r="CZ11" s="194">
        <f t="shared" si="1"/>
        <v>0</v>
      </c>
      <c r="DA11" s="194">
        <f t="shared" si="1"/>
        <v>0.30206849242783917</v>
      </c>
      <c r="DB11" s="194">
        <f t="shared" si="1"/>
        <v>0.13220856009678705</v>
      </c>
      <c r="DC11" s="194">
        <f t="shared" si="1"/>
        <v>0.48610904773746455</v>
      </c>
      <c r="DD11" s="194">
        <f t="shared" si="1"/>
        <v>2.9355963188260503E-2</v>
      </c>
    </row>
    <row r="12" spans="7:108" x14ac:dyDescent="0.25">
      <c r="I12" s="409"/>
      <c r="J12" s="409"/>
      <c r="K12" s="409"/>
      <c r="L12" s="409"/>
      <c r="M12" s="409"/>
      <c r="N12" s="409"/>
      <c r="O12" s="409"/>
      <c r="P12" s="409"/>
      <c r="Q12" s="409"/>
      <c r="R12" s="409"/>
      <c r="S12" s="409"/>
      <c r="T12" s="409"/>
      <c r="U12" s="409"/>
      <c r="V12" s="409"/>
      <c r="W12" s="409"/>
      <c r="X12" s="409"/>
      <c r="Y12" s="409"/>
      <c r="Z12" s="409"/>
      <c r="AA12" s="409"/>
      <c r="AB12" s="409"/>
    </row>
    <row r="13" spans="7:108" ht="15.75" thickBot="1" x14ac:dyDescent="0.3">
      <c r="I13" s="409"/>
      <c r="J13" s="409"/>
      <c r="K13" s="409"/>
      <c r="L13" s="409"/>
      <c r="M13" s="409"/>
      <c r="N13" s="409"/>
      <c r="O13" s="409"/>
      <c r="P13" s="409"/>
      <c r="Q13" s="409"/>
      <c r="R13" s="409"/>
      <c r="S13" s="409"/>
      <c r="T13" s="409"/>
      <c r="U13" s="409"/>
      <c r="V13" s="409"/>
      <c r="W13" s="409"/>
      <c r="X13" s="409"/>
      <c r="Y13" s="409"/>
      <c r="Z13" s="409"/>
      <c r="AA13" s="409"/>
      <c r="AB13" s="409"/>
    </row>
    <row r="14" spans="7:108" x14ac:dyDescent="0.25">
      <c r="I14" s="409"/>
      <c r="J14" s="409"/>
      <c r="K14" s="409"/>
      <c r="L14" s="409"/>
      <c r="M14" s="409"/>
      <c r="N14" s="409"/>
      <c r="O14" s="409"/>
      <c r="P14" s="409"/>
      <c r="Q14" s="409"/>
      <c r="R14" s="409"/>
      <c r="S14" s="409"/>
      <c r="T14" s="409"/>
      <c r="U14" s="409"/>
      <c r="V14" s="409"/>
      <c r="W14" s="409"/>
      <c r="X14" s="409"/>
      <c r="Y14" s="409"/>
      <c r="Z14" s="409"/>
      <c r="AA14" s="409"/>
      <c r="AB14" s="409"/>
      <c r="CK14" s="131">
        <v>24</v>
      </c>
      <c r="CL14" s="132">
        <v>36</v>
      </c>
      <c r="CM14" s="132">
        <v>20</v>
      </c>
      <c r="CN14" s="132">
        <v>29</v>
      </c>
      <c r="CO14" s="132">
        <v>39</v>
      </c>
      <c r="CP14" s="132">
        <v>20</v>
      </c>
      <c r="CQ14" s="132">
        <v>17</v>
      </c>
      <c r="CR14" s="133">
        <v>27</v>
      </c>
      <c r="CS14" s="132"/>
      <c r="CT14" s="132">
        <v>46</v>
      </c>
      <c r="CU14" s="132">
        <v>33</v>
      </c>
      <c r="CV14" s="132"/>
      <c r="CW14" s="132"/>
      <c r="CX14" s="132">
        <v>40</v>
      </c>
      <c r="CY14" s="132"/>
      <c r="CZ14" s="133"/>
      <c r="DA14" s="132"/>
      <c r="DB14" s="132"/>
      <c r="DC14" s="132"/>
      <c r="DD14" s="153"/>
    </row>
    <row r="15" spans="7:108" x14ac:dyDescent="0.25"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CK15" s="135"/>
      <c r="CL15" s="125"/>
      <c r="CM15" s="125">
        <v>31</v>
      </c>
      <c r="CN15" s="125"/>
      <c r="CO15" s="125"/>
      <c r="CP15" s="125"/>
      <c r="CQ15" s="125"/>
      <c r="CR15" s="125"/>
      <c r="CS15" s="125"/>
      <c r="CT15" s="125">
        <v>7</v>
      </c>
      <c r="CU15" s="125">
        <v>32</v>
      </c>
      <c r="CV15" s="125">
        <v>19</v>
      </c>
      <c r="CW15" s="125">
        <v>16</v>
      </c>
      <c r="CX15" s="125">
        <v>30</v>
      </c>
      <c r="CY15" s="125">
        <v>2</v>
      </c>
      <c r="CZ15" s="125"/>
      <c r="DA15" s="125"/>
      <c r="DB15" s="125"/>
      <c r="DC15" s="125"/>
      <c r="DD15" s="154"/>
    </row>
    <row r="16" spans="7:108" ht="15.75" thickBot="1" x14ac:dyDescent="0.3">
      <c r="CK16" s="136"/>
      <c r="CL16" s="137"/>
      <c r="CM16" s="137">
        <v>12</v>
      </c>
      <c r="CN16" s="263">
        <v>0</v>
      </c>
      <c r="CO16" s="137"/>
      <c r="CP16" s="137"/>
      <c r="CQ16" s="137"/>
      <c r="CR16" s="137"/>
      <c r="CS16" s="137"/>
      <c r="CT16" s="137"/>
      <c r="CU16" s="137"/>
      <c r="CV16" s="137"/>
      <c r="CW16" s="137"/>
      <c r="CX16" s="137">
        <v>3</v>
      </c>
      <c r="CY16" s="137"/>
      <c r="CZ16" s="137"/>
      <c r="DA16" s="137">
        <v>1</v>
      </c>
      <c r="DB16" s="137">
        <v>21</v>
      </c>
      <c r="DC16" s="137">
        <v>22</v>
      </c>
      <c r="DD16" s="155">
        <v>5</v>
      </c>
    </row>
    <row r="17" spans="1:252" x14ac:dyDescent="0.25">
      <c r="I17" s="539" t="s">
        <v>6</v>
      </c>
      <c r="J17" s="540"/>
      <c r="K17" s="540"/>
      <c r="L17" s="540"/>
      <c r="M17" s="540"/>
      <c r="N17" s="540"/>
      <c r="O17" s="540"/>
      <c r="P17" s="540"/>
      <c r="Q17" s="540"/>
      <c r="R17" s="540"/>
      <c r="S17" s="540"/>
      <c r="T17" s="540"/>
      <c r="U17" s="540"/>
      <c r="V17" s="540"/>
      <c r="W17" s="540"/>
      <c r="X17" s="540"/>
      <c r="Y17" s="540"/>
      <c r="Z17" s="540"/>
      <c r="AA17" s="540"/>
      <c r="AB17" s="541"/>
      <c r="AC17" s="539" t="s">
        <v>3</v>
      </c>
      <c r="AD17" s="540"/>
      <c r="AE17" s="540"/>
      <c r="AF17" s="540"/>
      <c r="AG17" s="540"/>
      <c r="AH17" s="540"/>
      <c r="AI17" s="540"/>
      <c r="AJ17" s="540"/>
      <c r="AK17" s="540"/>
      <c r="AL17" s="540"/>
      <c r="AM17" s="540"/>
      <c r="AN17" s="540"/>
      <c r="AO17" s="540"/>
      <c r="AP17" s="540"/>
      <c r="AQ17" s="540"/>
      <c r="AR17" s="540"/>
      <c r="AS17" s="540"/>
      <c r="AT17" s="540"/>
      <c r="AU17" s="540"/>
      <c r="AV17" s="541"/>
      <c r="AW17" s="539" t="s">
        <v>2</v>
      </c>
      <c r="AX17" s="540"/>
      <c r="AY17" s="540"/>
      <c r="AZ17" s="540"/>
      <c r="BA17" s="540"/>
      <c r="BB17" s="540"/>
      <c r="BC17" s="540"/>
      <c r="BD17" s="540"/>
      <c r="BE17" s="540"/>
      <c r="BF17" s="540"/>
      <c r="BG17" s="540"/>
      <c r="BH17" s="540"/>
      <c r="BI17" s="540"/>
      <c r="BJ17" s="540"/>
      <c r="BK17" s="540"/>
      <c r="BL17" s="540"/>
      <c r="BM17" s="540"/>
      <c r="BN17" s="540"/>
      <c r="BO17" s="540"/>
      <c r="BP17" s="541"/>
      <c r="BQ17" s="539" t="s">
        <v>128</v>
      </c>
      <c r="BR17" s="540"/>
      <c r="BS17" s="540"/>
      <c r="BT17" s="540"/>
      <c r="BU17" s="540"/>
      <c r="BV17" s="540"/>
      <c r="BW17" s="540"/>
      <c r="BX17" s="540"/>
      <c r="BY17" s="540"/>
      <c r="BZ17" s="540"/>
      <c r="CA17" s="540"/>
      <c r="CB17" s="540"/>
      <c r="CC17" s="540"/>
      <c r="CD17" s="540"/>
      <c r="CE17" s="540"/>
      <c r="CF17" s="540"/>
      <c r="CG17" s="540"/>
      <c r="CH17" s="540"/>
      <c r="CI17" s="540"/>
      <c r="CJ17" s="541"/>
      <c r="CK17" s="545" t="s">
        <v>129</v>
      </c>
      <c r="CL17" s="546"/>
      <c r="CM17" s="546"/>
      <c r="CN17" s="546"/>
      <c r="CO17" s="546"/>
      <c r="CP17" s="546"/>
      <c r="CQ17" s="546"/>
      <c r="CR17" s="546"/>
      <c r="CS17" s="546"/>
      <c r="CT17" s="546"/>
      <c r="CU17" s="546"/>
      <c r="CV17" s="546"/>
      <c r="CW17" s="546"/>
      <c r="CX17" s="546"/>
      <c r="CY17" s="546"/>
      <c r="CZ17" s="546"/>
      <c r="DA17" s="546"/>
      <c r="DB17" s="546"/>
      <c r="DC17" s="546"/>
      <c r="DD17" s="547"/>
      <c r="DE17" s="539" t="s">
        <v>130</v>
      </c>
      <c r="DF17" s="540"/>
      <c r="DG17" s="540"/>
      <c r="DH17" s="540"/>
      <c r="DI17" s="540"/>
      <c r="DJ17" s="540"/>
      <c r="DK17" s="540"/>
      <c r="DL17" s="540"/>
      <c r="DM17" s="540"/>
      <c r="DN17" s="540"/>
      <c r="DO17" s="540"/>
      <c r="DP17" s="540"/>
      <c r="DQ17" s="540"/>
      <c r="DR17" s="540"/>
      <c r="DS17" s="540"/>
      <c r="DT17" s="540"/>
      <c r="DU17" s="540"/>
      <c r="DV17" s="540"/>
      <c r="DW17" s="540"/>
      <c r="DX17" s="541"/>
      <c r="DY17" s="539" t="s">
        <v>131</v>
      </c>
      <c r="DZ17" s="540"/>
      <c r="EA17" s="540"/>
      <c r="EB17" s="540"/>
      <c r="EC17" s="540"/>
      <c r="ED17" s="540"/>
      <c r="EE17" s="540"/>
      <c r="EF17" s="540"/>
      <c r="EG17" s="540"/>
      <c r="EH17" s="540"/>
      <c r="EI17" s="540"/>
      <c r="EJ17" s="540"/>
      <c r="EK17" s="540"/>
      <c r="EL17" s="540"/>
      <c r="EM17" s="540"/>
      <c r="EN17" s="540"/>
      <c r="EO17" s="540"/>
      <c r="EP17" s="540"/>
      <c r="EQ17" s="540"/>
      <c r="ER17" s="541"/>
      <c r="ES17" s="539" t="s">
        <v>132</v>
      </c>
      <c r="ET17" s="540"/>
      <c r="EU17" s="540"/>
      <c r="EV17" s="540"/>
      <c r="EW17" s="540"/>
      <c r="EX17" s="540"/>
      <c r="EY17" s="540"/>
      <c r="EZ17" s="540"/>
      <c r="FA17" s="540"/>
      <c r="FB17" s="540"/>
      <c r="FC17" s="540"/>
      <c r="FD17" s="540"/>
      <c r="FE17" s="540"/>
      <c r="FF17" s="540"/>
      <c r="FG17" s="540"/>
      <c r="FH17" s="540"/>
      <c r="FI17" s="540"/>
      <c r="FJ17" s="540"/>
      <c r="FK17" s="540"/>
      <c r="FL17" s="541"/>
      <c r="FM17" s="196"/>
      <c r="FN17" s="539" t="s">
        <v>133</v>
      </c>
      <c r="FO17" s="540"/>
      <c r="FP17" s="540"/>
      <c r="FQ17" s="540"/>
      <c r="FR17" s="540"/>
      <c r="FS17" s="540"/>
      <c r="FT17" s="540"/>
      <c r="FU17" s="540"/>
      <c r="FV17" s="540"/>
      <c r="FW17" s="540"/>
      <c r="FX17" s="540"/>
      <c r="FY17" s="540"/>
      <c r="FZ17" s="540"/>
      <c r="GA17" s="540"/>
      <c r="GB17" s="540"/>
      <c r="GC17" s="540"/>
      <c r="GD17" s="540"/>
      <c r="GE17" s="540"/>
      <c r="GF17" s="540"/>
      <c r="GG17" s="541"/>
      <c r="GH17" s="539" t="s">
        <v>134</v>
      </c>
      <c r="GI17" s="540"/>
      <c r="GJ17" s="540"/>
      <c r="GK17" s="540"/>
      <c r="GL17" s="540"/>
      <c r="GM17" s="540"/>
      <c r="GN17" s="540"/>
      <c r="GO17" s="540"/>
      <c r="GP17" s="540"/>
      <c r="GQ17" s="540"/>
      <c r="GR17" s="540"/>
      <c r="GS17" s="540"/>
      <c r="GT17" s="540"/>
      <c r="GU17" s="540"/>
      <c r="GV17" s="540"/>
      <c r="GW17" s="540"/>
      <c r="GX17" s="540"/>
      <c r="GY17" s="540"/>
      <c r="GZ17" s="540"/>
      <c r="HA17" s="541"/>
      <c r="HD17" s="539" t="s">
        <v>136</v>
      </c>
      <c r="HE17" s="540"/>
      <c r="HF17" s="540"/>
      <c r="HG17" s="540"/>
      <c r="HH17" s="540"/>
      <c r="HI17" s="540"/>
      <c r="HJ17" s="540"/>
      <c r="HK17" s="540"/>
      <c r="HL17" s="540"/>
      <c r="HM17" s="540"/>
      <c r="HN17" s="540"/>
      <c r="HO17" s="540"/>
      <c r="HP17" s="540"/>
      <c r="HQ17" s="540"/>
      <c r="HR17" s="540"/>
      <c r="HS17" s="540"/>
      <c r="HT17" s="540"/>
      <c r="HU17" s="540"/>
      <c r="HV17" s="540"/>
      <c r="HW17" s="541"/>
    </row>
    <row r="18" spans="1:252" ht="15.75" thickBot="1" x14ac:dyDescent="0.3">
      <c r="G18" s="36" t="s">
        <v>73</v>
      </c>
      <c r="H18" s="36" t="s">
        <v>52</v>
      </c>
      <c r="I18" s="126" t="s">
        <v>59</v>
      </c>
      <c r="J18" s="127" t="s">
        <v>60</v>
      </c>
      <c r="K18" s="127" t="s">
        <v>62</v>
      </c>
      <c r="L18" s="127" t="s">
        <v>61</v>
      </c>
      <c r="M18" s="127" t="s">
        <v>17</v>
      </c>
      <c r="N18" s="127" t="s">
        <v>18</v>
      </c>
      <c r="O18" s="127" t="s">
        <v>63</v>
      </c>
      <c r="P18" s="127" t="s">
        <v>64</v>
      </c>
      <c r="Q18" s="127" t="s">
        <v>22</v>
      </c>
      <c r="R18" s="127" t="s">
        <v>70</v>
      </c>
      <c r="S18" s="127" t="s">
        <v>65</v>
      </c>
      <c r="T18" s="127" t="s">
        <v>66</v>
      </c>
      <c r="U18" s="127" t="s">
        <v>35</v>
      </c>
      <c r="V18" s="127" t="s">
        <v>36</v>
      </c>
      <c r="W18" s="127" t="s">
        <v>37</v>
      </c>
      <c r="X18" s="127" t="s">
        <v>39</v>
      </c>
      <c r="Y18" s="127" t="s">
        <v>42</v>
      </c>
      <c r="Z18" s="127" t="s">
        <v>67</v>
      </c>
      <c r="AA18" s="127" t="s">
        <v>68</v>
      </c>
      <c r="AB18" s="128" t="s">
        <v>69</v>
      </c>
      <c r="AC18" s="126" t="s">
        <v>59</v>
      </c>
      <c r="AD18" s="127" t="s">
        <v>60</v>
      </c>
      <c r="AE18" s="127" t="s">
        <v>62</v>
      </c>
      <c r="AF18" s="127" t="s">
        <v>61</v>
      </c>
      <c r="AG18" s="127" t="s">
        <v>17</v>
      </c>
      <c r="AH18" s="127" t="s">
        <v>18</v>
      </c>
      <c r="AI18" s="127" t="s">
        <v>63</v>
      </c>
      <c r="AJ18" s="127" t="s">
        <v>64</v>
      </c>
      <c r="AK18" s="127" t="s">
        <v>22</v>
      </c>
      <c r="AL18" s="127" t="s">
        <v>70</v>
      </c>
      <c r="AM18" s="127" t="s">
        <v>65</v>
      </c>
      <c r="AN18" s="127" t="s">
        <v>66</v>
      </c>
      <c r="AO18" s="127" t="s">
        <v>35</v>
      </c>
      <c r="AP18" s="127" t="s">
        <v>36</v>
      </c>
      <c r="AQ18" s="127" t="s">
        <v>37</v>
      </c>
      <c r="AR18" s="127" t="s">
        <v>39</v>
      </c>
      <c r="AS18" s="127" t="s">
        <v>42</v>
      </c>
      <c r="AT18" s="127" t="s">
        <v>67</v>
      </c>
      <c r="AU18" s="127" t="s">
        <v>68</v>
      </c>
      <c r="AV18" s="128" t="s">
        <v>69</v>
      </c>
      <c r="AW18" s="126" t="s">
        <v>59</v>
      </c>
      <c r="AX18" s="127" t="s">
        <v>60</v>
      </c>
      <c r="AY18" s="127" t="s">
        <v>62</v>
      </c>
      <c r="AZ18" s="127" t="s">
        <v>61</v>
      </c>
      <c r="BA18" s="127" t="s">
        <v>17</v>
      </c>
      <c r="BB18" s="127" t="s">
        <v>18</v>
      </c>
      <c r="BC18" s="127" t="s">
        <v>63</v>
      </c>
      <c r="BD18" s="127" t="s">
        <v>64</v>
      </c>
      <c r="BE18" s="127" t="s">
        <v>22</v>
      </c>
      <c r="BF18" s="127" t="s">
        <v>70</v>
      </c>
      <c r="BG18" s="127" t="s">
        <v>65</v>
      </c>
      <c r="BH18" s="127" t="s">
        <v>66</v>
      </c>
      <c r="BI18" s="127" t="s">
        <v>35</v>
      </c>
      <c r="BJ18" s="127" t="s">
        <v>36</v>
      </c>
      <c r="BK18" s="127" t="s">
        <v>37</v>
      </c>
      <c r="BL18" s="127" t="s">
        <v>39</v>
      </c>
      <c r="BM18" s="127" t="s">
        <v>42</v>
      </c>
      <c r="BN18" s="127" t="s">
        <v>67</v>
      </c>
      <c r="BO18" s="127" t="s">
        <v>68</v>
      </c>
      <c r="BP18" s="128" t="s">
        <v>69</v>
      </c>
      <c r="BQ18" s="126" t="s">
        <v>59</v>
      </c>
      <c r="BR18" s="127" t="s">
        <v>60</v>
      </c>
      <c r="BS18" s="127" t="s">
        <v>62</v>
      </c>
      <c r="BT18" s="127" t="s">
        <v>61</v>
      </c>
      <c r="BU18" s="127" t="s">
        <v>17</v>
      </c>
      <c r="BV18" s="127" t="s">
        <v>18</v>
      </c>
      <c r="BW18" s="127" t="s">
        <v>63</v>
      </c>
      <c r="BX18" s="127" t="s">
        <v>64</v>
      </c>
      <c r="BY18" s="127" t="s">
        <v>22</v>
      </c>
      <c r="BZ18" s="127" t="s">
        <v>70</v>
      </c>
      <c r="CA18" s="127" t="s">
        <v>65</v>
      </c>
      <c r="CB18" s="127" t="s">
        <v>66</v>
      </c>
      <c r="CC18" s="127" t="s">
        <v>35</v>
      </c>
      <c r="CD18" s="127" t="s">
        <v>36</v>
      </c>
      <c r="CE18" s="127" t="s">
        <v>37</v>
      </c>
      <c r="CF18" s="127" t="s">
        <v>39</v>
      </c>
      <c r="CG18" s="127" t="s">
        <v>42</v>
      </c>
      <c r="CH18" s="127" t="s">
        <v>67</v>
      </c>
      <c r="CI18" s="127" t="s">
        <v>68</v>
      </c>
      <c r="CJ18" s="128" t="s">
        <v>69</v>
      </c>
      <c r="CK18" s="126" t="s">
        <v>59</v>
      </c>
      <c r="CL18" s="127" t="s">
        <v>60</v>
      </c>
      <c r="CM18" s="127" t="s">
        <v>62</v>
      </c>
      <c r="CN18" s="127" t="s">
        <v>61</v>
      </c>
      <c r="CO18" s="127" t="s">
        <v>17</v>
      </c>
      <c r="CP18" s="127" t="s">
        <v>18</v>
      </c>
      <c r="CQ18" s="127" t="s">
        <v>63</v>
      </c>
      <c r="CR18" s="127" t="s">
        <v>64</v>
      </c>
      <c r="CS18" s="127" t="s">
        <v>22</v>
      </c>
      <c r="CT18" s="127" t="s">
        <v>70</v>
      </c>
      <c r="CU18" s="127" t="s">
        <v>65</v>
      </c>
      <c r="CV18" s="127" t="s">
        <v>66</v>
      </c>
      <c r="CW18" s="127" t="s">
        <v>35</v>
      </c>
      <c r="CX18" s="127" t="s">
        <v>36</v>
      </c>
      <c r="CY18" s="127" t="s">
        <v>37</v>
      </c>
      <c r="CZ18" s="127" t="s">
        <v>39</v>
      </c>
      <c r="DA18" s="127" t="s">
        <v>42</v>
      </c>
      <c r="DB18" s="127" t="s">
        <v>67</v>
      </c>
      <c r="DC18" s="127" t="s">
        <v>68</v>
      </c>
      <c r="DD18" s="128" t="s">
        <v>69</v>
      </c>
      <c r="DE18" s="126" t="s">
        <v>59</v>
      </c>
      <c r="DF18" s="127" t="s">
        <v>60</v>
      </c>
      <c r="DG18" s="127" t="s">
        <v>62</v>
      </c>
      <c r="DH18" s="127" t="s">
        <v>61</v>
      </c>
      <c r="DI18" s="127" t="s">
        <v>17</v>
      </c>
      <c r="DJ18" s="127" t="s">
        <v>18</v>
      </c>
      <c r="DK18" s="127" t="s">
        <v>63</v>
      </c>
      <c r="DL18" s="127" t="s">
        <v>64</v>
      </c>
      <c r="DM18" s="127" t="s">
        <v>22</v>
      </c>
      <c r="DN18" s="127" t="s">
        <v>70</v>
      </c>
      <c r="DO18" s="127" t="s">
        <v>65</v>
      </c>
      <c r="DP18" s="127" t="s">
        <v>66</v>
      </c>
      <c r="DQ18" s="127" t="s">
        <v>35</v>
      </c>
      <c r="DR18" s="127" t="s">
        <v>36</v>
      </c>
      <c r="DS18" s="127" t="s">
        <v>37</v>
      </c>
      <c r="DT18" s="127" t="s">
        <v>39</v>
      </c>
      <c r="DU18" s="127" t="s">
        <v>42</v>
      </c>
      <c r="DV18" s="127" t="s">
        <v>67</v>
      </c>
      <c r="DW18" s="127" t="s">
        <v>68</v>
      </c>
      <c r="DX18" s="128" t="s">
        <v>69</v>
      </c>
      <c r="DY18" s="126" t="s">
        <v>59</v>
      </c>
      <c r="DZ18" s="127" t="s">
        <v>60</v>
      </c>
      <c r="EA18" s="127" t="s">
        <v>62</v>
      </c>
      <c r="EB18" s="127" t="s">
        <v>61</v>
      </c>
      <c r="EC18" s="127" t="s">
        <v>17</v>
      </c>
      <c r="ED18" s="127" t="s">
        <v>18</v>
      </c>
      <c r="EE18" s="127" t="s">
        <v>63</v>
      </c>
      <c r="EF18" s="127" t="s">
        <v>64</v>
      </c>
      <c r="EG18" s="127" t="s">
        <v>22</v>
      </c>
      <c r="EH18" s="127" t="s">
        <v>70</v>
      </c>
      <c r="EI18" s="127" t="s">
        <v>65</v>
      </c>
      <c r="EJ18" s="127" t="s">
        <v>66</v>
      </c>
      <c r="EK18" s="127" t="s">
        <v>35</v>
      </c>
      <c r="EL18" s="127" t="s">
        <v>36</v>
      </c>
      <c r="EM18" s="127" t="s">
        <v>37</v>
      </c>
      <c r="EN18" s="127" t="s">
        <v>39</v>
      </c>
      <c r="EO18" s="127" t="s">
        <v>42</v>
      </c>
      <c r="EP18" s="127" t="s">
        <v>67</v>
      </c>
      <c r="EQ18" s="127" t="s">
        <v>68</v>
      </c>
      <c r="ER18" s="128" t="s">
        <v>69</v>
      </c>
      <c r="ES18" s="126" t="s">
        <v>59</v>
      </c>
      <c r="ET18" s="127" t="s">
        <v>60</v>
      </c>
      <c r="EU18" s="127" t="s">
        <v>62</v>
      </c>
      <c r="EV18" s="127" t="s">
        <v>61</v>
      </c>
      <c r="EW18" s="127" t="s">
        <v>17</v>
      </c>
      <c r="EX18" s="127" t="s">
        <v>18</v>
      </c>
      <c r="EY18" s="127" t="s">
        <v>63</v>
      </c>
      <c r="EZ18" s="127" t="s">
        <v>64</v>
      </c>
      <c r="FA18" s="127" t="s">
        <v>22</v>
      </c>
      <c r="FB18" s="127" t="s">
        <v>70</v>
      </c>
      <c r="FC18" s="127" t="s">
        <v>65</v>
      </c>
      <c r="FD18" s="127" t="s">
        <v>66</v>
      </c>
      <c r="FE18" s="127" t="s">
        <v>35</v>
      </c>
      <c r="FF18" s="127" t="s">
        <v>36</v>
      </c>
      <c r="FG18" s="127" t="s">
        <v>37</v>
      </c>
      <c r="FH18" s="127" t="s">
        <v>39</v>
      </c>
      <c r="FI18" s="127" t="s">
        <v>42</v>
      </c>
      <c r="FJ18" s="127" t="s">
        <v>67</v>
      </c>
      <c r="FK18" s="127" t="s">
        <v>68</v>
      </c>
      <c r="FL18" s="128" t="s">
        <v>69</v>
      </c>
      <c r="FM18" s="197" t="s">
        <v>83</v>
      </c>
      <c r="FN18" s="126" t="s">
        <v>59</v>
      </c>
      <c r="FO18" s="127" t="s">
        <v>60</v>
      </c>
      <c r="FP18" s="127" t="s">
        <v>62</v>
      </c>
      <c r="FQ18" s="127" t="s">
        <v>61</v>
      </c>
      <c r="FR18" s="127" t="s">
        <v>17</v>
      </c>
      <c r="FS18" s="127" t="s">
        <v>18</v>
      </c>
      <c r="FT18" s="127" t="s">
        <v>63</v>
      </c>
      <c r="FU18" s="127" t="s">
        <v>64</v>
      </c>
      <c r="FV18" s="127" t="s">
        <v>22</v>
      </c>
      <c r="FW18" s="127" t="s">
        <v>70</v>
      </c>
      <c r="FX18" s="127" t="s">
        <v>65</v>
      </c>
      <c r="FY18" s="127" t="s">
        <v>66</v>
      </c>
      <c r="FZ18" s="127" t="s">
        <v>35</v>
      </c>
      <c r="GA18" s="127" t="s">
        <v>36</v>
      </c>
      <c r="GB18" s="127" t="s">
        <v>37</v>
      </c>
      <c r="GC18" s="127" t="s">
        <v>39</v>
      </c>
      <c r="GD18" s="127" t="s">
        <v>42</v>
      </c>
      <c r="GE18" s="127" t="s">
        <v>67</v>
      </c>
      <c r="GF18" s="127" t="s">
        <v>68</v>
      </c>
      <c r="GG18" s="128" t="s">
        <v>69</v>
      </c>
      <c r="GH18" s="126" t="s">
        <v>59</v>
      </c>
      <c r="GI18" s="127" t="s">
        <v>60</v>
      </c>
      <c r="GJ18" s="127" t="s">
        <v>62</v>
      </c>
      <c r="GK18" s="127" t="s">
        <v>61</v>
      </c>
      <c r="GL18" s="127" t="s">
        <v>17</v>
      </c>
      <c r="GM18" s="127" t="s">
        <v>18</v>
      </c>
      <c r="GN18" s="127" t="s">
        <v>63</v>
      </c>
      <c r="GO18" s="127" t="s">
        <v>64</v>
      </c>
      <c r="GP18" s="127" t="s">
        <v>22</v>
      </c>
      <c r="GQ18" s="127" t="s">
        <v>70</v>
      </c>
      <c r="GR18" s="127" t="s">
        <v>65</v>
      </c>
      <c r="GS18" s="127" t="s">
        <v>66</v>
      </c>
      <c r="GT18" s="127" t="s">
        <v>35</v>
      </c>
      <c r="GU18" s="127" t="s">
        <v>36</v>
      </c>
      <c r="GV18" s="127" t="s">
        <v>37</v>
      </c>
      <c r="GW18" s="127" t="s">
        <v>39</v>
      </c>
      <c r="GX18" s="127" t="s">
        <v>42</v>
      </c>
      <c r="GY18" s="127" t="s">
        <v>67</v>
      </c>
      <c r="GZ18" s="127" t="s">
        <v>68</v>
      </c>
      <c r="HA18" s="128" t="s">
        <v>69</v>
      </c>
      <c r="HB18" s="193" t="s">
        <v>83</v>
      </c>
      <c r="HD18" s="126" t="s">
        <v>59</v>
      </c>
      <c r="HE18" s="127" t="s">
        <v>60</v>
      </c>
      <c r="HF18" s="127" t="s">
        <v>62</v>
      </c>
      <c r="HG18" s="127" t="s">
        <v>61</v>
      </c>
      <c r="HH18" s="127" t="s">
        <v>17</v>
      </c>
      <c r="HI18" s="127" t="s">
        <v>18</v>
      </c>
      <c r="HJ18" s="127" t="s">
        <v>63</v>
      </c>
      <c r="HK18" s="127" t="s">
        <v>64</v>
      </c>
      <c r="HL18" s="127" t="s">
        <v>22</v>
      </c>
      <c r="HM18" s="127" t="s">
        <v>70</v>
      </c>
      <c r="HN18" s="127" t="s">
        <v>65</v>
      </c>
      <c r="HO18" s="127" t="s">
        <v>66</v>
      </c>
      <c r="HP18" s="127" t="s">
        <v>35</v>
      </c>
      <c r="HQ18" s="127" t="s">
        <v>36</v>
      </c>
      <c r="HR18" s="127" t="s">
        <v>37</v>
      </c>
      <c r="HS18" s="127" t="s">
        <v>39</v>
      </c>
      <c r="HT18" s="127" t="s">
        <v>42</v>
      </c>
      <c r="HU18" s="127" t="s">
        <v>67</v>
      </c>
      <c r="HV18" s="127" t="s">
        <v>68</v>
      </c>
      <c r="HW18" s="128" t="s">
        <v>69</v>
      </c>
    </row>
    <row r="19" spans="1:252" ht="15.75" thickBot="1" x14ac:dyDescent="0.3">
      <c r="G19" s="37" t="s">
        <v>74</v>
      </c>
      <c r="H19" s="123" t="s">
        <v>12</v>
      </c>
      <c r="I19" s="131">
        <v>39.775852379323055</v>
      </c>
      <c r="J19" s="132">
        <v>30.880153762112659</v>
      </c>
      <c r="K19" s="132">
        <v>26.415966518519792</v>
      </c>
      <c r="L19" s="132">
        <v>28.2555412866942</v>
      </c>
      <c r="M19" s="132">
        <v>26.932342207540607</v>
      </c>
      <c r="N19" s="132">
        <v>17.05862825600072</v>
      </c>
      <c r="O19" s="132">
        <v>15.183203044049282</v>
      </c>
      <c r="P19" s="133">
        <v>14.322983319748673</v>
      </c>
      <c r="Q19" s="133"/>
      <c r="R19" s="133">
        <v>11.83129331148055</v>
      </c>
      <c r="S19" s="134">
        <v>18.925041170451312</v>
      </c>
      <c r="T19" s="133"/>
      <c r="U19" s="133"/>
      <c r="V19" s="133">
        <v>14.123777398502911</v>
      </c>
      <c r="W19" s="133"/>
      <c r="X19" s="133"/>
      <c r="Y19" s="133"/>
      <c r="Z19" s="133"/>
      <c r="AA19" s="133"/>
      <c r="AB19" s="150"/>
      <c r="AC19" s="159">
        <v>-0.95</v>
      </c>
      <c r="AD19" s="143">
        <v>-0.48</v>
      </c>
      <c r="AE19" s="143">
        <v>-0.95</v>
      </c>
      <c r="AF19" s="143">
        <v>-0.43</v>
      </c>
      <c r="AG19" s="143">
        <v>-2.1800000000000002</v>
      </c>
      <c r="AH19" s="143">
        <v>-2.79</v>
      </c>
      <c r="AI19" s="143">
        <v>-2.31</v>
      </c>
      <c r="AJ19" s="143">
        <v>-1.6</v>
      </c>
      <c r="AK19" s="143">
        <v>-10.46</v>
      </c>
      <c r="AL19" s="143">
        <v>-1.62</v>
      </c>
      <c r="AM19" s="143">
        <v>-3.32</v>
      </c>
      <c r="AN19" s="143"/>
      <c r="AO19" s="143"/>
      <c r="AP19" s="143">
        <v>-7.64</v>
      </c>
      <c r="AQ19" s="143"/>
      <c r="AR19" s="143"/>
      <c r="AS19" s="143"/>
      <c r="AT19" s="143"/>
      <c r="AU19" s="143"/>
      <c r="AV19" s="160"/>
      <c r="AW19" s="165">
        <f>'Thai input'!G51</f>
        <v>4774385</v>
      </c>
      <c r="AX19" s="165">
        <f>'Thai input'!H51</f>
        <v>16208118</v>
      </c>
      <c r="AY19" s="165">
        <f>'Thai input'!I51</f>
        <v>11718064</v>
      </c>
      <c r="AZ19" s="165">
        <f>'Thai input'!J51</f>
        <v>14525525</v>
      </c>
      <c r="BA19" s="165">
        <f>'Thai input'!K51</f>
        <v>10107608</v>
      </c>
      <c r="BB19" s="165">
        <f>'Thai input'!L51</f>
        <v>8347335</v>
      </c>
      <c r="BC19" s="165">
        <f>'Thai input'!M51</f>
        <v>9520310</v>
      </c>
      <c r="BD19" s="165">
        <f>'Thai input'!N51</f>
        <v>3177242</v>
      </c>
      <c r="BE19" s="165">
        <f>'Thai input'!O51</f>
        <v>445675</v>
      </c>
      <c r="BF19" s="165">
        <f>'Thai input'!P51</f>
        <v>49250215</v>
      </c>
      <c r="BG19" s="165">
        <f>'Thai input'!Q51</f>
        <v>3516607</v>
      </c>
      <c r="BH19" s="165">
        <f>'Thai input'!R51</f>
        <v>0</v>
      </c>
      <c r="BI19" s="165">
        <f>'Thai input'!S51</f>
        <v>0</v>
      </c>
      <c r="BJ19" s="165">
        <f>'Thai input'!T51</f>
        <v>2691868</v>
      </c>
      <c r="BK19" s="165">
        <f>'Thai input'!U51</f>
        <v>0</v>
      </c>
      <c r="BL19" s="165">
        <f>'Thai input'!V51</f>
        <v>0</v>
      </c>
      <c r="BM19" s="165">
        <f>'Thai input'!W51</f>
        <v>0</v>
      </c>
      <c r="BN19" s="165">
        <f>'Thai input'!X51</f>
        <v>0</v>
      </c>
      <c r="BO19" s="165">
        <f>'Thai input'!Y51</f>
        <v>0</v>
      </c>
      <c r="BP19" s="165">
        <f>'Thai input'!Z51</f>
        <v>0</v>
      </c>
      <c r="BQ19" s="165">
        <f>AW19*'Thai input'!$K4</f>
        <v>205298.55499999999</v>
      </c>
      <c r="BR19" s="134">
        <f>AX19*'Thai input'!$K4</f>
        <v>696949.07399999991</v>
      </c>
      <c r="BS19" s="134">
        <f>AY19*'Thai input'!$K4</f>
        <v>503876.75199999998</v>
      </c>
      <c r="BT19" s="134">
        <f>AZ19*'Thai input'!$K4</f>
        <v>624597.57499999995</v>
      </c>
      <c r="BU19" s="134">
        <f>BA19*'Thai input'!$K4</f>
        <v>434627.14399999997</v>
      </c>
      <c r="BV19" s="134">
        <f>BB19*'Thai input'!$K4</f>
        <v>358935.40499999997</v>
      </c>
      <c r="BW19" s="134">
        <f>BC19*'Thai input'!$K4</f>
        <v>409373.32999999996</v>
      </c>
      <c r="BX19" s="134">
        <f>BD19*'Thai input'!$K4</f>
        <v>136621.40599999999</v>
      </c>
      <c r="BY19" s="134">
        <f>BE19*'Thai input'!$K4</f>
        <v>19164.024999999998</v>
      </c>
      <c r="BZ19" s="134">
        <f>BF19*'Thai input'!$K4</f>
        <v>2117759.2449999996</v>
      </c>
      <c r="CA19" s="134">
        <f>BG19*'Thai input'!$K4</f>
        <v>151214.101</v>
      </c>
      <c r="CB19" s="134">
        <f>BH19*'Thai input'!$K4</f>
        <v>0</v>
      </c>
      <c r="CC19" s="134">
        <f>BI19*'Thai input'!$K4</f>
        <v>0</v>
      </c>
      <c r="CD19" s="134">
        <f>BJ19*'Thai input'!$K4</f>
        <v>115750.32399999999</v>
      </c>
      <c r="CE19" s="134">
        <f>BK19*'Thai input'!$K4</f>
        <v>0</v>
      </c>
      <c r="CF19" s="134">
        <f>BL19*'Thai input'!$K4</f>
        <v>0</v>
      </c>
      <c r="CG19" s="134">
        <f>BM19*'Thai input'!$K4</f>
        <v>0</v>
      </c>
      <c r="CH19" s="134">
        <f>BN19*'Thai input'!$K4</f>
        <v>0</v>
      </c>
      <c r="CI19" s="134">
        <f>BO19*'Thai input'!$K4</f>
        <v>0</v>
      </c>
      <c r="CJ19" s="166">
        <f>BP19*'Thai input'!$K4</f>
        <v>0</v>
      </c>
      <c r="CK19" s="253">
        <v>39.775852379323055</v>
      </c>
      <c r="CL19" s="253">
        <v>30.880153762112659</v>
      </c>
      <c r="CM19" s="253">
        <v>26.415966518519792</v>
      </c>
      <c r="CN19" s="253">
        <v>28.2555412866942</v>
      </c>
      <c r="CO19" s="253">
        <v>26.932342207540607</v>
      </c>
      <c r="CP19" s="253">
        <v>17.05862825600072</v>
      </c>
      <c r="CQ19" s="253">
        <v>15.183203044049282</v>
      </c>
      <c r="CR19" s="253">
        <v>14.322983319748673</v>
      </c>
      <c r="CS19" s="253"/>
      <c r="CT19" s="254">
        <v>11.83129331148055</v>
      </c>
      <c r="CU19" s="254">
        <v>18.925041170451312</v>
      </c>
      <c r="CV19" s="239"/>
      <c r="CW19" s="239"/>
      <c r="CX19" s="254">
        <v>14.123777398502911</v>
      </c>
      <c r="CY19" s="239"/>
      <c r="CZ19" s="239"/>
      <c r="DA19" s="239"/>
      <c r="DB19" s="239"/>
      <c r="DC19" s="239"/>
      <c r="DD19" s="240"/>
      <c r="DE19" s="182">
        <f>IFERROR((CK19-I19)/I19,0)</f>
        <v>0</v>
      </c>
      <c r="DF19" s="183">
        <f t="shared" ref="DF19:DU24" si="2">IFERROR((CL19-J19)/J19,0)</f>
        <v>0</v>
      </c>
      <c r="DG19" s="183">
        <f t="shared" si="2"/>
        <v>0</v>
      </c>
      <c r="DH19" s="183">
        <f t="shared" si="2"/>
        <v>0</v>
      </c>
      <c r="DI19" s="183">
        <f t="shared" si="2"/>
        <v>0</v>
      </c>
      <c r="DJ19" s="183">
        <f t="shared" si="2"/>
        <v>0</v>
      </c>
      <c r="DK19" s="183">
        <f t="shared" si="2"/>
        <v>0</v>
      </c>
      <c r="DL19" s="183">
        <f t="shared" si="2"/>
        <v>0</v>
      </c>
      <c r="DM19" s="183">
        <f t="shared" si="2"/>
        <v>0</v>
      </c>
      <c r="DN19" s="183">
        <f t="shared" si="2"/>
        <v>0</v>
      </c>
      <c r="DO19" s="183">
        <f t="shared" si="2"/>
        <v>0</v>
      </c>
      <c r="DP19" s="183">
        <f t="shared" si="2"/>
        <v>0</v>
      </c>
      <c r="DQ19" s="183">
        <f t="shared" si="2"/>
        <v>0</v>
      </c>
      <c r="DR19" s="183">
        <f t="shared" si="2"/>
        <v>0</v>
      </c>
      <c r="DS19" s="183">
        <f t="shared" si="2"/>
        <v>0</v>
      </c>
      <c r="DT19" s="183">
        <f t="shared" si="2"/>
        <v>0</v>
      </c>
      <c r="DU19" s="183">
        <f t="shared" si="2"/>
        <v>0</v>
      </c>
      <c r="DV19" s="183">
        <f t="shared" ref="DV19:DX24" si="3">IFERROR((DB19-Z19)/Z19,0)</f>
        <v>0</v>
      </c>
      <c r="DW19" s="183">
        <f t="shared" si="3"/>
        <v>0</v>
      </c>
      <c r="DX19" s="189">
        <f t="shared" si="3"/>
        <v>0</v>
      </c>
      <c r="DY19" s="182">
        <f>DE19*AC19</f>
        <v>0</v>
      </c>
      <c r="DZ19" s="183">
        <f t="shared" ref="DZ19:ER24" si="4">DF19*AD19</f>
        <v>0</v>
      </c>
      <c r="EA19" s="183">
        <f t="shared" si="4"/>
        <v>0</v>
      </c>
      <c r="EB19" s="183">
        <f t="shared" si="4"/>
        <v>0</v>
      </c>
      <c r="EC19" s="183">
        <f t="shared" si="4"/>
        <v>0</v>
      </c>
      <c r="ED19" s="183">
        <f t="shared" si="4"/>
        <v>0</v>
      </c>
      <c r="EE19" s="183">
        <f t="shared" si="4"/>
        <v>0</v>
      </c>
      <c r="EF19" s="183">
        <f t="shared" si="4"/>
        <v>0</v>
      </c>
      <c r="EG19" s="183">
        <f t="shared" si="4"/>
        <v>0</v>
      </c>
      <c r="EH19" s="183">
        <f t="shared" si="4"/>
        <v>0</v>
      </c>
      <c r="EI19" s="183">
        <f t="shared" si="4"/>
        <v>0</v>
      </c>
      <c r="EJ19" s="183">
        <f t="shared" si="4"/>
        <v>0</v>
      </c>
      <c r="EK19" s="183">
        <f t="shared" si="4"/>
        <v>0</v>
      </c>
      <c r="EL19" s="183">
        <f t="shared" si="4"/>
        <v>0</v>
      </c>
      <c r="EM19" s="183">
        <f t="shared" si="4"/>
        <v>0</v>
      </c>
      <c r="EN19" s="183">
        <f t="shared" si="4"/>
        <v>0</v>
      </c>
      <c r="EO19" s="183">
        <f t="shared" si="4"/>
        <v>0</v>
      </c>
      <c r="EP19" s="183">
        <f t="shared" si="4"/>
        <v>0</v>
      </c>
      <c r="EQ19" s="183">
        <f t="shared" si="4"/>
        <v>0</v>
      </c>
      <c r="ER19" s="189">
        <f t="shared" si="4"/>
        <v>0</v>
      </c>
      <c r="ES19" s="16">
        <f>DY19*AW19</f>
        <v>0</v>
      </c>
      <c r="ET19" s="16">
        <f t="shared" ref="ET19:FI24" si="5">DZ19*AX19</f>
        <v>0</v>
      </c>
      <c r="EU19" s="16">
        <f t="shared" si="5"/>
        <v>0</v>
      </c>
      <c r="EV19" s="16">
        <f t="shared" si="5"/>
        <v>0</v>
      </c>
      <c r="EW19" s="16">
        <f t="shared" si="5"/>
        <v>0</v>
      </c>
      <c r="EX19" s="16">
        <f t="shared" si="5"/>
        <v>0</v>
      </c>
      <c r="EY19" s="16">
        <f t="shared" si="5"/>
        <v>0</v>
      </c>
      <c r="EZ19" s="16">
        <f t="shared" si="5"/>
        <v>0</v>
      </c>
      <c r="FA19" s="16">
        <f t="shared" si="5"/>
        <v>0</v>
      </c>
      <c r="FB19" s="16">
        <f t="shared" si="5"/>
        <v>0</v>
      </c>
      <c r="FC19" s="16">
        <f t="shared" si="5"/>
        <v>0</v>
      </c>
      <c r="FD19" s="16">
        <f t="shared" si="5"/>
        <v>0</v>
      </c>
      <c r="FE19" s="16">
        <f t="shared" si="5"/>
        <v>0</v>
      </c>
      <c r="FF19" s="16">
        <f t="shared" si="5"/>
        <v>0</v>
      </c>
      <c r="FG19" s="16">
        <f t="shared" si="5"/>
        <v>0</v>
      </c>
      <c r="FH19" s="16">
        <f t="shared" si="5"/>
        <v>0</v>
      </c>
      <c r="FI19" s="16">
        <f t="shared" si="5"/>
        <v>0</v>
      </c>
      <c r="FJ19" s="16">
        <f t="shared" ref="FJ19:FL24" si="6">EP19*BN19</f>
        <v>0</v>
      </c>
      <c r="FK19" s="16">
        <f t="shared" si="6"/>
        <v>0</v>
      </c>
      <c r="FL19" s="16">
        <f t="shared" si="6"/>
        <v>0</v>
      </c>
      <c r="FM19" s="16">
        <f>SUM(ES19:FL19)</f>
        <v>0</v>
      </c>
      <c r="FN19" s="16">
        <v>39.775852379323055</v>
      </c>
      <c r="FO19" s="16">
        <v>30.880153762112659</v>
      </c>
      <c r="FP19" s="16">
        <v>26.415966518519792</v>
      </c>
      <c r="FQ19" s="16">
        <v>28.2555412866942</v>
      </c>
      <c r="FR19" s="16">
        <v>26.932342207540607</v>
      </c>
      <c r="FS19" s="16">
        <v>17.05862825600072</v>
      </c>
      <c r="FT19" s="16">
        <v>15.183203044049282</v>
      </c>
      <c r="FU19" s="16">
        <v>14.322983319748673</v>
      </c>
      <c r="FV19" s="16">
        <v>15.447497661365762</v>
      </c>
      <c r="FW19" s="16">
        <v>11.83129331148055</v>
      </c>
      <c r="FX19" s="16">
        <v>18.925041170451312</v>
      </c>
      <c r="FY19" s="16"/>
      <c r="FZ19" s="16"/>
      <c r="GA19" s="16">
        <v>14.123777398502911</v>
      </c>
      <c r="GB19" s="16"/>
      <c r="GC19" s="16"/>
      <c r="GD19" s="16"/>
      <c r="GE19" s="16"/>
      <c r="GF19" s="16"/>
      <c r="GG19" s="16"/>
      <c r="GH19" s="195">
        <f t="shared" ref="GH19:HA19" si="7">(AW19+BQ19)*(FN19-(FN19*(1+DE19)))</f>
        <v>0</v>
      </c>
      <c r="GI19" s="195">
        <f t="shared" si="7"/>
        <v>0</v>
      </c>
      <c r="GJ19" s="195">
        <f t="shared" si="7"/>
        <v>0</v>
      </c>
      <c r="GK19" s="195">
        <f t="shared" si="7"/>
        <v>0</v>
      </c>
      <c r="GL19" s="195">
        <f t="shared" si="7"/>
        <v>0</v>
      </c>
      <c r="GM19" s="195">
        <f t="shared" si="7"/>
        <v>0</v>
      </c>
      <c r="GN19" s="195">
        <f t="shared" si="7"/>
        <v>0</v>
      </c>
      <c r="GO19" s="195">
        <f t="shared" si="7"/>
        <v>0</v>
      </c>
      <c r="GP19" s="195">
        <f t="shared" si="7"/>
        <v>0</v>
      </c>
      <c r="GQ19" s="195">
        <f t="shared" si="7"/>
        <v>0</v>
      </c>
      <c r="GR19" s="195">
        <f t="shared" si="7"/>
        <v>0</v>
      </c>
      <c r="GS19" s="195">
        <f t="shared" si="7"/>
        <v>0</v>
      </c>
      <c r="GT19" s="195">
        <f t="shared" si="7"/>
        <v>0</v>
      </c>
      <c r="GU19" s="195">
        <f t="shared" si="7"/>
        <v>0</v>
      </c>
      <c r="GV19" s="195">
        <f t="shared" si="7"/>
        <v>0</v>
      </c>
      <c r="GW19" s="195">
        <f t="shared" si="7"/>
        <v>0</v>
      </c>
      <c r="GX19" s="195">
        <f t="shared" si="7"/>
        <v>0</v>
      </c>
      <c r="GY19" s="195">
        <f t="shared" si="7"/>
        <v>0</v>
      </c>
      <c r="GZ19" s="195">
        <f t="shared" si="7"/>
        <v>0</v>
      </c>
      <c r="HA19" s="195">
        <f t="shared" si="7"/>
        <v>0</v>
      </c>
      <c r="HB19" s="194">
        <f>SUM(GH19:HA19)</f>
        <v>0</v>
      </c>
    </row>
    <row r="20" spans="1:252" ht="15.75" thickBot="1" x14ac:dyDescent="0.3">
      <c r="G20" s="37" t="s">
        <v>74</v>
      </c>
      <c r="H20" s="124" t="s">
        <v>30</v>
      </c>
      <c r="I20" s="135"/>
      <c r="J20" s="125"/>
      <c r="K20" s="125">
        <v>28.926823216031032</v>
      </c>
      <c r="L20" s="125"/>
      <c r="M20" s="125"/>
      <c r="N20" s="125"/>
      <c r="O20" s="125"/>
      <c r="P20" s="125"/>
      <c r="Q20" s="23"/>
      <c r="R20" s="23">
        <v>10.077486339993728</v>
      </c>
      <c r="S20" s="23">
        <v>18.4945796448972</v>
      </c>
      <c r="T20" s="23">
        <v>14.13137292017319</v>
      </c>
      <c r="U20" s="23">
        <v>15.967553528361877</v>
      </c>
      <c r="V20" s="23">
        <v>14.626126006371658</v>
      </c>
      <c r="W20" s="23">
        <v>10.367940728580532</v>
      </c>
      <c r="X20" s="23"/>
      <c r="Y20" s="23"/>
      <c r="Z20" s="23"/>
      <c r="AA20" s="23"/>
      <c r="AB20" s="151"/>
      <c r="AC20" s="156"/>
      <c r="AD20" s="144"/>
      <c r="AE20" s="11">
        <v>-1.9964617216320666</v>
      </c>
      <c r="AF20" s="144"/>
      <c r="AG20" s="144"/>
      <c r="AH20" s="144"/>
      <c r="AI20" s="144"/>
      <c r="AJ20" s="144"/>
      <c r="AK20" s="11">
        <v>-1.3579826890188398</v>
      </c>
      <c r="AL20" s="11">
        <v>-0.24152690353913259</v>
      </c>
      <c r="AM20" s="24"/>
      <c r="AN20" s="11">
        <v>-0.7741135088541321</v>
      </c>
      <c r="AO20" s="24"/>
      <c r="AP20" s="11">
        <v>-1.2353875458571664</v>
      </c>
      <c r="AQ20" s="11">
        <v>-1.6144472370227569</v>
      </c>
      <c r="AR20" s="24"/>
      <c r="AS20" s="24"/>
      <c r="AT20" s="24"/>
      <c r="AU20" s="24"/>
      <c r="AV20" s="161"/>
      <c r="AW20" s="165">
        <f>'Thai input'!G52</f>
        <v>0</v>
      </c>
      <c r="AX20" s="165">
        <f>'Thai input'!H52</f>
        <v>0</v>
      </c>
      <c r="AY20" s="165">
        <f>'Thai input'!I52</f>
        <v>3168921</v>
      </c>
      <c r="AZ20" s="165">
        <f>'Thai input'!J52</f>
        <v>0</v>
      </c>
      <c r="BA20" s="165">
        <f>'Thai input'!K52</f>
        <v>0</v>
      </c>
      <c r="BB20" s="165">
        <f>'Thai input'!L52</f>
        <v>0</v>
      </c>
      <c r="BC20" s="165">
        <f>'Thai input'!M52</f>
        <v>0</v>
      </c>
      <c r="BD20" s="165">
        <f>'Thai input'!N52</f>
        <v>0</v>
      </c>
      <c r="BE20" s="165">
        <f>'Thai input'!O52</f>
        <v>163962</v>
      </c>
      <c r="BF20" s="165">
        <f>'Thai input'!P52</f>
        <v>657271</v>
      </c>
      <c r="BG20" s="165">
        <f>'Thai input'!Q52</f>
        <v>1593815</v>
      </c>
      <c r="BH20" s="165">
        <f>'Thai input'!R52</f>
        <v>692173</v>
      </c>
      <c r="BI20" s="165">
        <f>'Thai input'!S52</f>
        <v>98989</v>
      </c>
      <c r="BJ20" s="165">
        <f>'Thai input'!T52</f>
        <v>1025372</v>
      </c>
      <c r="BK20" s="165">
        <f>'Thai input'!U52</f>
        <v>167140</v>
      </c>
      <c r="BL20" s="165">
        <f>'Thai input'!V52</f>
        <v>0</v>
      </c>
      <c r="BM20" s="165">
        <f>'Thai input'!W52</f>
        <v>0</v>
      </c>
      <c r="BN20" s="165">
        <f>'Thai input'!X52</f>
        <v>0</v>
      </c>
      <c r="BO20" s="165">
        <f>'Thai input'!Y52</f>
        <v>0</v>
      </c>
      <c r="BP20" s="165">
        <f>'Thai input'!Z52</f>
        <v>0</v>
      </c>
      <c r="BQ20" s="167">
        <f>AW20*'Thai input'!$K5</f>
        <v>0</v>
      </c>
      <c r="BR20" s="16">
        <f>AX20*'Thai input'!$K5</f>
        <v>0</v>
      </c>
      <c r="BS20" s="16">
        <f>AY20*'Thai input'!$K5</f>
        <v>659135.56799999997</v>
      </c>
      <c r="BT20" s="16">
        <f>AZ20*'Thai input'!$K5</f>
        <v>0</v>
      </c>
      <c r="BU20" s="16">
        <f>BA20*'Thai input'!$K5</f>
        <v>0</v>
      </c>
      <c r="BV20" s="16">
        <f>BB20*'Thai input'!$K5</f>
        <v>0</v>
      </c>
      <c r="BW20" s="16">
        <f>BC20*'Thai input'!$K5</f>
        <v>0</v>
      </c>
      <c r="BX20" s="16">
        <f>BD20*'Thai input'!$K5</f>
        <v>0</v>
      </c>
      <c r="BY20" s="16">
        <f>BE20*'Thai input'!$K5</f>
        <v>34104.095999999998</v>
      </c>
      <c r="BZ20" s="16">
        <f>BF20*'Thai input'!$K5</f>
        <v>136712.36799999999</v>
      </c>
      <c r="CA20" s="16">
        <f>BG20*'Thai input'!$K5</f>
        <v>331513.51999999996</v>
      </c>
      <c r="CB20" s="16">
        <f>BH20*'Thai input'!$K5</f>
        <v>143971.984</v>
      </c>
      <c r="CC20" s="16">
        <f>BI20*'Thai input'!$K5</f>
        <v>20589.712</v>
      </c>
      <c r="CD20" s="16">
        <f>BJ20*'Thai input'!$K5</f>
        <v>213277.37599999999</v>
      </c>
      <c r="CE20" s="16">
        <f>BK20*'Thai input'!$K5</f>
        <v>34765.119999999995</v>
      </c>
      <c r="CF20" s="16">
        <f>BL20*'Thai input'!$K5</f>
        <v>0</v>
      </c>
      <c r="CG20" s="16">
        <f>BM20*'Thai input'!$K5</f>
        <v>0</v>
      </c>
      <c r="CH20" s="16">
        <f>BN20*'Thai input'!$K5</f>
        <v>0</v>
      </c>
      <c r="CI20" s="16">
        <f>BO20*'Thai input'!$K5</f>
        <v>0</v>
      </c>
      <c r="CJ20" s="168">
        <f>BP20*'Thai input'!$K5</f>
        <v>0</v>
      </c>
      <c r="CK20" s="241"/>
      <c r="CL20" s="242"/>
      <c r="CM20" s="253">
        <v>28.926823216031032</v>
      </c>
      <c r="CN20" s="242"/>
      <c r="CO20" s="242"/>
      <c r="CP20" s="242"/>
      <c r="CQ20" s="242"/>
      <c r="CR20" s="242"/>
      <c r="CS20" s="242"/>
      <c r="CT20" s="255">
        <v>10.077486339993728</v>
      </c>
      <c r="CU20" s="255">
        <v>18.4945796448972</v>
      </c>
      <c r="CV20" s="255">
        <v>14.13137292017319</v>
      </c>
      <c r="CW20" s="255">
        <v>15.967553528361877</v>
      </c>
      <c r="CX20" s="255">
        <v>14.626126006371658</v>
      </c>
      <c r="CY20" s="255">
        <v>10.367940728580532</v>
      </c>
      <c r="CZ20" s="242"/>
      <c r="DA20" s="242"/>
      <c r="DB20" s="242"/>
      <c r="DC20" s="242"/>
      <c r="DD20" s="243"/>
      <c r="DE20" s="184">
        <f t="shared" ref="DE20:DE24" si="8">IFERROR((CK20-I20)/I20,0)</f>
        <v>0</v>
      </c>
      <c r="DF20" s="181">
        <f t="shared" si="2"/>
        <v>0</v>
      </c>
      <c r="DG20" s="181">
        <f t="shared" si="2"/>
        <v>0</v>
      </c>
      <c r="DH20" s="181">
        <f t="shared" si="2"/>
        <v>0</v>
      </c>
      <c r="DI20" s="181">
        <f t="shared" si="2"/>
        <v>0</v>
      </c>
      <c r="DJ20" s="181">
        <f t="shared" si="2"/>
        <v>0</v>
      </c>
      <c r="DK20" s="181">
        <f t="shared" si="2"/>
        <v>0</v>
      </c>
      <c r="DL20" s="181">
        <f t="shared" si="2"/>
        <v>0</v>
      </c>
      <c r="DM20" s="181">
        <f t="shared" si="2"/>
        <v>0</v>
      </c>
      <c r="DN20" s="181">
        <f t="shared" si="2"/>
        <v>0</v>
      </c>
      <c r="DO20" s="181">
        <f t="shared" si="2"/>
        <v>0</v>
      </c>
      <c r="DP20" s="181">
        <f t="shared" si="2"/>
        <v>0</v>
      </c>
      <c r="DQ20" s="181">
        <f t="shared" si="2"/>
        <v>0</v>
      </c>
      <c r="DR20" s="181">
        <f t="shared" si="2"/>
        <v>0</v>
      </c>
      <c r="DS20" s="181">
        <f t="shared" si="2"/>
        <v>0</v>
      </c>
      <c r="DT20" s="181">
        <f t="shared" si="2"/>
        <v>0</v>
      </c>
      <c r="DU20" s="181">
        <f t="shared" si="2"/>
        <v>0</v>
      </c>
      <c r="DV20" s="181">
        <f t="shared" si="3"/>
        <v>0</v>
      </c>
      <c r="DW20" s="181">
        <f t="shared" si="3"/>
        <v>0</v>
      </c>
      <c r="DX20" s="190">
        <f t="shared" si="3"/>
        <v>0</v>
      </c>
      <c r="DY20" s="184">
        <f t="shared" ref="DY20:DY24" si="9">DE20*AC20</f>
        <v>0</v>
      </c>
      <c r="DZ20" s="181">
        <f t="shared" si="4"/>
        <v>0</v>
      </c>
      <c r="EA20" s="181">
        <f t="shared" si="4"/>
        <v>0</v>
      </c>
      <c r="EB20" s="181">
        <f t="shared" si="4"/>
        <v>0</v>
      </c>
      <c r="EC20" s="181">
        <f t="shared" si="4"/>
        <v>0</v>
      </c>
      <c r="ED20" s="181">
        <f t="shared" si="4"/>
        <v>0</v>
      </c>
      <c r="EE20" s="181">
        <f t="shared" si="4"/>
        <v>0</v>
      </c>
      <c r="EF20" s="181">
        <f t="shared" si="4"/>
        <v>0</v>
      </c>
      <c r="EG20" s="181">
        <f t="shared" si="4"/>
        <v>0</v>
      </c>
      <c r="EH20" s="181">
        <f t="shared" si="4"/>
        <v>0</v>
      </c>
      <c r="EI20" s="181">
        <f t="shared" si="4"/>
        <v>0</v>
      </c>
      <c r="EJ20" s="181">
        <f t="shared" si="4"/>
        <v>0</v>
      </c>
      <c r="EK20" s="181">
        <f t="shared" si="4"/>
        <v>0</v>
      </c>
      <c r="EL20" s="181">
        <f t="shared" si="4"/>
        <v>0</v>
      </c>
      <c r="EM20" s="181">
        <f t="shared" si="4"/>
        <v>0</v>
      </c>
      <c r="EN20" s="181">
        <f t="shared" si="4"/>
        <v>0</v>
      </c>
      <c r="EO20" s="181">
        <f t="shared" si="4"/>
        <v>0</v>
      </c>
      <c r="EP20" s="181">
        <f t="shared" si="4"/>
        <v>0</v>
      </c>
      <c r="EQ20" s="181">
        <f t="shared" si="4"/>
        <v>0</v>
      </c>
      <c r="ER20" s="190">
        <f t="shared" si="4"/>
        <v>0</v>
      </c>
      <c r="ES20" s="16">
        <f t="shared" ref="ES20:ES24" si="10">DY20*AW20</f>
        <v>0</v>
      </c>
      <c r="ET20" s="16">
        <f t="shared" si="5"/>
        <v>0</v>
      </c>
      <c r="EU20" s="16">
        <f t="shared" si="5"/>
        <v>0</v>
      </c>
      <c r="EV20" s="16">
        <f t="shared" si="5"/>
        <v>0</v>
      </c>
      <c r="EW20" s="16">
        <f t="shared" si="5"/>
        <v>0</v>
      </c>
      <c r="EX20" s="16">
        <f t="shared" si="5"/>
        <v>0</v>
      </c>
      <c r="EY20" s="16">
        <f t="shared" si="5"/>
        <v>0</v>
      </c>
      <c r="EZ20" s="16">
        <f t="shared" si="5"/>
        <v>0</v>
      </c>
      <c r="FA20" s="16">
        <f t="shared" si="5"/>
        <v>0</v>
      </c>
      <c r="FB20" s="16">
        <f t="shared" si="5"/>
        <v>0</v>
      </c>
      <c r="FC20" s="16">
        <f t="shared" si="5"/>
        <v>0</v>
      </c>
      <c r="FD20" s="16">
        <f t="shared" si="5"/>
        <v>0</v>
      </c>
      <c r="FE20" s="16">
        <f t="shared" si="5"/>
        <v>0</v>
      </c>
      <c r="FF20" s="16">
        <f t="shared" si="5"/>
        <v>0</v>
      </c>
      <c r="FG20" s="16">
        <f t="shared" si="5"/>
        <v>0</v>
      </c>
      <c r="FH20" s="16">
        <f t="shared" si="5"/>
        <v>0</v>
      </c>
      <c r="FI20" s="16">
        <f t="shared" si="5"/>
        <v>0</v>
      </c>
      <c r="FJ20" s="16">
        <f t="shared" si="6"/>
        <v>0</v>
      </c>
      <c r="FK20" s="16">
        <f t="shared" si="6"/>
        <v>0</v>
      </c>
      <c r="FL20" s="16">
        <f t="shared" si="6"/>
        <v>0</v>
      </c>
      <c r="FM20" s="16">
        <f t="shared" ref="FM20:FM24" si="11">SUM(ES20:FL20)</f>
        <v>0</v>
      </c>
      <c r="FN20" s="16"/>
      <c r="FO20" s="16"/>
      <c r="FP20" s="16">
        <v>28.926823216031032</v>
      </c>
      <c r="FQ20" s="16"/>
      <c r="FR20" s="16"/>
      <c r="FS20" s="16"/>
      <c r="FT20" s="16"/>
      <c r="FU20" s="16"/>
      <c r="FV20" s="16">
        <v>15.976377952755904</v>
      </c>
      <c r="FW20" s="16">
        <v>10.077486339993728</v>
      </c>
      <c r="FX20" s="16">
        <v>18.4945796448972</v>
      </c>
      <c r="FY20" s="16">
        <v>14.13137292017319</v>
      </c>
      <c r="FZ20" s="16">
        <v>15.967553528361877</v>
      </c>
      <c r="GA20" s="16">
        <v>14.626126006371658</v>
      </c>
      <c r="GB20" s="16">
        <v>10.367940728580532</v>
      </c>
      <c r="GC20" s="16"/>
      <c r="GD20" s="16"/>
      <c r="GE20" s="16"/>
      <c r="GF20" s="16"/>
      <c r="GG20" s="16"/>
      <c r="GH20" s="195">
        <f t="shared" ref="GH20:GW21" si="12">(AW20+BQ20)*(FN20-(FN20*(1+DE20)))</f>
        <v>0</v>
      </c>
      <c r="GI20" s="195">
        <f t="shared" si="12"/>
        <v>0</v>
      </c>
      <c r="GJ20" s="195">
        <f t="shared" si="12"/>
        <v>0</v>
      </c>
      <c r="GK20" s="195">
        <f t="shared" si="12"/>
        <v>0</v>
      </c>
      <c r="GL20" s="195">
        <f t="shared" si="12"/>
        <v>0</v>
      </c>
      <c r="GM20" s="195">
        <f t="shared" si="12"/>
        <v>0</v>
      </c>
      <c r="GN20" s="195">
        <f t="shared" si="12"/>
        <v>0</v>
      </c>
      <c r="GO20" s="195">
        <f t="shared" si="12"/>
        <v>0</v>
      </c>
      <c r="GP20" s="195">
        <f t="shared" si="12"/>
        <v>0</v>
      </c>
      <c r="GQ20" s="195">
        <f t="shared" si="12"/>
        <v>0</v>
      </c>
      <c r="GR20" s="195">
        <f t="shared" si="12"/>
        <v>0</v>
      </c>
      <c r="GS20" s="195">
        <f t="shared" si="12"/>
        <v>0</v>
      </c>
      <c r="GT20" s="195">
        <f t="shared" si="12"/>
        <v>0</v>
      </c>
      <c r="GU20" s="195">
        <f t="shared" si="12"/>
        <v>0</v>
      </c>
      <c r="GV20" s="195">
        <f t="shared" si="12"/>
        <v>0</v>
      </c>
      <c r="GW20" s="195">
        <f t="shared" si="12"/>
        <v>0</v>
      </c>
      <c r="GX20" s="195">
        <f t="shared" ref="GX20:HA21" si="13">(BM20+CG20)*(GD20-(GD20*(1+DU20)))</f>
        <v>0</v>
      </c>
      <c r="GY20" s="195">
        <f t="shared" si="13"/>
        <v>0</v>
      </c>
      <c r="GZ20" s="195">
        <f t="shared" si="13"/>
        <v>0</v>
      </c>
      <c r="HA20" s="195">
        <f t="shared" si="13"/>
        <v>0</v>
      </c>
      <c r="HB20" s="194">
        <f t="shared" ref="HB20:HB21" si="14">SUM(GH20:HA20)</f>
        <v>0</v>
      </c>
      <c r="HY20" s="539" t="s">
        <v>137</v>
      </c>
      <c r="HZ20" s="540"/>
      <c r="IA20" s="540"/>
      <c r="IB20" s="540"/>
      <c r="IC20" s="540"/>
      <c r="ID20" s="540"/>
      <c r="IE20" s="540"/>
      <c r="IF20" s="540"/>
      <c r="IG20" s="540"/>
      <c r="IH20" s="540"/>
      <c r="II20" s="540"/>
      <c r="IJ20" s="540"/>
      <c r="IK20" s="540"/>
      <c r="IL20" s="540"/>
      <c r="IM20" s="540"/>
      <c r="IN20" s="540"/>
      <c r="IO20" s="540"/>
      <c r="IP20" s="540"/>
      <c r="IQ20" s="540"/>
      <c r="IR20" s="541"/>
    </row>
    <row r="21" spans="1:252" ht="15.75" thickBot="1" x14ac:dyDescent="0.3">
      <c r="C21" t="s">
        <v>224</v>
      </c>
      <c r="G21" s="37" t="s">
        <v>74</v>
      </c>
      <c r="H21" s="124" t="s">
        <v>38</v>
      </c>
      <c r="I21" s="136"/>
      <c r="J21" s="137"/>
      <c r="K21" s="137">
        <v>29.479149059948661</v>
      </c>
      <c r="L21" s="137">
        <v>29.542317471848889</v>
      </c>
      <c r="M21" s="137"/>
      <c r="N21" s="137"/>
      <c r="O21" s="137"/>
      <c r="P21" s="137"/>
      <c r="Q21" s="25"/>
      <c r="R21" s="25"/>
      <c r="S21" s="25"/>
      <c r="T21" s="25"/>
      <c r="U21" s="25"/>
      <c r="V21" s="25">
        <v>12.524858109043448</v>
      </c>
      <c r="W21" s="25"/>
      <c r="X21" s="25"/>
      <c r="Y21" s="25">
        <v>14.302068492427839</v>
      </c>
      <c r="Z21" s="25">
        <v>14.132208560096787</v>
      </c>
      <c r="AA21" s="25">
        <v>10.486109047737465</v>
      </c>
      <c r="AB21" s="152">
        <v>10.029355963188261</v>
      </c>
      <c r="AC21" s="157"/>
      <c r="AD21" s="145"/>
      <c r="AE21" s="140">
        <v>-8.6036236984235931E-2</v>
      </c>
      <c r="AF21" s="140">
        <v>-0.27228653042776341</v>
      </c>
      <c r="AG21" s="145"/>
      <c r="AH21" s="145"/>
      <c r="AI21" s="145"/>
      <c r="AJ21" s="145"/>
      <c r="AK21" s="146"/>
      <c r="AL21" s="146"/>
      <c r="AM21" s="146"/>
      <c r="AN21" s="146"/>
      <c r="AO21" s="146"/>
      <c r="AP21" s="140">
        <v>-0.55996564997299236</v>
      </c>
      <c r="AQ21" s="146"/>
      <c r="AR21" s="140">
        <v>-0.61114499746997086</v>
      </c>
      <c r="AS21" s="140">
        <v>-0.99287033655828483</v>
      </c>
      <c r="AT21" s="140">
        <v>-0.61611378208246192</v>
      </c>
      <c r="AU21" s="140">
        <v>-1.1057394564139111</v>
      </c>
      <c r="AV21" s="162">
        <v>-0.62092537819194671</v>
      </c>
      <c r="AW21" s="165">
        <f>'Thai input'!G53</f>
        <v>0</v>
      </c>
      <c r="AX21" s="165">
        <f>'Thai input'!H53</f>
        <v>0</v>
      </c>
      <c r="AY21" s="165">
        <f>'Thai input'!I53</f>
        <v>864022</v>
      </c>
      <c r="AZ21" s="165">
        <f>'Thai input'!J53</f>
        <v>459199</v>
      </c>
      <c r="BA21" s="165">
        <f>'Thai input'!K53</f>
        <v>0</v>
      </c>
      <c r="BB21" s="165">
        <f>'Thai input'!L53</f>
        <v>0</v>
      </c>
      <c r="BC21" s="165">
        <f>'Thai input'!M53</f>
        <v>0</v>
      </c>
      <c r="BD21" s="165">
        <f>'Thai input'!N53</f>
        <v>0</v>
      </c>
      <c r="BE21" s="165">
        <f>'Thai input'!O53</f>
        <v>0</v>
      </c>
      <c r="BF21" s="165">
        <f>'Thai input'!P53</f>
        <v>0</v>
      </c>
      <c r="BG21" s="165">
        <f>'Thai input'!Q53</f>
        <v>0</v>
      </c>
      <c r="BH21" s="165">
        <f>'Thai input'!R53</f>
        <v>0</v>
      </c>
      <c r="BI21" s="165">
        <f>'Thai input'!S53</f>
        <v>0</v>
      </c>
      <c r="BJ21" s="165">
        <f>'Thai input'!T53</f>
        <v>0</v>
      </c>
      <c r="BK21" s="165">
        <f>'Thai input'!U53</f>
        <v>0</v>
      </c>
      <c r="BL21" s="165">
        <f>'Thai input'!V53</f>
        <v>52029</v>
      </c>
      <c r="BM21" s="165">
        <f>'Thai input'!W53</f>
        <v>176060</v>
      </c>
      <c r="BN21" s="165">
        <f>'Thai input'!X53</f>
        <v>655390</v>
      </c>
      <c r="BO21" s="165">
        <f>'Thai input'!Y53</f>
        <v>3445036</v>
      </c>
      <c r="BP21" s="165">
        <f>'Thai input'!Z53</f>
        <v>1001763</v>
      </c>
      <c r="BQ21" s="178">
        <f>AW21*'Thai input'!$K6</f>
        <v>0</v>
      </c>
      <c r="BR21" s="179">
        <f>AX21*'Thai input'!$K6</f>
        <v>0</v>
      </c>
      <c r="BS21" s="179">
        <f>AY21*'Thai input'!$K6</f>
        <v>440651.22000000003</v>
      </c>
      <c r="BT21" s="179">
        <f>AZ21*'Thai input'!$K6</f>
        <v>234191.49</v>
      </c>
      <c r="BU21" s="179">
        <f>BA21*'Thai input'!$K6</f>
        <v>0</v>
      </c>
      <c r="BV21" s="179">
        <f>BB21*'Thai input'!$K6</f>
        <v>0</v>
      </c>
      <c r="BW21" s="179">
        <f>BC21*'Thai input'!$K6</f>
        <v>0</v>
      </c>
      <c r="BX21" s="179">
        <f>BD21*'Thai input'!$K6</f>
        <v>0</v>
      </c>
      <c r="BY21" s="179">
        <f>BE21*'Thai input'!$K6</f>
        <v>0</v>
      </c>
      <c r="BZ21" s="179">
        <f>BF21*'Thai input'!$K6</f>
        <v>0</v>
      </c>
      <c r="CA21" s="179">
        <f>BG21*'Thai input'!$K6</f>
        <v>0</v>
      </c>
      <c r="CB21" s="179">
        <f>BH21*'Thai input'!$K6</f>
        <v>0</v>
      </c>
      <c r="CC21" s="179">
        <f>BI21*'Thai input'!$K6</f>
        <v>0</v>
      </c>
      <c r="CD21" s="179">
        <f>BJ21*'Thai input'!$K6</f>
        <v>0</v>
      </c>
      <c r="CE21" s="179">
        <f>BK21*'Thai input'!$K6</f>
        <v>0</v>
      </c>
      <c r="CF21" s="179">
        <f>BL21*'Thai input'!$K6</f>
        <v>26534.79</v>
      </c>
      <c r="CG21" s="179">
        <f>BM21*'Thai input'!$K6</f>
        <v>89790.6</v>
      </c>
      <c r="CH21" s="179">
        <f>BN21*'Thai input'!$K6</f>
        <v>334248.90000000002</v>
      </c>
      <c r="CI21" s="179">
        <f>BO21*'Thai input'!$K6</f>
        <v>1756968.36</v>
      </c>
      <c r="CJ21" s="180">
        <f>BP21*'Thai input'!$K6</f>
        <v>510899.13</v>
      </c>
      <c r="CK21" s="244"/>
      <c r="CL21" s="245"/>
      <c r="CM21" s="253">
        <v>29.479149059948661</v>
      </c>
      <c r="CN21" s="256">
        <v>29.542317471848889</v>
      </c>
      <c r="CO21" s="245"/>
      <c r="CP21" s="245"/>
      <c r="CQ21" s="245"/>
      <c r="CR21" s="245"/>
      <c r="CS21" s="245"/>
      <c r="CT21" s="245"/>
      <c r="CU21" s="245"/>
      <c r="CV21" s="245"/>
      <c r="CW21" s="245"/>
      <c r="CX21" s="256">
        <v>12.524858109043448</v>
      </c>
      <c r="CY21" s="245"/>
      <c r="CZ21" s="245"/>
      <c r="DA21" s="256">
        <v>14.302068492427839</v>
      </c>
      <c r="DB21" s="256">
        <v>14.132208560096787</v>
      </c>
      <c r="DC21" s="256">
        <v>10.486109047737465</v>
      </c>
      <c r="DD21" s="261">
        <v>10.029355963188261</v>
      </c>
      <c r="DE21" s="185">
        <f t="shared" si="8"/>
        <v>0</v>
      </c>
      <c r="DF21" s="186">
        <f t="shared" si="2"/>
        <v>0</v>
      </c>
      <c r="DG21" s="186">
        <f t="shared" si="2"/>
        <v>0</v>
      </c>
      <c r="DH21" s="186">
        <f t="shared" si="2"/>
        <v>0</v>
      </c>
      <c r="DI21" s="186">
        <f t="shared" si="2"/>
        <v>0</v>
      </c>
      <c r="DJ21" s="186">
        <f t="shared" si="2"/>
        <v>0</v>
      </c>
      <c r="DK21" s="186">
        <f t="shared" si="2"/>
        <v>0</v>
      </c>
      <c r="DL21" s="186">
        <f t="shared" si="2"/>
        <v>0</v>
      </c>
      <c r="DM21" s="186">
        <f t="shared" si="2"/>
        <v>0</v>
      </c>
      <c r="DN21" s="186">
        <f t="shared" si="2"/>
        <v>0</v>
      </c>
      <c r="DO21" s="186">
        <f t="shared" si="2"/>
        <v>0</v>
      </c>
      <c r="DP21" s="186">
        <f t="shared" si="2"/>
        <v>0</v>
      </c>
      <c r="DQ21" s="186">
        <f t="shared" si="2"/>
        <v>0</v>
      </c>
      <c r="DR21" s="186">
        <f t="shared" si="2"/>
        <v>0</v>
      </c>
      <c r="DS21" s="186">
        <f t="shared" si="2"/>
        <v>0</v>
      </c>
      <c r="DT21" s="186">
        <f t="shared" si="2"/>
        <v>0</v>
      </c>
      <c r="DU21" s="186">
        <f t="shared" si="2"/>
        <v>0</v>
      </c>
      <c r="DV21" s="186">
        <f t="shared" si="3"/>
        <v>0</v>
      </c>
      <c r="DW21" s="186">
        <f t="shared" si="3"/>
        <v>0</v>
      </c>
      <c r="DX21" s="191">
        <f t="shared" si="3"/>
        <v>0</v>
      </c>
      <c r="DY21" s="185">
        <f t="shared" si="9"/>
        <v>0</v>
      </c>
      <c r="DZ21" s="186">
        <f t="shared" si="4"/>
        <v>0</v>
      </c>
      <c r="EA21" s="186">
        <f t="shared" si="4"/>
        <v>0</v>
      </c>
      <c r="EB21" s="186">
        <f t="shared" si="4"/>
        <v>0</v>
      </c>
      <c r="EC21" s="186">
        <f t="shared" si="4"/>
        <v>0</v>
      </c>
      <c r="ED21" s="186">
        <f t="shared" si="4"/>
        <v>0</v>
      </c>
      <c r="EE21" s="186">
        <f t="shared" si="4"/>
        <v>0</v>
      </c>
      <c r="EF21" s="186">
        <f t="shared" si="4"/>
        <v>0</v>
      </c>
      <c r="EG21" s="186">
        <f t="shared" si="4"/>
        <v>0</v>
      </c>
      <c r="EH21" s="186">
        <f t="shared" si="4"/>
        <v>0</v>
      </c>
      <c r="EI21" s="186">
        <f t="shared" si="4"/>
        <v>0</v>
      </c>
      <c r="EJ21" s="186">
        <f t="shared" si="4"/>
        <v>0</v>
      </c>
      <c r="EK21" s="186">
        <f t="shared" si="4"/>
        <v>0</v>
      </c>
      <c r="EL21" s="186">
        <f t="shared" si="4"/>
        <v>0</v>
      </c>
      <c r="EM21" s="186">
        <f t="shared" si="4"/>
        <v>0</v>
      </c>
      <c r="EN21" s="186">
        <f t="shared" si="4"/>
        <v>0</v>
      </c>
      <c r="EO21" s="186">
        <f t="shared" si="4"/>
        <v>0</v>
      </c>
      <c r="EP21" s="186">
        <f t="shared" si="4"/>
        <v>0</v>
      </c>
      <c r="EQ21" s="186">
        <f t="shared" si="4"/>
        <v>0</v>
      </c>
      <c r="ER21" s="191">
        <f t="shared" si="4"/>
        <v>0</v>
      </c>
      <c r="ES21" s="16">
        <f t="shared" si="10"/>
        <v>0</v>
      </c>
      <c r="ET21" s="16">
        <f t="shared" si="5"/>
        <v>0</v>
      </c>
      <c r="EU21" s="16">
        <f t="shared" si="5"/>
        <v>0</v>
      </c>
      <c r="EV21" s="16">
        <f t="shared" si="5"/>
        <v>0</v>
      </c>
      <c r="EW21" s="16">
        <f t="shared" si="5"/>
        <v>0</v>
      </c>
      <c r="EX21" s="16">
        <f t="shared" si="5"/>
        <v>0</v>
      </c>
      <c r="EY21" s="16">
        <f t="shared" si="5"/>
        <v>0</v>
      </c>
      <c r="EZ21" s="16">
        <f t="shared" si="5"/>
        <v>0</v>
      </c>
      <c r="FA21" s="16">
        <f t="shared" si="5"/>
        <v>0</v>
      </c>
      <c r="FB21" s="16">
        <f t="shared" si="5"/>
        <v>0</v>
      </c>
      <c r="FC21" s="16">
        <f t="shared" si="5"/>
        <v>0</v>
      </c>
      <c r="FD21" s="16">
        <f t="shared" si="5"/>
        <v>0</v>
      </c>
      <c r="FE21" s="16">
        <f t="shared" si="5"/>
        <v>0</v>
      </c>
      <c r="FF21" s="16">
        <f t="shared" si="5"/>
        <v>0</v>
      </c>
      <c r="FG21" s="16">
        <f t="shared" si="5"/>
        <v>0</v>
      </c>
      <c r="FH21" s="16">
        <f t="shared" si="5"/>
        <v>0</v>
      </c>
      <c r="FI21" s="16">
        <f t="shared" si="5"/>
        <v>0</v>
      </c>
      <c r="FJ21" s="16">
        <f t="shared" si="6"/>
        <v>0</v>
      </c>
      <c r="FK21" s="16">
        <f t="shared" si="6"/>
        <v>0</v>
      </c>
      <c r="FL21" s="16">
        <f t="shared" si="6"/>
        <v>0</v>
      </c>
      <c r="FM21" s="16">
        <f t="shared" si="11"/>
        <v>0</v>
      </c>
      <c r="FN21" s="16"/>
      <c r="FO21" s="16"/>
      <c r="FP21" s="16">
        <v>29.479149059948661</v>
      </c>
      <c r="FQ21" s="16">
        <v>29.542317471848889</v>
      </c>
      <c r="FR21" s="16"/>
      <c r="FS21" s="16"/>
      <c r="FT21" s="16"/>
      <c r="FU21" s="16"/>
      <c r="FV21" s="16"/>
      <c r="FW21" s="16"/>
      <c r="FX21" s="16"/>
      <c r="FY21" s="16"/>
      <c r="FZ21" s="16"/>
      <c r="GA21" s="16">
        <v>12.524858109043448</v>
      </c>
      <c r="GB21" s="16"/>
      <c r="GC21" s="16">
        <v>0</v>
      </c>
      <c r="GD21" s="16">
        <v>14.302068492427839</v>
      </c>
      <c r="GE21" s="16">
        <v>14.132208560096787</v>
      </c>
      <c r="GF21" s="16">
        <v>10.486109047737465</v>
      </c>
      <c r="GG21" s="16">
        <v>10.029355963188261</v>
      </c>
      <c r="GH21" s="195">
        <f t="shared" si="12"/>
        <v>0</v>
      </c>
      <c r="GI21" s="195">
        <f t="shared" si="12"/>
        <v>0</v>
      </c>
      <c r="GJ21" s="195">
        <f t="shared" si="12"/>
        <v>0</v>
      </c>
      <c r="GK21" s="195">
        <f t="shared" si="12"/>
        <v>0</v>
      </c>
      <c r="GL21" s="195">
        <f t="shared" si="12"/>
        <v>0</v>
      </c>
      <c r="GM21" s="195">
        <f t="shared" si="12"/>
        <v>0</v>
      </c>
      <c r="GN21" s="195">
        <f t="shared" si="12"/>
        <v>0</v>
      </c>
      <c r="GO21" s="195">
        <f t="shared" si="12"/>
        <v>0</v>
      </c>
      <c r="GP21" s="195">
        <f t="shared" si="12"/>
        <v>0</v>
      </c>
      <c r="GQ21" s="195">
        <f t="shared" si="12"/>
        <v>0</v>
      </c>
      <c r="GR21" s="195">
        <f t="shared" si="12"/>
        <v>0</v>
      </c>
      <c r="GS21" s="195">
        <f t="shared" si="12"/>
        <v>0</v>
      </c>
      <c r="GT21" s="195">
        <f t="shared" si="12"/>
        <v>0</v>
      </c>
      <c r="GU21" s="195">
        <f t="shared" si="12"/>
        <v>0</v>
      </c>
      <c r="GV21" s="195">
        <f t="shared" si="12"/>
        <v>0</v>
      </c>
      <c r="GW21" s="195">
        <f t="shared" si="12"/>
        <v>0</v>
      </c>
      <c r="GX21" s="195">
        <f t="shared" si="13"/>
        <v>0</v>
      </c>
      <c r="GY21" s="195">
        <f t="shared" si="13"/>
        <v>0</v>
      </c>
      <c r="GZ21" s="195">
        <f t="shared" si="13"/>
        <v>0</v>
      </c>
      <c r="HA21" s="195">
        <f t="shared" si="13"/>
        <v>0</v>
      </c>
      <c r="HB21" s="194">
        <f t="shared" si="14"/>
        <v>0</v>
      </c>
      <c r="HY21" s="126" t="s">
        <v>59</v>
      </c>
      <c r="HZ21" s="127" t="s">
        <v>60</v>
      </c>
      <c r="IA21" s="127" t="s">
        <v>62</v>
      </c>
      <c r="IB21" s="127" t="s">
        <v>61</v>
      </c>
      <c r="IC21" s="127" t="s">
        <v>17</v>
      </c>
      <c r="ID21" s="127" t="s">
        <v>18</v>
      </c>
      <c r="IE21" s="127" t="s">
        <v>63</v>
      </c>
      <c r="IF21" s="127" t="s">
        <v>64</v>
      </c>
      <c r="IG21" s="127" t="s">
        <v>22</v>
      </c>
      <c r="IH21" s="127" t="s">
        <v>70</v>
      </c>
      <c r="II21" s="127" t="s">
        <v>65</v>
      </c>
      <c r="IJ21" s="127" t="s">
        <v>66</v>
      </c>
      <c r="IK21" s="127" t="s">
        <v>35</v>
      </c>
      <c r="IL21" s="127" t="s">
        <v>36</v>
      </c>
      <c r="IM21" s="127" t="s">
        <v>37</v>
      </c>
      <c r="IN21" s="127" t="s">
        <v>39</v>
      </c>
      <c r="IO21" s="127" t="s">
        <v>42</v>
      </c>
      <c r="IP21" s="127" t="s">
        <v>67</v>
      </c>
      <c r="IQ21" s="127" t="s">
        <v>68</v>
      </c>
      <c r="IR21" s="128" t="s">
        <v>69</v>
      </c>
    </row>
    <row r="22" spans="1:252" ht="15.75" thickBot="1" x14ac:dyDescent="0.3">
      <c r="C22">
        <v>169</v>
      </c>
      <c r="G22" s="38" t="s">
        <v>75</v>
      </c>
      <c r="H22" s="123" t="s">
        <v>12</v>
      </c>
      <c r="I22" s="131">
        <v>24</v>
      </c>
      <c r="J22" s="132">
        <v>36</v>
      </c>
      <c r="K22" s="132">
        <v>20</v>
      </c>
      <c r="L22" s="132">
        <v>29</v>
      </c>
      <c r="M22" s="132">
        <v>39</v>
      </c>
      <c r="N22" s="132">
        <v>20</v>
      </c>
      <c r="O22" s="132">
        <v>17</v>
      </c>
      <c r="P22" s="133">
        <v>27</v>
      </c>
      <c r="Q22" s="132"/>
      <c r="R22" s="132">
        <v>46</v>
      </c>
      <c r="S22" s="132">
        <v>33</v>
      </c>
      <c r="T22" s="132"/>
      <c r="U22" s="132"/>
      <c r="V22" s="132">
        <v>40</v>
      </c>
      <c r="W22" s="132"/>
      <c r="X22" s="133"/>
      <c r="Y22" s="132"/>
      <c r="Z22" s="132"/>
      <c r="AA22" s="132"/>
      <c r="AB22" s="153"/>
      <c r="AC22" s="158">
        <v>1.5134459852258759</v>
      </c>
      <c r="AD22" s="147">
        <v>2.2286841367485297</v>
      </c>
      <c r="AE22" s="147">
        <v>1.0458315627822277</v>
      </c>
      <c r="AF22" s="147">
        <v>2.5205713031179724</v>
      </c>
      <c r="AG22" s="147">
        <v>0.39001739713769429</v>
      </c>
      <c r="AH22" s="147">
        <v>2.0923063652073508</v>
      </c>
      <c r="AI22" s="130">
        <v>1.0808109516444455</v>
      </c>
      <c r="AJ22" s="148">
        <v>0</v>
      </c>
      <c r="AK22" s="130">
        <v>3.5546036599906099</v>
      </c>
      <c r="AL22" s="130">
        <v>2.4336686676607262</v>
      </c>
      <c r="AM22" s="149">
        <v>0</v>
      </c>
      <c r="AN22" s="148"/>
      <c r="AO22" s="148"/>
      <c r="AP22" s="130">
        <v>5.3823458058405578</v>
      </c>
      <c r="AQ22" s="148"/>
      <c r="AR22" s="148"/>
      <c r="AS22" s="148"/>
      <c r="AT22" s="148"/>
      <c r="AU22" s="148"/>
      <c r="AV22" s="163"/>
      <c r="AW22" s="131">
        <f>AW19</f>
        <v>4774385</v>
      </c>
      <c r="AX22" s="132">
        <f t="shared" ref="AX22:BP24" si="15">AX19</f>
        <v>16208118</v>
      </c>
      <c r="AY22" s="132">
        <f t="shared" si="15"/>
        <v>11718064</v>
      </c>
      <c r="AZ22" s="132">
        <f t="shared" si="15"/>
        <v>14525525</v>
      </c>
      <c r="BA22" s="132">
        <f t="shared" si="15"/>
        <v>10107608</v>
      </c>
      <c r="BB22" s="132">
        <f t="shared" si="15"/>
        <v>8347335</v>
      </c>
      <c r="BC22" s="132">
        <f t="shared" si="15"/>
        <v>9520310</v>
      </c>
      <c r="BD22" s="132">
        <f t="shared" si="15"/>
        <v>3177242</v>
      </c>
      <c r="BE22" s="132">
        <f t="shared" si="15"/>
        <v>445675</v>
      </c>
      <c r="BF22" s="132">
        <f t="shared" si="15"/>
        <v>49250215</v>
      </c>
      <c r="BG22" s="132">
        <f t="shared" si="15"/>
        <v>3516607</v>
      </c>
      <c r="BH22" s="132">
        <f t="shared" si="15"/>
        <v>0</v>
      </c>
      <c r="BI22" s="132">
        <f t="shared" si="15"/>
        <v>0</v>
      </c>
      <c r="BJ22" s="132">
        <f t="shared" si="15"/>
        <v>2691868</v>
      </c>
      <c r="BK22" s="132">
        <f t="shared" si="15"/>
        <v>0</v>
      </c>
      <c r="BL22" s="132">
        <f t="shared" si="15"/>
        <v>0</v>
      </c>
      <c r="BM22" s="132">
        <f t="shared" si="15"/>
        <v>0</v>
      </c>
      <c r="BN22" s="132">
        <f t="shared" si="15"/>
        <v>0</v>
      </c>
      <c r="BO22" s="132">
        <f t="shared" si="15"/>
        <v>0</v>
      </c>
      <c r="BP22" s="153">
        <f t="shared" si="15"/>
        <v>0</v>
      </c>
      <c r="BQ22" s="138">
        <f>BQ19</f>
        <v>205298.55499999999</v>
      </c>
      <c r="BR22" s="129">
        <f t="shared" ref="BR22:CJ24" si="16">BR19</f>
        <v>696949.07399999991</v>
      </c>
      <c r="BS22" s="129">
        <f t="shared" si="16"/>
        <v>503876.75199999998</v>
      </c>
      <c r="BT22" s="129">
        <f t="shared" si="16"/>
        <v>624597.57499999995</v>
      </c>
      <c r="BU22" s="129">
        <f t="shared" si="16"/>
        <v>434627.14399999997</v>
      </c>
      <c r="BV22" s="129">
        <f t="shared" si="16"/>
        <v>358935.40499999997</v>
      </c>
      <c r="BW22" s="129">
        <f t="shared" si="16"/>
        <v>409373.32999999996</v>
      </c>
      <c r="BX22" s="129">
        <f t="shared" si="16"/>
        <v>136621.40599999999</v>
      </c>
      <c r="BY22" s="129">
        <f t="shared" si="16"/>
        <v>19164.024999999998</v>
      </c>
      <c r="BZ22" s="129">
        <f t="shared" si="16"/>
        <v>2117759.2449999996</v>
      </c>
      <c r="CA22" s="129">
        <f t="shared" si="16"/>
        <v>151214.101</v>
      </c>
      <c r="CB22" s="129">
        <f t="shared" si="16"/>
        <v>0</v>
      </c>
      <c r="CC22" s="129">
        <f t="shared" si="16"/>
        <v>0</v>
      </c>
      <c r="CD22" s="129">
        <f t="shared" si="16"/>
        <v>115750.32399999999</v>
      </c>
      <c r="CE22" s="129">
        <f t="shared" si="16"/>
        <v>0</v>
      </c>
      <c r="CF22" s="129">
        <f t="shared" si="16"/>
        <v>0</v>
      </c>
      <c r="CG22" s="129">
        <f t="shared" si="16"/>
        <v>0</v>
      </c>
      <c r="CH22" s="129">
        <f t="shared" si="16"/>
        <v>0</v>
      </c>
      <c r="CI22" s="129">
        <f t="shared" si="16"/>
        <v>0</v>
      </c>
      <c r="CJ22" s="177">
        <f t="shared" si="16"/>
        <v>0</v>
      </c>
      <c r="CK22" s="450">
        <v>24.48</v>
      </c>
      <c r="CL22" s="450">
        <v>36.72</v>
      </c>
      <c r="CM22" s="450">
        <v>20.399999999999999</v>
      </c>
      <c r="CN22" s="450">
        <v>29.580000000000002</v>
      </c>
      <c r="CO22" s="450">
        <v>39.78</v>
      </c>
      <c r="CP22" s="450">
        <v>20.399999999999999</v>
      </c>
      <c r="CQ22" s="450">
        <v>17.34</v>
      </c>
      <c r="CR22" s="450">
        <v>27</v>
      </c>
      <c r="CS22" s="450"/>
      <c r="CT22" s="450">
        <v>46.92</v>
      </c>
      <c r="CU22" s="450">
        <v>33</v>
      </c>
      <c r="CV22" s="450"/>
      <c r="CW22" s="450"/>
      <c r="CX22" s="450">
        <v>40.799999999999997</v>
      </c>
      <c r="CY22" s="451"/>
      <c r="CZ22" s="451"/>
      <c r="DA22" s="451"/>
      <c r="DB22" s="451"/>
      <c r="DC22" s="451"/>
      <c r="DD22" s="452"/>
      <c r="DE22" s="187">
        <f>((CK22-I22)/I22)</f>
        <v>2.0000000000000018E-2</v>
      </c>
      <c r="DF22" s="187">
        <f t="shared" ref="DF22:DL22" si="17">((CL22-J22)/J22)</f>
        <v>1.9999999999999969E-2</v>
      </c>
      <c r="DG22" s="187">
        <f t="shared" si="17"/>
        <v>1.9999999999999928E-2</v>
      </c>
      <c r="DH22" s="187">
        <f t="shared" si="17"/>
        <v>2.0000000000000063E-2</v>
      </c>
      <c r="DI22" s="187">
        <f t="shared" si="17"/>
        <v>2.0000000000000028E-2</v>
      </c>
      <c r="DJ22" s="187">
        <f t="shared" si="17"/>
        <v>1.9999999999999928E-2</v>
      </c>
      <c r="DK22" s="187">
        <f t="shared" si="17"/>
        <v>1.999999999999999E-2</v>
      </c>
      <c r="DL22" s="187">
        <f t="shared" si="17"/>
        <v>0</v>
      </c>
      <c r="DM22" s="188">
        <f t="shared" si="2"/>
        <v>0</v>
      </c>
      <c r="DN22" s="188">
        <f t="shared" si="2"/>
        <v>2.0000000000000039E-2</v>
      </c>
      <c r="DO22" s="188">
        <f t="shared" si="2"/>
        <v>0</v>
      </c>
      <c r="DP22" s="188">
        <f t="shared" si="2"/>
        <v>0</v>
      </c>
      <c r="DQ22" s="188">
        <f t="shared" si="2"/>
        <v>0</v>
      </c>
      <c r="DR22" s="188">
        <f t="shared" si="2"/>
        <v>1.9999999999999928E-2</v>
      </c>
      <c r="DS22" s="188">
        <f t="shared" si="2"/>
        <v>0</v>
      </c>
      <c r="DT22" s="188">
        <f t="shared" si="2"/>
        <v>0</v>
      </c>
      <c r="DU22" s="188">
        <f t="shared" si="2"/>
        <v>0</v>
      </c>
      <c r="DV22" s="188">
        <f t="shared" si="3"/>
        <v>0</v>
      </c>
      <c r="DW22" s="188">
        <f t="shared" si="3"/>
        <v>0</v>
      </c>
      <c r="DX22" s="192">
        <f t="shared" si="3"/>
        <v>0</v>
      </c>
      <c r="DY22" s="187">
        <f t="shared" si="9"/>
        <v>3.0268919704517547E-2</v>
      </c>
      <c r="DZ22" s="188">
        <f t="shared" si="4"/>
        <v>4.4573682734970525E-2</v>
      </c>
      <c r="EA22" s="188">
        <f t="shared" si="4"/>
        <v>2.0916631255644476E-2</v>
      </c>
      <c r="EB22" s="188">
        <f t="shared" si="4"/>
        <v>5.0411426062359606E-2</v>
      </c>
      <c r="EC22" s="188">
        <f t="shared" si="4"/>
        <v>7.8003479427538967E-3</v>
      </c>
      <c r="ED22" s="188">
        <f t="shared" si="4"/>
        <v>4.1846127304146864E-2</v>
      </c>
      <c r="EE22" s="188">
        <f t="shared" si="4"/>
        <v>2.1616219032888899E-2</v>
      </c>
      <c r="EF22" s="188">
        <f t="shared" si="4"/>
        <v>0</v>
      </c>
      <c r="EG22" s="188">
        <f t="shared" si="4"/>
        <v>0</v>
      </c>
      <c r="EH22" s="188">
        <f t="shared" si="4"/>
        <v>4.8673373353214616E-2</v>
      </c>
      <c r="EI22" s="188">
        <f t="shared" si="4"/>
        <v>0</v>
      </c>
      <c r="EJ22" s="188">
        <f t="shared" si="4"/>
        <v>0</v>
      </c>
      <c r="EK22" s="188">
        <f t="shared" si="4"/>
        <v>0</v>
      </c>
      <c r="EL22" s="188">
        <f t="shared" si="4"/>
        <v>0.10764691611681076</v>
      </c>
      <c r="EM22" s="188">
        <f t="shared" si="4"/>
        <v>0</v>
      </c>
      <c r="EN22" s="188">
        <f t="shared" si="4"/>
        <v>0</v>
      </c>
      <c r="EO22" s="188">
        <f t="shared" si="4"/>
        <v>0</v>
      </c>
      <c r="EP22" s="188">
        <f t="shared" si="4"/>
        <v>0</v>
      </c>
      <c r="EQ22" s="188">
        <f t="shared" si="4"/>
        <v>0</v>
      </c>
      <c r="ER22" s="192">
        <f t="shared" si="4"/>
        <v>0</v>
      </c>
      <c r="ES22" s="16">
        <f t="shared" si="10"/>
        <v>144515.476203453</v>
      </c>
      <c r="ET22" s="16">
        <f t="shared" si="5"/>
        <v>722455.50946296495</v>
      </c>
      <c r="EU22" s="16">
        <f t="shared" si="5"/>
        <v>245102.42371804232</v>
      </c>
      <c r="EV22" s="16">
        <f t="shared" si="5"/>
        <v>732252.42955445603</v>
      </c>
      <c r="EW22" s="16">
        <f t="shared" si="5"/>
        <v>78842.859268962828</v>
      </c>
      <c r="EX22" s="16">
        <f t="shared" si="5"/>
        <v>349303.64306036074</v>
      </c>
      <c r="EY22" s="16">
        <f t="shared" si="5"/>
        <v>205793.10622100253</v>
      </c>
      <c r="EZ22" s="16">
        <f t="shared" si="5"/>
        <v>0</v>
      </c>
      <c r="FA22" s="16">
        <f t="shared" si="5"/>
        <v>0</v>
      </c>
      <c r="FB22" s="16">
        <f t="shared" si="5"/>
        <v>2397174.1024210909</v>
      </c>
      <c r="FC22" s="16">
        <f t="shared" si="5"/>
        <v>0</v>
      </c>
      <c r="FD22" s="16">
        <f t="shared" si="5"/>
        <v>0</v>
      </c>
      <c r="FE22" s="16">
        <f t="shared" si="5"/>
        <v>0</v>
      </c>
      <c r="FF22" s="16">
        <f t="shared" si="5"/>
        <v>289771.28879352717</v>
      </c>
      <c r="FG22" s="16">
        <f t="shared" si="5"/>
        <v>0</v>
      </c>
      <c r="FH22" s="16">
        <f t="shared" si="5"/>
        <v>0</v>
      </c>
      <c r="FI22" s="16">
        <f t="shared" si="5"/>
        <v>0</v>
      </c>
      <c r="FJ22" s="16">
        <f t="shared" si="6"/>
        <v>0</v>
      </c>
      <c r="FK22" s="16">
        <f t="shared" si="6"/>
        <v>0</v>
      </c>
      <c r="FL22" s="16">
        <f t="shared" si="6"/>
        <v>0</v>
      </c>
      <c r="FM22" s="16">
        <f t="shared" si="11"/>
        <v>5165210.8387038605</v>
      </c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0"/>
      <c r="FZ22" s="30"/>
      <c r="GA22" s="30"/>
      <c r="GB22" s="30"/>
      <c r="GC22" s="30"/>
      <c r="GD22" s="30"/>
      <c r="GE22" s="30"/>
      <c r="GF22" s="30"/>
      <c r="GG22" s="30"/>
      <c r="HD22" s="195">
        <f>I22-CK22</f>
        <v>-0.48000000000000043</v>
      </c>
      <c r="HE22" s="195">
        <f t="shared" ref="HE22:HW24" si="18">J22-CL22</f>
        <v>-0.71999999999999886</v>
      </c>
      <c r="HF22" s="195">
        <f t="shared" si="18"/>
        <v>-0.39999999999999858</v>
      </c>
      <c r="HG22" s="195">
        <f t="shared" si="18"/>
        <v>-0.58000000000000185</v>
      </c>
      <c r="HH22" s="195">
        <f t="shared" si="18"/>
        <v>-0.78000000000000114</v>
      </c>
      <c r="HI22" s="195">
        <f t="shared" si="18"/>
        <v>-0.39999999999999858</v>
      </c>
      <c r="HJ22" s="195">
        <f t="shared" si="18"/>
        <v>-0.33999999999999986</v>
      </c>
      <c r="HK22" s="195">
        <f t="shared" si="18"/>
        <v>0</v>
      </c>
      <c r="HL22" s="195">
        <f t="shared" si="18"/>
        <v>0</v>
      </c>
      <c r="HM22" s="195">
        <f t="shared" si="18"/>
        <v>-0.92000000000000171</v>
      </c>
      <c r="HN22" s="195">
        <f t="shared" si="18"/>
        <v>0</v>
      </c>
      <c r="HO22" s="195">
        <f t="shared" si="18"/>
        <v>0</v>
      </c>
      <c r="HP22" s="195">
        <f t="shared" si="18"/>
        <v>0</v>
      </c>
      <c r="HQ22" s="195">
        <f t="shared" si="18"/>
        <v>-0.79999999999999716</v>
      </c>
      <c r="HR22" s="195">
        <f t="shared" si="18"/>
        <v>0</v>
      </c>
      <c r="HS22" s="195">
        <f t="shared" si="18"/>
        <v>0</v>
      </c>
      <c r="HT22" s="195">
        <f t="shared" si="18"/>
        <v>0</v>
      </c>
      <c r="HU22" s="195">
        <f t="shared" si="18"/>
        <v>0</v>
      </c>
      <c r="HV22" s="195">
        <f t="shared" si="18"/>
        <v>0</v>
      </c>
      <c r="HW22" s="195">
        <f t="shared" si="18"/>
        <v>0</v>
      </c>
      <c r="HY22" s="194">
        <f t="shared" ref="HY22:IF22" si="19">I22+$F$22</f>
        <v>24</v>
      </c>
      <c r="HZ22" s="194">
        <f t="shared" si="19"/>
        <v>36</v>
      </c>
      <c r="IA22" s="194">
        <f t="shared" si="19"/>
        <v>20</v>
      </c>
      <c r="IB22" s="194">
        <f t="shared" si="19"/>
        <v>29</v>
      </c>
      <c r="IC22" s="194">
        <f t="shared" si="19"/>
        <v>39</v>
      </c>
      <c r="ID22" s="194">
        <f t="shared" si="19"/>
        <v>20</v>
      </c>
      <c r="IE22" s="194">
        <f t="shared" si="19"/>
        <v>17</v>
      </c>
      <c r="IF22" s="194">
        <f t="shared" si="19"/>
        <v>27</v>
      </c>
      <c r="IG22" s="194"/>
      <c r="IH22" s="194">
        <f>R22+$F$22</f>
        <v>46</v>
      </c>
      <c r="II22" s="194">
        <f>S22+$F$22</f>
        <v>33</v>
      </c>
      <c r="IJ22" s="194">
        <f>T22+$F$22</f>
        <v>0</v>
      </c>
      <c r="IK22" s="194">
        <f>U22+$F$22</f>
        <v>0</v>
      </c>
      <c r="IL22" s="194">
        <f>V22+$F$22</f>
        <v>40</v>
      </c>
      <c r="IM22" s="194"/>
      <c r="IN22" s="194"/>
      <c r="IO22" s="194"/>
      <c r="IP22" s="194"/>
      <c r="IQ22" s="194"/>
      <c r="IR22" s="194"/>
    </row>
    <row r="23" spans="1:252" ht="15.75" thickBot="1" x14ac:dyDescent="0.3">
      <c r="C23">
        <v>143</v>
      </c>
      <c r="G23" s="38" t="s">
        <v>75</v>
      </c>
      <c r="H23" s="123" t="s">
        <v>30</v>
      </c>
      <c r="I23" s="135"/>
      <c r="J23" s="125"/>
      <c r="K23" s="125">
        <v>31</v>
      </c>
      <c r="L23" s="125"/>
      <c r="M23" s="125"/>
      <c r="N23" s="125"/>
      <c r="O23" s="125"/>
      <c r="P23" s="125"/>
      <c r="Q23" s="125"/>
      <c r="R23" s="125">
        <v>7</v>
      </c>
      <c r="S23" s="125">
        <v>32</v>
      </c>
      <c r="T23" s="125">
        <v>19</v>
      </c>
      <c r="U23" s="125">
        <v>16</v>
      </c>
      <c r="V23" s="125">
        <v>30</v>
      </c>
      <c r="W23" s="125">
        <v>2</v>
      </c>
      <c r="X23" s="125"/>
      <c r="Y23" s="125"/>
      <c r="Z23" s="125"/>
      <c r="AA23" s="125"/>
      <c r="AB23" s="154"/>
      <c r="AC23" s="156"/>
      <c r="AD23" s="144"/>
      <c r="AE23" s="11">
        <v>2.3299532565309371</v>
      </c>
      <c r="AF23" s="144"/>
      <c r="AG23" s="144"/>
      <c r="AH23" s="144"/>
      <c r="AI23" s="144"/>
      <c r="AJ23" s="144"/>
      <c r="AK23" s="11">
        <v>1.3254361602980282</v>
      </c>
      <c r="AL23" s="11">
        <v>0.99158512940440791</v>
      </c>
      <c r="AM23" s="11">
        <v>0.90317741333277168</v>
      </c>
      <c r="AN23" s="11">
        <v>1.3826138785578184</v>
      </c>
      <c r="AO23" s="144"/>
      <c r="AP23" s="11">
        <v>1.7824927831948638</v>
      </c>
      <c r="AQ23" s="11">
        <v>1.3255473304771759</v>
      </c>
      <c r="AR23" s="144"/>
      <c r="AS23" s="144"/>
      <c r="AT23" s="144"/>
      <c r="AU23" s="144"/>
      <c r="AV23" s="164"/>
      <c r="AW23" s="135">
        <f t="shared" ref="AW23:BL24" si="20">AW20</f>
        <v>0</v>
      </c>
      <c r="AX23" s="125">
        <f t="shared" si="20"/>
        <v>0</v>
      </c>
      <c r="AY23" s="125">
        <f t="shared" si="20"/>
        <v>3168921</v>
      </c>
      <c r="AZ23" s="125">
        <f t="shared" si="20"/>
        <v>0</v>
      </c>
      <c r="BA23" s="125">
        <f t="shared" si="20"/>
        <v>0</v>
      </c>
      <c r="BB23" s="125">
        <f t="shared" si="20"/>
        <v>0</v>
      </c>
      <c r="BC23" s="125">
        <f t="shared" si="20"/>
        <v>0</v>
      </c>
      <c r="BD23" s="125">
        <f t="shared" si="20"/>
        <v>0</v>
      </c>
      <c r="BE23" s="125">
        <f t="shared" si="20"/>
        <v>163962</v>
      </c>
      <c r="BF23" s="125">
        <f t="shared" si="20"/>
        <v>657271</v>
      </c>
      <c r="BG23" s="125">
        <f t="shared" si="20"/>
        <v>1593815</v>
      </c>
      <c r="BH23" s="125">
        <f t="shared" si="20"/>
        <v>692173</v>
      </c>
      <c r="BI23" s="125">
        <f t="shared" si="20"/>
        <v>98989</v>
      </c>
      <c r="BJ23" s="125">
        <f t="shared" si="20"/>
        <v>1025372</v>
      </c>
      <c r="BK23" s="125">
        <f t="shared" si="20"/>
        <v>167140</v>
      </c>
      <c r="BL23" s="125">
        <f t="shared" si="20"/>
        <v>0</v>
      </c>
      <c r="BM23" s="125">
        <f t="shared" si="15"/>
        <v>0</v>
      </c>
      <c r="BN23" s="125">
        <f t="shared" si="15"/>
        <v>0</v>
      </c>
      <c r="BO23" s="125">
        <f t="shared" si="15"/>
        <v>0</v>
      </c>
      <c r="BP23" s="154">
        <f t="shared" si="15"/>
        <v>0</v>
      </c>
      <c r="BQ23" s="135">
        <f t="shared" ref="BQ23:CF24" si="21">BQ20</f>
        <v>0</v>
      </c>
      <c r="BR23" s="125">
        <f t="shared" si="21"/>
        <v>0</v>
      </c>
      <c r="BS23" s="125">
        <f t="shared" si="21"/>
        <v>659135.56799999997</v>
      </c>
      <c r="BT23" s="125">
        <f t="shared" si="21"/>
        <v>0</v>
      </c>
      <c r="BU23" s="125">
        <f t="shared" si="21"/>
        <v>0</v>
      </c>
      <c r="BV23" s="125">
        <f t="shared" si="21"/>
        <v>0</v>
      </c>
      <c r="BW23" s="125">
        <f t="shared" si="21"/>
        <v>0</v>
      </c>
      <c r="BX23" s="125">
        <f t="shared" si="21"/>
        <v>0</v>
      </c>
      <c r="BY23" s="125">
        <f t="shared" si="21"/>
        <v>34104.095999999998</v>
      </c>
      <c r="BZ23" s="125">
        <f t="shared" si="21"/>
        <v>136712.36799999999</v>
      </c>
      <c r="CA23" s="125">
        <f t="shared" si="21"/>
        <v>331513.51999999996</v>
      </c>
      <c r="CB23" s="125">
        <f t="shared" si="21"/>
        <v>143971.984</v>
      </c>
      <c r="CC23" s="125">
        <f t="shared" si="21"/>
        <v>20589.712</v>
      </c>
      <c r="CD23" s="125">
        <f t="shared" si="21"/>
        <v>213277.37599999999</v>
      </c>
      <c r="CE23" s="125">
        <f t="shared" si="21"/>
        <v>34765.119999999995</v>
      </c>
      <c r="CF23" s="125">
        <f t="shared" si="21"/>
        <v>0</v>
      </c>
      <c r="CG23" s="125">
        <f t="shared" si="16"/>
        <v>0</v>
      </c>
      <c r="CH23" s="125">
        <f t="shared" si="16"/>
        <v>0</v>
      </c>
      <c r="CI23" s="125">
        <f t="shared" si="16"/>
        <v>0</v>
      </c>
      <c r="CJ23" s="139">
        <f t="shared" si="16"/>
        <v>0</v>
      </c>
      <c r="CK23" s="453"/>
      <c r="CL23" s="454"/>
      <c r="CM23" s="455">
        <v>34.410000000000004</v>
      </c>
      <c r="CN23" s="454"/>
      <c r="CO23" s="454"/>
      <c r="CP23" s="454"/>
      <c r="CQ23" s="454"/>
      <c r="CR23" s="454"/>
      <c r="CS23" s="454"/>
      <c r="CT23" s="455">
        <v>7.7700000000000005</v>
      </c>
      <c r="CU23" s="455">
        <v>35.520000000000003</v>
      </c>
      <c r="CV23" s="455">
        <v>21.090000000000003</v>
      </c>
      <c r="CW23" s="455">
        <v>16</v>
      </c>
      <c r="CX23" s="455">
        <v>33.300000000000004</v>
      </c>
      <c r="CY23" s="455">
        <v>2.2200000000000002</v>
      </c>
      <c r="CZ23" s="454"/>
      <c r="DA23" s="454"/>
      <c r="DB23" s="454"/>
      <c r="DC23" s="454"/>
      <c r="DD23" s="456"/>
      <c r="DE23" s="184">
        <f t="shared" si="8"/>
        <v>0</v>
      </c>
      <c r="DF23" s="181">
        <f t="shared" si="2"/>
        <v>0</v>
      </c>
      <c r="DG23" s="181">
        <f t="shared" si="2"/>
        <v>0.11000000000000013</v>
      </c>
      <c r="DH23" s="181">
        <f t="shared" si="2"/>
        <v>0</v>
      </c>
      <c r="DI23" s="181">
        <f t="shared" si="2"/>
        <v>0</v>
      </c>
      <c r="DJ23" s="181">
        <f t="shared" si="2"/>
        <v>0</v>
      </c>
      <c r="DK23" s="181">
        <f t="shared" si="2"/>
        <v>0</v>
      </c>
      <c r="DL23" s="181">
        <f t="shared" si="2"/>
        <v>0</v>
      </c>
      <c r="DM23" s="181">
        <f t="shared" si="2"/>
        <v>0</v>
      </c>
      <c r="DN23" s="181">
        <f t="shared" si="2"/>
        <v>0.11000000000000007</v>
      </c>
      <c r="DO23" s="181">
        <f t="shared" si="2"/>
        <v>0.1100000000000001</v>
      </c>
      <c r="DP23" s="181">
        <f t="shared" si="2"/>
        <v>0.11000000000000018</v>
      </c>
      <c r="DQ23" s="181">
        <f t="shared" si="2"/>
        <v>0</v>
      </c>
      <c r="DR23" s="181">
        <f t="shared" si="2"/>
        <v>0.11000000000000014</v>
      </c>
      <c r="DS23" s="181">
        <f t="shared" si="2"/>
        <v>0.1100000000000001</v>
      </c>
      <c r="DT23" s="181">
        <f t="shared" si="2"/>
        <v>0</v>
      </c>
      <c r="DU23" s="181">
        <f t="shared" si="2"/>
        <v>0</v>
      </c>
      <c r="DV23" s="181">
        <f t="shared" si="3"/>
        <v>0</v>
      </c>
      <c r="DW23" s="181">
        <f t="shared" si="3"/>
        <v>0</v>
      </c>
      <c r="DX23" s="190">
        <f t="shared" si="3"/>
        <v>0</v>
      </c>
      <c r="DY23" s="184">
        <f t="shared" si="9"/>
        <v>0</v>
      </c>
      <c r="DZ23" s="181">
        <f t="shared" si="4"/>
        <v>0</v>
      </c>
      <c r="EA23" s="181">
        <f t="shared" si="4"/>
        <v>0.25629485821840337</v>
      </c>
      <c r="EB23" s="181">
        <f t="shared" si="4"/>
        <v>0</v>
      </c>
      <c r="EC23" s="181">
        <f t="shared" si="4"/>
        <v>0</v>
      </c>
      <c r="ED23" s="181">
        <f t="shared" si="4"/>
        <v>0</v>
      </c>
      <c r="EE23" s="181">
        <f t="shared" si="4"/>
        <v>0</v>
      </c>
      <c r="EF23" s="181">
        <f t="shared" si="4"/>
        <v>0</v>
      </c>
      <c r="EG23" s="181">
        <f t="shared" si="4"/>
        <v>0</v>
      </c>
      <c r="EH23" s="181">
        <f t="shared" si="4"/>
        <v>0.10907436423448494</v>
      </c>
      <c r="EI23" s="181">
        <f t="shared" si="4"/>
        <v>9.9349515466604976E-2</v>
      </c>
      <c r="EJ23" s="181">
        <f t="shared" si="4"/>
        <v>0.15208752664136027</v>
      </c>
      <c r="EK23" s="181">
        <f t="shared" si="4"/>
        <v>0</v>
      </c>
      <c r="EL23" s="181">
        <f t="shared" si="4"/>
        <v>0.19607420615143528</v>
      </c>
      <c r="EM23" s="181">
        <f t="shared" si="4"/>
        <v>0.14581020635248948</v>
      </c>
      <c r="EN23" s="181">
        <f t="shared" si="4"/>
        <v>0</v>
      </c>
      <c r="EO23" s="181">
        <f t="shared" si="4"/>
        <v>0</v>
      </c>
      <c r="EP23" s="181">
        <f t="shared" si="4"/>
        <v>0</v>
      </c>
      <c r="EQ23" s="181">
        <f t="shared" si="4"/>
        <v>0</v>
      </c>
      <c r="ER23" s="190">
        <f t="shared" si="4"/>
        <v>0</v>
      </c>
      <c r="ES23" s="16">
        <f t="shared" si="10"/>
        <v>0</v>
      </c>
      <c r="ET23" s="16">
        <f t="shared" si="5"/>
        <v>0</v>
      </c>
      <c r="EU23" s="16">
        <f t="shared" si="5"/>
        <v>812178.15840032103</v>
      </c>
      <c r="EV23" s="16">
        <f t="shared" si="5"/>
        <v>0</v>
      </c>
      <c r="EW23" s="16">
        <f t="shared" si="5"/>
        <v>0</v>
      </c>
      <c r="EX23" s="16">
        <f t="shared" si="5"/>
        <v>0</v>
      </c>
      <c r="EY23" s="16">
        <f t="shared" si="5"/>
        <v>0</v>
      </c>
      <c r="EZ23" s="16">
        <f t="shared" si="5"/>
        <v>0</v>
      </c>
      <c r="FA23" s="16">
        <f t="shared" si="5"/>
        <v>0</v>
      </c>
      <c r="FB23" s="16">
        <f t="shared" si="5"/>
        <v>71691.416454764156</v>
      </c>
      <c r="FC23" s="16">
        <f t="shared" si="5"/>
        <v>158344.74799340701</v>
      </c>
      <c r="FD23" s="16">
        <f t="shared" si="5"/>
        <v>105270.87957793026</v>
      </c>
      <c r="FE23" s="16">
        <f t="shared" si="5"/>
        <v>0</v>
      </c>
      <c r="FF23" s="16">
        <f t="shared" si="5"/>
        <v>201049.00090990949</v>
      </c>
      <c r="FG23" s="16">
        <f t="shared" si="5"/>
        <v>24370.717889755091</v>
      </c>
      <c r="FH23" s="16">
        <f t="shared" si="5"/>
        <v>0</v>
      </c>
      <c r="FI23" s="16">
        <f t="shared" si="5"/>
        <v>0</v>
      </c>
      <c r="FJ23" s="16">
        <f t="shared" si="6"/>
        <v>0</v>
      </c>
      <c r="FK23" s="16">
        <f t="shared" si="6"/>
        <v>0</v>
      </c>
      <c r="FL23" s="16">
        <f t="shared" si="6"/>
        <v>0</v>
      </c>
      <c r="FM23" s="16">
        <f t="shared" si="11"/>
        <v>1372904.921226087</v>
      </c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0"/>
      <c r="FZ23" s="30"/>
      <c r="GA23" s="30"/>
      <c r="GB23" s="30"/>
      <c r="GC23" s="30"/>
      <c r="GD23" s="30"/>
      <c r="GE23" s="30"/>
      <c r="GF23" s="30"/>
      <c r="GG23" s="30"/>
      <c r="HD23" s="195">
        <f t="shared" ref="HD23:HD24" si="22">I23-CK23</f>
        <v>0</v>
      </c>
      <c r="HE23" s="195">
        <f t="shared" si="18"/>
        <v>0</v>
      </c>
      <c r="HF23" s="195">
        <f t="shared" si="18"/>
        <v>-3.4100000000000037</v>
      </c>
      <c r="HG23" s="195">
        <f t="shared" si="18"/>
        <v>0</v>
      </c>
      <c r="HH23" s="195">
        <f t="shared" si="18"/>
        <v>0</v>
      </c>
      <c r="HI23" s="195">
        <f t="shared" si="18"/>
        <v>0</v>
      </c>
      <c r="HJ23" s="195">
        <f t="shared" si="18"/>
        <v>0</v>
      </c>
      <c r="HK23" s="195">
        <f t="shared" si="18"/>
        <v>0</v>
      </c>
      <c r="HL23" s="195">
        <f t="shared" si="18"/>
        <v>0</v>
      </c>
      <c r="HM23" s="195">
        <f t="shared" si="18"/>
        <v>-0.77000000000000046</v>
      </c>
      <c r="HN23" s="195">
        <f t="shared" si="18"/>
        <v>-3.5200000000000031</v>
      </c>
      <c r="HO23" s="195">
        <f t="shared" si="18"/>
        <v>-2.0900000000000034</v>
      </c>
      <c r="HP23" s="195">
        <f t="shared" si="18"/>
        <v>0</v>
      </c>
      <c r="HQ23" s="195">
        <f t="shared" si="18"/>
        <v>-3.3000000000000043</v>
      </c>
      <c r="HR23" s="195">
        <f t="shared" si="18"/>
        <v>-0.2200000000000002</v>
      </c>
      <c r="HS23" s="195">
        <f t="shared" si="18"/>
        <v>0</v>
      </c>
      <c r="HT23" s="195">
        <f t="shared" si="18"/>
        <v>0</v>
      </c>
      <c r="HU23" s="195">
        <f t="shared" si="18"/>
        <v>0</v>
      </c>
      <c r="HV23" s="195">
        <f t="shared" si="18"/>
        <v>0</v>
      </c>
      <c r="HW23" s="195">
        <f t="shared" si="18"/>
        <v>0</v>
      </c>
      <c r="HY23" s="194"/>
      <c r="HZ23" s="194"/>
      <c r="IA23" s="194">
        <f t="shared" ref="IA23:IA24" si="23">K23+$F$22</f>
        <v>31</v>
      </c>
      <c r="IB23" s="194"/>
      <c r="IC23" s="194"/>
      <c r="ID23" s="194"/>
      <c r="IE23" s="194"/>
      <c r="IF23" s="194"/>
      <c r="IG23" s="194"/>
      <c r="IH23" s="194">
        <f>R23+$F$22</f>
        <v>7</v>
      </c>
      <c r="II23" s="194">
        <f>S23+$F$22</f>
        <v>32</v>
      </c>
      <c r="IJ23" s="194">
        <f>T23+$F$22</f>
        <v>19</v>
      </c>
      <c r="IK23" s="194">
        <f>U23+$F$22</f>
        <v>16</v>
      </c>
      <c r="IL23" s="194">
        <f t="shared" ref="IL23:IL24" si="24">V23+$F$22</f>
        <v>30</v>
      </c>
      <c r="IM23" s="194">
        <f>W23+$F$22</f>
        <v>2</v>
      </c>
      <c r="IN23" s="194"/>
      <c r="IO23" s="194"/>
      <c r="IP23" s="194"/>
      <c r="IQ23" s="194"/>
      <c r="IR23" s="194"/>
    </row>
    <row r="24" spans="1:252" ht="15.75" thickBot="1" x14ac:dyDescent="0.3">
      <c r="C24">
        <v>105</v>
      </c>
      <c r="G24" s="38" t="s">
        <v>75</v>
      </c>
      <c r="H24" s="123" t="s">
        <v>38</v>
      </c>
      <c r="I24" s="136"/>
      <c r="J24" s="137"/>
      <c r="K24" s="137">
        <v>12</v>
      </c>
      <c r="L24" s="263">
        <v>0</v>
      </c>
      <c r="M24" s="137"/>
      <c r="N24" s="137"/>
      <c r="O24" s="137"/>
      <c r="P24" s="137"/>
      <c r="Q24" s="137"/>
      <c r="R24" s="137"/>
      <c r="S24" s="137"/>
      <c r="T24" s="137"/>
      <c r="U24" s="137"/>
      <c r="V24" s="137">
        <v>3</v>
      </c>
      <c r="W24" s="137"/>
      <c r="X24" s="137"/>
      <c r="Y24" s="137">
        <v>1</v>
      </c>
      <c r="Z24" s="137">
        <v>21</v>
      </c>
      <c r="AA24" s="137">
        <v>22</v>
      </c>
      <c r="AB24" s="155">
        <v>5</v>
      </c>
      <c r="AC24" s="157"/>
      <c r="AD24" s="145"/>
      <c r="AE24" s="140">
        <v>1.4148409317581596</v>
      </c>
      <c r="AF24" s="140">
        <v>1.5405671339966702</v>
      </c>
      <c r="AG24" s="145"/>
      <c r="AH24" s="145"/>
      <c r="AI24" s="145"/>
      <c r="AJ24" s="145"/>
      <c r="AK24" s="145"/>
      <c r="AL24" s="145"/>
      <c r="AM24" s="145"/>
      <c r="AN24" s="145"/>
      <c r="AO24" s="145"/>
      <c r="AP24" s="140">
        <v>1.3758411843849545</v>
      </c>
      <c r="AQ24" s="140"/>
      <c r="AR24" s="140">
        <v>1.7655919678380347</v>
      </c>
      <c r="AS24" s="140">
        <v>1.1204704494152624</v>
      </c>
      <c r="AT24" s="140">
        <v>1.6983925178871022</v>
      </c>
      <c r="AU24" s="140">
        <v>1.9999103260638096</v>
      </c>
      <c r="AV24" s="162">
        <v>1.7126533050715607</v>
      </c>
      <c r="AW24" s="136">
        <f t="shared" si="20"/>
        <v>0</v>
      </c>
      <c r="AX24" s="137">
        <f t="shared" si="15"/>
        <v>0</v>
      </c>
      <c r="AY24" s="137">
        <f t="shared" si="15"/>
        <v>864022</v>
      </c>
      <c r="AZ24" s="137">
        <f t="shared" si="15"/>
        <v>459199</v>
      </c>
      <c r="BA24" s="137">
        <f t="shared" si="15"/>
        <v>0</v>
      </c>
      <c r="BB24" s="137">
        <f t="shared" si="15"/>
        <v>0</v>
      </c>
      <c r="BC24" s="137">
        <f t="shared" si="15"/>
        <v>0</v>
      </c>
      <c r="BD24" s="137">
        <f t="shared" si="15"/>
        <v>0</v>
      </c>
      <c r="BE24" s="137">
        <f t="shared" si="15"/>
        <v>0</v>
      </c>
      <c r="BF24" s="137">
        <f t="shared" si="15"/>
        <v>0</v>
      </c>
      <c r="BG24" s="137">
        <f t="shared" si="15"/>
        <v>0</v>
      </c>
      <c r="BH24" s="137">
        <f t="shared" si="15"/>
        <v>0</v>
      </c>
      <c r="BI24" s="137">
        <f t="shared" si="15"/>
        <v>0</v>
      </c>
      <c r="BJ24" s="137">
        <f t="shared" si="15"/>
        <v>0</v>
      </c>
      <c r="BK24" s="137">
        <f t="shared" si="15"/>
        <v>0</v>
      </c>
      <c r="BL24" s="137">
        <f t="shared" si="15"/>
        <v>52029</v>
      </c>
      <c r="BM24" s="137">
        <f t="shared" si="15"/>
        <v>176060</v>
      </c>
      <c r="BN24" s="137">
        <f t="shared" si="15"/>
        <v>655390</v>
      </c>
      <c r="BO24" s="137">
        <f t="shared" si="15"/>
        <v>3445036</v>
      </c>
      <c r="BP24" s="155">
        <f t="shared" si="15"/>
        <v>1001763</v>
      </c>
      <c r="BQ24" s="136">
        <f t="shared" si="21"/>
        <v>0</v>
      </c>
      <c r="BR24" s="137">
        <f t="shared" si="16"/>
        <v>0</v>
      </c>
      <c r="BS24" s="137">
        <f t="shared" si="16"/>
        <v>440651.22000000003</v>
      </c>
      <c r="BT24" s="137">
        <f t="shared" si="16"/>
        <v>234191.49</v>
      </c>
      <c r="BU24" s="137">
        <f t="shared" si="16"/>
        <v>0</v>
      </c>
      <c r="BV24" s="137">
        <f t="shared" si="16"/>
        <v>0</v>
      </c>
      <c r="BW24" s="137">
        <f t="shared" si="16"/>
        <v>0</v>
      </c>
      <c r="BX24" s="137">
        <f t="shared" si="16"/>
        <v>0</v>
      </c>
      <c r="BY24" s="137">
        <f t="shared" si="16"/>
        <v>0</v>
      </c>
      <c r="BZ24" s="137">
        <f t="shared" si="16"/>
        <v>0</v>
      </c>
      <c r="CA24" s="137">
        <f t="shared" si="16"/>
        <v>0</v>
      </c>
      <c r="CB24" s="137">
        <f t="shared" si="16"/>
        <v>0</v>
      </c>
      <c r="CC24" s="137">
        <f t="shared" si="16"/>
        <v>0</v>
      </c>
      <c r="CD24" s="137">
        <f t="shared" si="16"/>
        <v>0</v>
      </c>
      <c r="CE24" s="137">
        <f t="shared" si="16"/>
        <v>0</v>
      </c>
      <c r="CF24" s="137">
        <f t="shared" si="16"/>
        <v>26534.79</v>
      </c>
      <c r="CG24" s="137">
        <f t="shared" si="16"/>
        <v>89790.6</v>
      </c>
      <c r="CH24" s="137">
        <f t="shared" si="16"/>
        <v>334248.90000000002</v>
      </c>
      <c r="CI24" s="137">
        <f t="shared" si="16"/>
        <v>1756968.36</v>
      </c>
      <c r="CJ24" s="142">
        <f t="shared" si="16"/>
        <v>510899.13</v>
      </c>
      <c r="CK24" s="457"/>
      <c r="CL24" s="458"/>
      <c r="CM24" s="459">
        <v>15.36</v>
      </c>
      <c r="CN24" s="458">
        <v>0</v>
      </c>
      <c r="CO24" s="458"/>
      <c r="CP24" s="458"/>
      <c r="CQ24" s="458"/>
      <c r="CR24" s="458"/>
      <c r="CS24" s="458"/>
      <c r="CT24" s="458"/>
      <c r="CU24" s="458"/>
      <c r="CV24" s="458"/>
      <c r="CW24" s="458"/>
      <c r="CX24" s="455">
        <v>3</v>
      </c>
      <c r="CY24" s="458"/>
      <c r="CZ24" s="458"/>
      <c r="DA24" s="459">
        <v>1.28</v>
      </c>
      <c r="DB24" s="459">
        <v>26.88</v>
      </c>
      <c r="DC24" s="459">
        <v>28.16</v>
      </c>
      <c r="DD24" s="460">
        <v>6.4</v>
      </c>
      <c r="DE24" s="185">
        <f t="shared" si="8"/>
        <v>0</v>
      </c>
      <c r="DF24" s="186">
        <f t="shared" si="2"/>
        <v>0</v>
      </c>
      <c r="DG24" s="186">
        <f t="shared" si="2"/>
        <v>0.27999999999999997</v>
      </c>
      <c r="DH24" s="186">
        <f t="shared" si="2"/>
        <v>0</v>
      </c>
      <c r="DI24" s="186">
        <f t="shared" si="2"/>
        <v>0</v>
      </c>
      <c r="DJ24" s="186">
        <f t="shared" si="2"/>
        <v>0</v>
      </c>
      <c r="DK24" s="186">
        <f t="shared" si="2"/>
        <v>0</v>
      </c>
      <c r="DL24" s="186">
        <f t="shared" si="2"/>
        <v>0</v>
      </c>
      <c r="DM24" s="186">
        <f t="shared" si="2"/>
        <v>0</v>
      </c>
      <c r="DN24" s="186">
        <f t="shared" si="2"/>
        <v>0</v>
      </c>
      <c r="DO24" s="186">
        <f t="shared" si="2"/>
        <v>0</v>
      </c>
      <c r="DP24" s="186">
        <f t="shared" si="2"/>
        <v>0</v>
      </c>
      <c r="DQ24" s="186">
        <f t="shared" si="2"/>
        <v>0</v>
      </c>
      <c r="DR24" s="186">
        <f t="shared" si="2"/>
        <v>0</v>
      </c>
      <c r="DS24" s="186">
        <f t="shared" si="2"/>
        <v>0</v>
      </c>
      <c r="DT24" s="186">
        <f t="shared" si="2"/>
        <v>0</v>
      </c>
      <c r="DU24" s="186">
        <f t="shared" si="2"/>
        <v>0.28000000000000003</v>
      </c>
      <c r="DV24" s="186">
        <f t="shared" si="3"/>
        <v>0.27999999999999997</v>
      </c>
      <c r="DW24" s="186">
        <f t="shared" si="3"/>
        <v>0.28000000000000003</v>
      </c>
      <c r="DX24" s="191">
        <f t="shared" si="3"/>
        <v>0.28000000000000008</v>
      </c>
      <c r="DY24" s="185">
        <f t="shared" si="9"/>
        <v>0</v>
      </c>
      <c r="DZ24" s="186">
        <f t="shared" si="4"/>
        <v>0</v>
      </c>
      <c r="EA24" s="186">
        <f t="shared" si="4"/>
        <v>0.39615546089228465</v>
      </c>
      <c r="EB24" s="186">
        <f t="shared" si="4"/>
        <v>0</v>
      </c>
      <c r="EC24" s="186">
        <f t="shared" si="4"/>
        <v>0</v>
      </c>
      <c r="ED24" s="186">
        <f t="shared" si="4"/>
        <v>0</v>
      </c>
      <c r="EE24" s="186">
        <f t="shared" si="4"/>
        <v>0</v>
      </c>
      <c r="EF24" s="186">
        <f t="shared" si="4"/>
        <v>0</v>
      </c>
      <c r="EG24" s="186">
        <f t="shared" si="4"/>
        <v>0</v>
      </c>
      <c r="EH24" s="186">
        <f t="shared" si="4"/>
        <v>0</v>
      </c>
      <c r="EI24" s="186">
        <f t="shared" si="4"/>
        <v>0</v>
      </c>
      <c r="EJ24" s="186">
        <f t="shared" si="4"/>
        <v>0</v>
      </c>
      <c r="EK24" s="186">
        <f t="shared" si="4"/>
        <v>0</v>
      </c>
      <c r="EL24" s="186">
        <f t="shared" si="4"/>
        <v>0</v>
      </c>
      <c r="EM24" s="186">
        <f t="shared" si="4"/>
        <v>0</v>
      </c>
      <c r="EN24" s="186">
        <f t="shared" si="4"/>
        <v>0</v>
      </c>
      <c r="EO24" s="186">
        <f t="shared" si="4"/>
        <v>0.31373172583627351</v>
      </c>
      <c r="EP24" s="186">
        <f t="shared" si="4"/>
        <v>0.47554990500838856</v>
      </c>
      <c r="EQ24" s="186">
        <f t="shared" si="4"/>
        <v>0.55997489129786671</v>
      </c>
      <c r="ER24" s="191">
        <f t="shared" si="4"/>
        <v>0.47954292542003712</v>
      </c>
      <c r="ES24" s="16">
        <f t="shared" si="10"/>
        <v>0</v>
      </c>
      <c r="ET24" s="16">
        <f t="shared" si="5"/>
        <v>0</v>
      </c>
      <c r="EU24" s="16">
        <f t="shared" si="5"/>
        <v>342287.03363107354</v>
      </c>
      <c r="EV24" s="16">
        <f t="shared" si="5"/>
        <v>0</v>
      </c>
      <c r="EW24" s="16">
        <f t="shared" si="5"/>
        <v>0</v>
      </c>
      <c r="EX24" s="16">
        <f t="shared" si="5"/>
        <v>0</v>
      </c>
      <c r="EY24" s="16">
        <f t="shared" si="5"/>
        <v>0</v>
      </c>
      <c r="EZ24" s="16">
        <f t="shared" si="5"/>
        <v>0</v>
      </c>
      <c r="FA24" s="16">
        <f t="shared" si="5"/>
        <v>0</v>
      </c>
      <c r="FB24" s="16">
        <f t="shared" si="5"/>
        <v>0</v>
      </c>
      <c r="FC24" s="16">
        <f t="shared" si="5"/>
        <v>0</v>
      </c>
      <c r="FD24" s="16">
        <f t="shared" si="5"/>
        <v>0</v>
      </c>
      <c r="FE24" s="16">
        <f t="shared" si="5"/>
        <v>0</v>
      </c>
      <c r="FF24" s="16">
        <f t="shared" si="5"/>
        <v>0</v>
      </c>
      <c r="FG24" s="16">
        <f t="shared" si="5"/>
        <v>0</v>
      </c>
      <c r="FH24" s="16">
        <f t="shared" si="5"/>
        <v>0</v>
      </c>
      <c r="FI24" s="16">
        <f t="shared" si="5"/>
        <v>55235.607650734317</v>
      </c>
      <c r="FJ24" s="16">
        <f t="shared" si="6"/>
        <v>311670.65224344778</v>
      </c>
      <c r="FK24" s="16">
        <f t="shared" si="6"/>
        <v>1929133.6596172375</v>
      </c>
      <c r="FL24" s="16">
        <f t="shared" si="6"/>
        <v>480388.35959755263</v>
      </c>
      <c r="FM24" s="16">
        <f t="shared" si="11"/>
        <v>3118715.3127400456</v>
      </c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0"/>
      <c r="FZ24" s="30"/>
      <c r="GA24" s="30"/>
      <c r="GB24" s="30"/>
      <c r="GC24" s="30"/>
      <c r="GD24" s="30"/>
      <c r="GE24" s="30"/>
      <c r="GF24" s="30"/>
      <c r="GG24" s="30"/>
      <c r="HD24" s="195">
        <f t="shared" si="22"/>
        <v>0</v>
      </c>
      <c r="HE24" s="195">
        <f t="shared" si="18"/>
        <v>0</v>
      </c>
      <c r="HF24" s="195">
        <f t="shared" si="18"/>
        <v>-3.3599999999999994</v>
      </c>
      <c r="HG24" s="195">
        <f t="shared" si="18"/>
        <v>0</v>
      </c>
      <c r="HH24" s="195">
        <f t="shared" si="18"/>
        <v>0</v>
      </c>
      <c r="HI24" s="195">
        <f t="shared" si="18"/>
        <v>0</v>
      </c>
      <c r="HJ24" s="195">
        <f t="shared" si="18"/>
        <v>0</v>
      </c>
      <c r="HK24" s="195">
        <f t="shared" si="18"/>
        <v>0</v>
      </c>
      <c r="HL24" s="195">
        <f t="shared" si="18"/>
        <v>0</v>
      </c>
      <c r="HM24" s="195">
        <f t="shared" si="18"/>
        <v>0</v>
      </c>
      <c r="HN24" s="195">
        <f t="shared" si="18"/>
        <v>0</v>
      </c>
      <c r="HO24" s="195">
        <f t="shared" si="18"/>
        <v>0</v>
      </c>
      <c r="HP24" s="195">
        <f t="shared" si="18"/>
        <v>0</v>
      </c>
      <c r="HQ24" s="195">
        <f t="shared" si="18"/>
        <v>0</v>
      </c>
      <c r="HR24" s="195">
        <f t="shared" si="18"/>
        <v>0</v>
      </c>
      <c r="HS24" s="195">
        <f t="shared" si="18"/>
        <v>0</v>
      </c>
      <c r="HT24" s="195">
        <f t="shared" si="18"/>
        <v>-0.28000000000000003</v>
      </c>
      <c r="HU24" s="195">
        <f t="shared" si="18"/>
        <v>-5.879999999999999</v>
      </c>
      <c r="HV24" s="195">
        <f t="shared" si="18"/>
        <v>-6.16</v>
      </c>
      <c r="HW24" s="195">
        <f t="shared" si="18"/>
        <v>-1.4000000000000004</v>
      </c>
      <c r="HY24" s="194"/>
      <c r="HZ24" s="194"/>
      <c r="IA24" s="194">
        <f t="shared" si="23"/>
        <v>12</v>
      </c>
      <c r="IB24" s="194"/>
      <c r="IC24" s="194"/>
      <c r="ID24" s="194"/>
      <c r="IE24" s="194"/>
      <c r="IF24" s="194"/>
      <c r="IG24" s="194"/>
      <c r="IH24" s="194"/>
      <c r="II24" s="194"/>
      <c r="IJ24" s="194"/>
      <c r="IK24" s="194"/>
      <c r="IL24" s="194">
        <f t="shared" si="24"/>
        <v>3</v>
      </c>
      <c r="IM24" s="194"/>
      <c r="IN24" s="194"/>
      <c r="IO24" s="194">
        <f>Y24+$F$22</f>
        <v>1</v>
      </c>
      <c r="IP24" s="194">
        <f>Z24+$F$22</f>
        <v>21</v>
      </c>
      <c r="IQ24" s="194">
        <f>AA24+$F$22</f>
        <v>22</v>
      </c>
      <c r="IR24" s="194">
        <f>AB24+$F$22</f>
        <v>5</v>
      </c>
    </row>
    <row r="25" spans="1:252" x14ac:dyDescent="0.25">
      <c r="I25" s="209"/>
      <c r="J25" s="209"/>
      <c r="K25" s="209"/>
      <c r="L25" s="209"/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  <c r="AB25" s="209"/>
      <c r="CM25" s="210">
        <f>CM16-CM24</f>
        <v>-3.3599999999999994</v>
      </c>
      <c r="CN25" s="210">
        <f t="shared" ref="CN25:DD25" si="25">CN16-CN24</f>
        <v>0</v>
      </c>
      <c r="CO25" s="210">
        <f t="shared" si="25"/>
        <v>0</v>
      </c>
      <c r="CP25" s="210">
        <f t="shared" si="25"/>
        <v>0</v>
      </c>
      <c r="CQ25" s="210">
        <f t="shared" si="25"/>
        <v>0</v>
      </c>
      <c r="CR25" s="210">
        <f t="shared" si="25"/>
        <v>0</v>
      </c>
      <c r="CS25" s="210">
        <f t="shared" si="25"/>
        <v>0</v>
      </c>
      <c r="CT25" s="210">
        <f t="shared" si="25"/>
        <v>0</v>
      </c>
      <c r="CU25" s="210">
        <f t="shared" si="25"/>
        <v>0</v>
      </c>
      <c r="CV25" s="210">
        <f t="shared" si="25"/>
        <v>0</v>
      </c>
      <c r="CW25" s="210">
        <f t="shared" si="25"/>
        <v>0</v>
      </c>
      <c r="CX25" s="210">
        <f t="shared" si="25"/>
        <v>0</v>
      </c>
      <c r="CY25" s="210">
        <f t="shared" si="25"/>
        <v>0</v>
      </c>
      <c r="CZ25" s="210">
        <f t="shared" si="25"/>
        <v>0</v>
      </c>
      <c r="DA25" s="210">
        <f t="shared" si="25"/>
        <v>-0.28000000000000003</v>
      </c>
      <c r="DB25" s="210">
        <f t="shared" si="25"/>
        <v>-5.879999999999999</v>
      </c>
      <c r="DC25" s="210">
        <f t="shared" si="25"/>
        <v>-6.16</v>
      </c>
      <c r="DD25" s="210">
        <f t="shared" si="25"/>
        <v>-1.4000000000000004</v>
      </c>
    </row>
    <row r="26" spans="1:252" ht="15.75" thickBot="1" x14ac:dyDescent="0.3"/>
    <row r="27" spans="1:252" ht="15.75" thickBot="1" x14ac:dyDescent="0.3">
      <c r="G27" s="549" t="s">
        <v>140</v>
      </c>
      <c r="H27" s="549"/>
      <c r="I27" s="549"/>
      <c r="J27" s="549"/>
      <c r="K27" s="549"/>
      <c r="L27" s="550" t="s">
        <v>145</v>
      </c>
      <c r="M27" s="551"/>
      <c r="N27" s="551"/>
      <c r="O27" s="551"/>
      <c r="P27" s="551"/>
      <c r="Q27" s="552"/>
      <c r="AC27" s="3"/>
      <c r="CJ27" s="36" t="s">
        <v>52</v>
      </c>
      <c r="CK27" s="126" t="s">
        <v>59</v>
      </c>
      <c r="CL27" s="127" t="s">
        <v>60</v>
      </c>
      <c r="CM27" s="127" t="s">
        <v>62</v>
      </c>
      <c r="CN27" s="127" t="s">
        <v>61</v>
      </c>
      <c r="CO27" s="127" t="s">
        <v>17</v>
      </c>
      <c r="CP27" s="127" t="s">
        <v>18</v>
      </c>
      <c r="CQ27" s="127" t="s">
        <v>63</v>
      </c>
      <c r="CR27" s="127" t="s">
        <v>64</v>
      </c>
      <c r="CS27" s="127" t="s">
        <v>22</v>
      </c>
      <c r="CT27" s="127" t="s">
        <v>70</v>
      </c>
      <c r="CU27" s="127" t="s">
        <v>65</v>
      </c>
      <c r="CV27" s="127" t="s">
        <v>66</v>
      </c>
      <c r="CW27" s="127" t="s">
        <v>35</v>
      </c>
      <c r="CX27" s="127" t="s">
        <v>36</v>
      </c>
      <c r="CY27" s="127" t="s">
        <v>37</v>
      </c>
      <c r="CZ27" s="127" t="s">
        <v>39</v>
      </c>
      <c r="DA27" s="127" t="s">
        <v>42</v>
      </c>
      <c r="DB27" s="127" t="s">
        <v>67</v>
      </c>
      <c r="DC27" s="127" t="s">
        <v>68</v>
      </c>
      <c r="DD27" s="128" t="s">
        <v>69</v>
      </c>
      <c r="DF27" t="s">
        <v>202</v>
      </c>
      <c r="DG27" s="233">
        <f>MAX(DE19:DX21)</f>
        <v>0</v>
      </c>
      <c r="DI27" t="s">
        <v>220</v>
      </c>
      <c r="FN27" s="539" t="s">
        <v>135</v>
      </c>
      <c r="FO27" s="540"/>
      <c r="FP27" s="540"/>
      <c r="FQ27" s="540"/>
      <c r="FR27" s="540"/>
      <c r="FS27" s="540"/>
      <c r="FT27" s="540"/>
      <c r="FU27" s="540"/>
      <c r="FV27" s="540"/>
      <c r="FW27" s="540"/>
      <c r="FX27" s="540"/>
      <c r="FY27" s="540"/>
      <c r="FZ27" s="540"/>
      <c r="GA27" s="540"/>
      <c r="GB27" s="540"/>
      <c r="GC27" s="540"/>
      <c r="GD27" s="540"/>
      <c r="GE27" s="540"/>
      <c r="GF27" s="540"/>
      <c r="GG27" s="541"/>
      <c r="GJ27" s="194">
        <f>MIN($Q$162)</f>
        <v>9656.8310726699929</v>
      </c>
      <c r="GL27" s="194">
        <f>MIN($Q$162)</f>
        <v>9656.8310726699929</v>
      </c>
      <c r="GN27" s="194">
        <f>MIN($Q$162)</f>
        <v>9656.8310726699929</v>
      </c>
    </row>
    <row r="28" spans="1:252" ht="15.75" thickBot="1" x14ac:dyDescent="0.3">
      <c r="A28" t="s">
        <v>113</v>
      </c>
      <c r="B28" t="s">
        <v>222</v>
      </c>
      <c r="C28" t="s">
        <v>223</v>
      </c>
      <c r="D28" t="s">
        <v>224</v>
      </c>
      <c r="E28" t="s">
        <v>225</v>
      </c>
      <c r="F28" t="s">
        <v>226</v>
      </c>
      <c r="G28" s="36" t="s">
        <v>52</v>
      </c>
      <c r="H28" t="s">
        <v>141</v>
      </c>
      <c r="I28" t="s">
        <v>142</v>
      </c>
      <c r="J28" t="s">
        <v>143</v>
      </c>
      <c r="K28" t="s">
        <v>144</v>
      </c>
      <c r="L28" s="205" t="s">
        <v>146</v>
      </c>
      <c r="M28" s="205" t="s">
        <v>147</v>
      </c>
      <c r="N28" s="205" t="s">
        <v>148</v>
      </c>
      <c r="O28" s="205" t="s">
        <v>149</v>
      </c>
      <c r="P28" s="205" t="s">
        <v>155</v>
      </c>
      <c r="Q28" s="205" t="s">
        <v>156</v>
      </c>
      <c r="R28" s="225" t="s">
        <v>178</v>
      </c>
      <c r="S28" s="225" t="s">
        <v>189</v>
      </c>
      <c r="T28" s="225" t="s">
        <v>190</v>
      </c>
      <c r="U28" s="225" t="s">
        <v>191</v>
      </c>
      <c r="V28" s="225" t="s">
        <v>179</v>
      </c>
      <c r="W28" s="225" t="s">
        <v>163</v>
      </c>
      <c r="X28" s="222" t="s">
        <v>180</v>
      </c>
      <c r="Y28" s="226" t="s">
        <v>181</v>
      </c>
      <c r="Z28" s="227" t="s">
        <v>182</v>
      </c>
      <c r="AA28" s="225" t="s">
        <v>183</v>
      </c>
      <c r="AB28" s="222" t="s">
        <v>184</v>
      </c>
      <c r="AC28" s="225" t="s">
        <v>199</v>
      </c>
      <c r="AD28" s="225" t="s">
        <v>185</v>
      </c>
      <c r="AE28" s="225" t="s">
        <v>186</v>
      </c>
      <c r="AF28" s="222" t="s">
        <v>187</v>
      </c>
      <c r="AG28" s="225" t="s">
        <v>188</v>
      </c>
      <c r="CJ28" s="123" t="s">
        <v>12</v>
      </c>
      <c r="CK28" s="131">
        <v>39.775852379323055</v>
      </c>
      <c r="CL28" s="131">
        <v>30.880153762112659</v>
      </c>
      <c r="CM28" s="131">
        <v>26.415966518519792</v>
      </c>
      <c r="CN28" s="131">
        <v>28.2555412866942</v>
      </c>
      <c r="CO28" s="131">
        <v>26.932342207540607</v>
      </c>
      <c r="CP28" s="131">
        <v>17.05862825600072</v>
      </c>
      <c r="CQ28" s="131">
        <v>15.183203044049282</v>
      </c>
      <c r="CR28" s="131">
        <v>14.322983319748673</v>
      </c>
      <c r="CS28" s="131"/>
      <c r="CT28" s="131">
        <v>11.83129331148055</v>
      </c>
      <c r="CU28" s="131">
        <v>18.925041170451312</v>
      </c>
      <c r="CV28" s="131"/>
      <c r="CW28" s="131"/>
      <c r="CX28" s="131">
        <v>14.123777398502911</v>
      </c>
      <c r="CY28" s="131"/>
      <c r="CZ28" s="131"/>
      <c r="DA28" s="131"/>
      <c r="DB28" s="131"/>
      <c r="DC28" s="131"/>
      <c r="DD28" s="131"/>
      <c r="DF28" t="s">
        <v>201</v>
      </c>
      <c r="DG28" s="233">
        <f>MIN(DE22:DL22,DN22:DO22,DR22)</f>
        <v>0</v>
      </c>
      <c r="FH28" t="s">
        <v>52</v>
      </c>
      <c r="FI28" t="s">
        <v>138</v>
      </c>
      <c r="FM28" t="s">
        <v>218</v>
      </c>
      <c r="FN28" s="126" t="s">
        <v>59</v>
      </c>
      <c r="FO28" s="127" t="s">
        <v>60</v>
      </c>
      <c r="FP28" s="127" t="s">
        <v>62</v>
      </c>
      <c r="FQ28" s="127" t="s">
        <v>61</v>
      </c>
      <c r="FR28" s="127" t="s">
        <v>17</v>
      </c>
      <c r="FS28" s="127" t="s">
        <v>18</v>
      </c>
      <c r="FT28" s="127" t="s">
        <v>63</v>
      </c>
      <c r="FU28" s="127" t="s">
        <v>64</v>
      </c>
      <c r="FV28" s="127" t="s">
        <v>22</v>
      </c>
      <c r="FW28" s="127" t="s">
        <v>70</v>
      </c>
      <c r="FX28" s="127" t="s">
        <v>65</v>
      </c>
      <c r="FY28" s="127" t="s">
        <v>66</v>
      </c>
      <c r="FZ28" s="127" t="s">
        <v>35</v>
      </c>
      <c r="GA28" s="127" t="s">
        <v>36</v>
      </c>
      <c r="GB28" s="127" t="s">
        <v>37</v>
      </c>
      <c r="GC28" s="127" t="s">
        <v>39</v>
      </c>
      <c r="GD28" s="127" t="s">
        <v>42</v>
      </c>
      <c r="GE28" s="127" t="s">
        <v>67</v>
      </c>
      <c r="GF28" s="127" t="s">
        <v>68</v>
      </c>
      <c r="GG28" s="128" t="s">
        <v>69</v>
      </c>
      <c r="GJ28">
        <f>COUNT($CK$22:$CR$22,$CT$22:$CU$22,$CX$22,$CM$23,$CM$24:$CN$24,$CT$23:$CY$23,$CX$24,$DA$24:$DD$24)</f>
        <v>25</v>
      </c>
      <c r="GL28">
        <f>COUNT($CK$22:$CR$22,$CT$22:$CU$22,$CX$22,$CM$23,$CM$24:$CN$24,$CT$23:$CY$23,$CX$24,$DA$24:$DD$24)</f>
        <v>25</v>
      </c>
      <c r="GN28">
        <f>COUNT($CK$22:$CR$22,$CT$22:$CU$22,$CX$22,$CM$23,$CM$24:$CN$24,$CT$23:$CY$23,$CX$24,$DA$24:$DD$24)</f>
        <v>25</v>
      </c>
    </row>
    <row r="29" spans="1:252" ht="15.75" thickBot="1" x14ac:dyDescent="0.3">
      <c r="A29">
        <v>325</v>
      </c>
      <c r="B29">
        <v>27</v>
      </c>
      <c r="C29">
        <f>Simulator2!D24</f>
        <v>30</v>
      </c>
      <c r="D29">
        <f>MAX(C22,Simulator2!E24)</f>
        <v>175</v>
      </c>
      <c r="E29">
        <f>IF(MAX(B29:C29)&gt;52,52,MAX(B29:C29))</f>
        <v>30</v>
      </c>
      <c r="F29">
        <f>MAX(D29*E29,H36+1)</f>
        <v>5250</v>
      </c>
      <c r="G29" s="123" t="s">
        <v>12</v>
      </c>
      <c r="H29" s="204">
        <v>0.16847315958333334</v>
      </c>
      <c r="I29" s="4">
        <v>72860750</v>
      </c>
      <c r="J29" s="4">
        <v>70444631.50999999</v>
      </c>
      <c r="K29" s="4">
        <f>Simulator2!E10</f>
        <v>134633606</v>
      </c>
      <c r="L29" s="3">
        <f>Simulator2!E18</f>
        <v>0.18</v>
      </c>
      <c r="M29">
        <f>MIN('Thai input'!F44:G44)*'Thai input'!F41</f>
        <v>5250</v>
      </c>
      <c r="N29">
        <f>'Thai input'!F41*'Thai input'!F44*'Table Format Calculations_Blue'!P29</f>
        <v>27562.5</v>
      </c>
      <c r="O29" s="210">
        <f>J29*1.2</f>
        <v>84533557.811999992</v>
      </c>
      <c r="P29">
        <v>5.25</v>
      </c>
      <c r="Q29" s="4">
        <v>15686.081383357689</v>
      </c>
      <c r="R29">
        <v>5.72</v>
      </c>
      <c r="S29">
        <v>554</v>
      </c>
      <c r="T29" s="4">
        <v>72860750</v>
      </c>
      <c r="U29">
        <v>4644.9300000000239</v>
      </c>
      <c r="V29" s="194">
        <f>N36</f>
        <v>7997975</v>
      </c>
      <c r="W29" s="19">
        <f>IF(V29&lt;0,0,I36-U29)</f>
        <v>556.16999999997643</v>
      </c>
      <c r="X29" s="194">
        <f>K36-J36</f>
        <v>220105.10000000009</v>
      </c>
      <c r="Y29">
        <v>0.19</v>
      </c>
      <c r="Z29" s="230">
        <v>0.16847315958333334</v>
      </c>
      <c r="AA29" s="203">
        <f>(Z29/H29-1)*Y29</f>
        <v>0</v>
      </c>
      <c r="AB29" s="194">
        <f>AA29*K29</f>
        <v>0</v>
      </c>
      <c r="AC29" s="285">
        <f>FM22</f>
        <v>5165210.8387038605</v>
      </c>
      <c r="AD29" s="204">
        <f>Q154/K29</f>
        <v>3.8364944623884324E-2</v>
      </c>
      <c r="AE29">
        <f>(Z29-H29)*FM29*(K29*(1+AD29))</f>
        <v>0</v>
      </c>
      <c r="AF29" s="194">
        <f>AE29+V29+HB19+P110</f>
        <v>7997975</v>
      </c>
      <c r="CJ29" s="124" t="s">
        <v>30</v>
      </c>
      <c r="CK29" s="131"/>
      <c r="CL29" s="131"/>
      <c r="CM29" s="131">
        <v>28.926823216031032</v>
      </c>
      <c r="CN29" s="131"/>
      <c r="CO29" s="131"/>
      <c r="CP29" s="131"/>
      <c r="CQ29" s="131"/>
      <c r="CR29" s="131"/>
      <c r="CS29" s="131"/>
      <c r="CT29" s="131">
        <v>10.077486339993728</v>
      </c>
      <c r="CU29" s="131">
        <v>18.4945796448972</v>
      </c>
      <c r="CV29" s="131">
        <v>14.13137292017319</v>
      </c>
      <c r="CW29" s="131">
        <v>15.967553528361877</v>
      </c>
      <c r="CX29" s="131">
        <v>14.626126006371658</v>
      </c>
      <c r="CY29" s="131">
        <v>10.367940728580532</v>
      </c>
      <c r="CZ29" s="131"/>
      <c r="DA29" s="131"/>
      <c r="DB29" s="131"/>
      <c r="DC29" s="131"/>
      <c r="DD29" s="131"/>
      <c r="DG29" s="233"/>
      <c r="FH29" t="s">
        <v>12</v>
      </c>
      <c r="FI29" s="194">
        <f>SUM(FM22)</f>
        <v>5165210.8387038605</v>
      </c>
      <c r="FM29">
        <v>16.280423772266118</v>
      </c>
      <c r="FN29" s="16">
        <f t="shared" ref="FN29:GG29" si="26">FN19*(1+DE19)</f>
        <v>39.775852379323055</v>
      </c>
      <c r="FO29" s="16">
        <f t="shared" si="26"/>
        <v>30.880153762112659</v>
      </c>
      <c r="FP29" s="16">
        <f t="shared" si="26"/>
        <v>26.415966518519792</v>
      </c>
      <c r="FQ29" s="16">
        <f t="shared" si="26"/>
        <v>28.2555412866942</v>
      </c>
      <c r="FR29" s="16">
        <f t="shared" si="26"/>
        <v>26.932342207540607</v>
      </c>
      <c r="FS29" s="16">
        <f t="shared" si="26"/>
        <v>17.05862825600072</v>
      </c>
      <c r="FT29" s="16">
        <f t="shared" si="26"/>
        <v>15.183203044049282</v>
      </c>
      <c r="FU29" s="16">
        <f t="shared" si="26"/>
        <v>14.322983319748673</v>
      </c>
      <c r="FV29" s="16">
        <f t="shared" si="26"/>
        <v>15.447497661365762</v>
      </c>
      <c r="FW29" s="16">
        <f t="shared" si="26"/>
        <v>11.83129331148055</v>
      </c>
      <c r="FX29" s="16">
        <f t="shared" si="26"/>
        <v>18.925041170451312</v>
      </c>
      <c r="FY29" s="16">
        <f t="shared" si="26"/>
        <v>0</v>
      </c>
      <c r="FZ29" s="16">
        <f t="shared" si="26"/>
        <v>0</v>
      </c>
      <c r="GA29" s="16">
        <f t="shared" si="26"/>
        <v>14.123777398502911</v>
      </c>
      <c r="GB29" s="16">
        <f t="shared" si="26"/>
        <v>0</v>
      </c>
      <c r="GC29" s="16">
        <f t="shared" si="26"/>
        <v>0</v>
      </c>
      <c r="GD29" s="16">
        <f t="shared" si="26"/>
        <v>0</v>
      </c>
      <c r="GE29" s="16">
        <f t="shared" si="26"/>
        <v>0</v>
      </c>
      <c r="GF29" s="16">
        <f t="shared" si="26"/>
        <v>0</v>
      </c>
      <c r="GG29" s="16">
        <f t="shared" si="26"/>
        <v>0</v>
      </c>
      <c r="GJ29" t="b">
        <f t="array" ref="GJ29">$CK$22:$CR$22&gt;=$I$22:$P$22</f>
        <v>1</v>
      </c>
      <c r="GL29" t="b">
        <f>$CM$23&lt;=$K$3</f>
        <v>1</v>
      </c>
      <c r="GN29" t="b">
        <f t="array" ref="GN29">$CK$22:$CR$22&lt;=$I$2:$P$2</f>
        <v>1</v>
      </c>
    </row>
    <row r="30" spans="1:252" ht="15.75" thickBot="1" x14ac:dyDescent="0.3">
      <c r="A30">
        <v>750</v>
      </c>
      <c r="B30">
        <v>13</v>
      </c>
      <c r="C30">
        <f>Simulator2!D25</f>
        <v>15</v>
      </c>
      <c r="D30">
        <f>MAX(C23,Simulator2!E25)</f>
        <v>155</v>
      </c>
      <c r="E30">
        <f t="shared" ref="E30:E31" si="27">IF(MAX(B30:C30)&gt;52,52,MAX(B30:C30))</f>
        <v>15</v>
      </c>
      <c r="F30">
        <f t="shared" ref="F30:F31" si="28">MAX(D30*E30,H37+1)</f>
        <v>2325</v>
      </c>
      <c r="G30" s="124" t="s">
        <v>30</v>
      </c>
      <c r="H30" s="204">
        <v>0.16677894466666668</v>
      </c>
      <c r="I30" s="4">
        <v>22556750</v>
      </c>
      <c r="J30" s="4">
        <v>4868429.3082973203</v>
      </c>
      <c r="K30" s="4">
        <f>Simulator2!E11</f>
        <v>7665660</v>
      </c>
      <c r="L30" s="3">
        <f>Simulator2!E19</f>
        <v>0.18</v>
      </c>
      <c r="M30">
        <f>MIN('Thai input'!F45:G45)*'Thai input'!F42</f>
        <v>2325</v>
      </c>
      <c r="N30">
        <f>'Thai input'!F42*'Thai input'!F45*'Table Format Calculations_Blue'!P30</f>
        <v>3975.75</v>
      </c>
      <c r="O30" s="210">
        <f t="shared" ref="O30:O31" si="29">J30*1.2</f>
        <v>5842115.1699567838</v>
      </c>
      <c r="P30">
        <v>1.71</v>
      </c>
      <c r="Q30" s="4">
        <v>11558.554357629037</v>
      </c>
      <c r="R30">
        <v>2.81</v>
      </c>
      <c r="S30">
        <v>124</v>
      </c>
      <c r="T30" s="4">
        <v>22556750</v>
      </c>
      <c r="U30">
        <v>1951.5199999999813</v>
      </c>
      <c r="V30" s="194">
        <f t="shared" ref="V30:V31" si="30">N37</f>
        <v>679635.72055027261</v>
      </c>
      <c r="W30" s="19">
        <f t="shared" ref="W30:W31" si="31">IF(V30&lt;0,0,I37-U30)</f>
        <v>57.568483999999899</v>
      </c>
      <c r="X30" s="194">
        <f t="shared" ref="X30:X31" si="32">K37-J37</f>
        <v>-22746.227920566598</v>
      </c>
      <c r="Y30">
        <v>0.1</v>
      </c>
      <c r="Z30" s="230">
        <v>0</v>
      </c>
      <c r="AA30" s="203">
        <f t="shared" ref="AA30:AA31" si="33">(Z30/H30-1)*Y30</f>
        <v>-0.1</v>
      </c>
      <c r="AB30" s="194">
        <f t="shared" ref="AB30:AB31" si="34">AA30*K30</f>
        <v>-766566</v>
      </c>
      <c r="AC30" s="285">
        <f t="shared" ref="AC30:AC31" si="35">FM23</f>
        <v>1372904.921226087</v>
      </c>
      <c r="AD30" s="203">
        <f>Q155/K30</f>
        <v>0.17909807129798178</v>
      </c>
      <c r="AE30">
        <f t="shared" ref="AE30:AE31" si="36">(Z30-H30)*FM30*(K30*(1+AD30))</f>
        <v>-25141936.429733571</v>
      </c>
      <c r="AF30" s="194">
        <f>AE30+V30+HB20+P122</f>
        <v>-20327965.359472003</v>
      </c>
      <c r="CJ30" s="124" t="s">
        <v>38</v>
      </c>
      <c r="CK30" s="131"/>
      <c r="CL30" s="131"/>
      <c r="CM30" s="131">
        <v>29.479149059948661</v>
      </c>
      <c r="CN30" s="131">
        <v>29.542317471848889</v>
      </c>
      <c r="CO30" s="131"/>
      <c r="CP30" s="131"/>
      <c r="CQ30" s="131"/>
      <c r="CR30" s="131"/>
      <c r="CS30" s="131"/>
      <c r="CT30" s="131"/>
      <c r="CU30" s="131"/>
      <c r="CV30" s="131"/>
      <c r="CW30" s="131"/>
      <c r="CX30" s="131">
        <v>12.524858109043448</v>
      </c>
      <c r="CY30" s="131"/>
      <c r="CZ30" s="131"/>
      <c r="DA30" s="131">
        <v>14.302068492427839</v>
      </c>
      <c r="DB30" s="131">
        <v>14.132208560096787</v>
      </c>
      <c r="DC30" s="131">
        <v>10.486109047737465</v>
      </c>
      <c r="DD30" s="131">
        <v>10.029355963188261</v>
      </c>
      <c r="FH30" t="s">
        <v>30</v>
      </c>
      <c r="FI30" s="194">
        <f t="shared" ref="FI30:FI31" si="37">SUM(FM23)</f>
        <v>1372904.921226087</v>
      </c>
      <c r="FM30">
        <v>16.678539613172774</v>
      </c>
      <c r="FN30" s="16">
        <f t="shared" ref="FN30:GE31" si="38">FN20*(1+DE20)</f>
        <v>0</v>
      </c>
      <c r="FO30" s="16">
        <f t="shared" si="38"/>
        <v>0</v>
      </c>
      <c r="FP30" s="16">
        <f t="shared" si="38"/>
        <v>28.926823216031032</v>
      </c>
      <c r="FQ30" s="16">
        <f t="shared" si="38"/>
        <v>0</v>
      </c>
      <c r="FR30" s="16">
        <f t="shared" si="38"/>
        <v>0</v>
      </c>
      <c r="FS30" s="16">
        <f t="shared" si="38"/>
        <v>0</v>
      </c>
      <c r="FT30" s="16">
        <f t="shared" si="38"/>
        <v>0</v>
      </c>
      <c r="FU30" s="16">
        <f t="shared" si="38"/>
        <v>0</v>
      </c>
      <c r="FV30" s="16">
        <f t="shared" si="38"/>
        <v>15.976377952755904</v>
      </c>
      <c r="FW30" s="16">
        <f t="shared" si="38"/>
        <v>10.077486339993728</v>
      </c>
      <c r="FX30" s="16">
        <f t="shared" si="38"/>
        <v>18.4945796448972</v>
      </c>
      <c r="FY30" s="16">
        <f t="shared" si="38"/>
        <v>14.13137292017319</v>
      </c>
      <c r="FZ30" s="16">
        <f t="shared" si="38"/>
        <v>15.967553528361877</v>
      </c>
      <c r="GA30" s="16">
        <f t="shared" si="38"/>
        <v>14.626126006371658</v>
      </c>
      <c r="GB30" s="16">
        <f t="shared" si="38"/>
        <v>10.367940728580532</v>
      </c>
      <c r="GC30" s="16">
        <f t="shared" si="38"/>
        <v>0</v>
      </c>
      <c r="GD30" s="16">
        <f t="shared" si="38"/>
        <v>0</v>
      </c>
      <c r="GE30" s="16">
        <f t="shared" si="38"/>
        <v>0</v>
      </c>
      <c r="GF30" s="16">
        <f>GF20*(1+DW20)</f>
        <v>0</v>
      </c>
      <c r="GG30" s="16">
        <f>GG20*(1+DX20)</f>
        <v>0</v>
      </c>
      <c r="GJ30" s="411" t="b">
        <f t="array" ref="GJ30">$CK$22:$CR$22&lt;=$I$2:$P$2</f>
        <v>1</v>
      </c>
      <c r="GL30" t="b">
        <f t="array" ref="GL30">$CK$22:$CR$22&lt;=$I$2:$P$2</f>
        <v>1</v>
      </c>
      <c r="GN30" t="b">
        <f>$CM$23&lt;=$K$3</f>
        <v>1</v>
      </c>
    </row>
    <row r="31" spans="1:252" ht="15.75" thickBot="1" x14ac:dyDescent="0.3">
      <c r="A31">
        <v>800</v>
      </c>
      <c r="B31">
        <v>11</v>
      </c>
      <c r="C31">
        <f>Simulator2!D26</f>
        <v>15</v>
      </c>
      <c r="D31">
        <f>MAX(C24,Simulator2!E26)</f>
        <v>120</v>
      </c>
      <c r="E31">
        <f t="shared" si="27"/>
        <v>15</v>
      </c>
      <c r="F31">
        <f t="shared" si="28"/>
        <v>1800</v>
      </c>
      <c r="G31" s="124" t="s">
        <v>38</v>
      </c>
      <c r="H31" s="204">
        <v>0.16734845875000001</v>
      </c>
      <c r="I31" s="4">
        <v>16660625</v>
      </c>
      <c r="J31" s="4">
        <v>30794035.323410086</v>
      </c>
      <c r="K31" s="4">
        <f>Simulator2!E12</f>
        <v>6868436</v>
      </c>
      <c r="L31" s="3">
        <f>Simulator2!E20</f>
        <v>0.2</v>
      </c>
      <c r="M31">
        <f>MIN('Thai input'!F46:G46)*'Thai input'!F43</f>
        <v>1800</v>
      </c>
      <c r="N31">
        <f>'Thai input'!F43*'Thai input'!F46*'Table Format Calculations_Blue'!P31</f>
        <v>576</v>
      </c>
      <c r="O31" s="210">
        <f t="shared" si="29"/>
        <v>36952842.388092101</v>
      </c>
      <c r="P31">
        <v>0.32</v>
      </c>
      <c r="Q31" s="4">
        <v>13340.559866118985</v>
      </c>
      <c r="R31">
        <v>0.9</v>
      </c>
      <c r="S31">
        <v>25</v>
      </c>
      <c r="T31" s="4">
        <v>16660625</v>
      </c>
      <c r="U31">
        <v>1248.8699999999988</v>
      </c>
      <c r="V31" s="194">
        <f t="shared" si="30"/>
        <v>-402984.00292501785</v>
      </c>
      <c r="W31" s="19">
        <f t="shared" si="31"/>
        <v>0</v>
      </c>
      <c r="X31" s="194">
        <f t="shared" si="32"/>
        <v>2571.6339804091076</v>
      </c>
      <c r="Y31">
        <v>7.0000000000000007E-2</v>
      </c>
      <c r="Z31" s="230"/>
      <c r="AA31" s="203">
        <f t="shared" si="33"/>
        <v>-7.0000000000000007E-2</v>
      </c>
      <c r="AB31" s="194">
        <f t="shared" si="34"/>
        <v>-480790.52</v>
      </c>
      <c r="AC31" s="285">
        <f t="shared" si="35"/>
        <v>3118715.3127400456</v>
      </c>
      <c r="AD31" s="203">
        <f>Q156/K31</f>
        <v>0.45406484281720694</v>
      </c>
      <c r="AE31">
        <f t="shared" si="36"/>
        <v>-19529070.86439294</v>
      </c>
      <c r="AF31" s="194">
        <f>AE31+V31+HB21+P134</f>
        <v>-31501673.290824719</v>
      </c>
      <c r="CJ31" s="123" t="s">
        <v>12</v>
      </c>
      <c r="CK31" s="131">
        <v>24</v>
      </c>
      <c r="CL31" s="131">
        <v>36</v>
      </c>
      <c r="CM31" s="131">
        <v>20</v>
      </c>
      <c r="CN31" s="131">
        <v>29</v>
      </c>
      <c r="CO31" s="131">
        <v>39</v>
      </c>
      <c r="CP31" s="131">
        <v>20</v>
      </c>
      <c r="CQ31" s="131">
        <v>17</v>
      </c>
      <c r="CR31" s="131">
        <v>27</v>
      </c>
      <c r="CS31" s="131"/>
      <c r="CT31" s="131">
        <v>46</v>
      </c>
      <c r="CU31" s="131">
        <v>33</v>
      </c>
      <c r="CV31" s="131"/>
      <c r="CW31" s="131"/>
      <c r="CX31" s="131">
        <v>40</v>
      </c>
      <c r="CY31" s="131"/>
      <c r="CZ31" s="131"/>
      <c r="DA31" s="131"/>
      <c r="DB31" s="131"/>
      <c r="DC31" s="131"/>
      <c r="DD31" s="131"/>
      <c r="FH31" t="s">
        <v>38</v>
      </c>
      <c r="FI31" s="194">
        <f t="shared" si="37"/>
        <v>3118715.3127400456</v>
      </c>
      <c r="FM31">
        <v>11.684717973880931</v>
      </c>
      <c r="FN31" s="16">
        <f t="shared" si="38"/>
        <v>0</v>
      </c>
      <c r="FO31" s="16">
        <f t="shared" si="38"/>
        <v>0</v>
      </c>
      <c r="FP31" s="16">
        <f t="shared" si="38"/>
        <v>29.479149059948661</v>
      </c>
      <c r="FQ31" s="16">
        <f t="shared" si="38"/>
        <v>29.542317471848889</v>
      </c>
      <c r="FR31" s="16">
        <f t="shared" si="38"/>
        <v>0</v>
      </c>
      <c r="FS31" s="16">
        <f t="shared" si="38"/>
        <v>0</v>
      </c>
      <c r="FT31" s="16">
        <f t="shared" si="38"/>
        <v>0</v>
      </c>
      <c r="FU31" s="16">
        <f t="shared" si="38"/>
        <v>0</v>
      </c>
      <c r="FV31" s="16">
        <f t="shared" si="38"/>
        <v>0</v>
      </c>
      <c r="FW31" s="16">
        <f t="shared" si="38"/>
        <v>0</v>
      </c>
      <c r="FX31" s="16">
        <f t="shared" si="38"/>
        <v>0</v>
      </c>
      <c r="FY31" s="16">
        <f t="shared" si="38"/>
        <v>0</v>
      </c>
      <c r="FZ31" s="16">
        <f t="shared" si="38"/>
        <v>0</v>
      </c>
      <c r="GA31" s="16">
        <f t="shared" si="38"/>
        <v>12.524858109043448</v>
      </c>
      <c r="GB31" s="16">
        <f t="shared" si="38"/>
        <v>0</v>
      </c>
      <c r="GC31" s="16">
        <f t="shared" si="38"/>
        <v>0</v>
      </c>
      <c r="GD31" s="16">
        <f t="shared" si="38"/>
        <v>14.302068492427839</v>
      </c>
      <c r="GE31" s="16">
        <f t="shared" si="38"/>
        <v>14.132208560096787</v>
      </c>
      <c r="GF31" s="16">
        <f>GF21*(1+DW21)</f>
        <v>10.486109047737465</v>
      </c>
      <c r="GG31" s="16">
        <f t="shared" ref="GG31" si="39">GG21*(1+DX21)</f>
        <v>10.029355963188261</v>
      </c>
      <c r="GJ31" t="b">
        <f>$CM$23&lt;=$K$3</f>
        <v>1</v>
      </c>
      <c r="GL31" t="b">
        <f>$CM$23&gt;=$K$23</f>
        <v>1</v>
      </c>
      <c r="GN31" t="b">
        <f>$CM$23&gt;=$K$23</f>
        <v>1</v>
      </c>
    </row>
    <row r="32" spans="1:252" ht="15.75" thickBot="1" x14ac:dyDescent="0.3">
      <c r="AC32" s="3"/>
      <c r="AF32" s="4">
        <f>SUM(AF29:AF31)</f>
        <v>-43831663.650296718</v>
      </c>
      <c r="CJ32" s="124" t="s">
        <v>30</v>
      </c>
      <c r="CK32" s="131"/>
      <c r="CL32" s="131"/>
      <c r="CM32" s="131">
        <v>31</v>
      </c>
      <c r="CN32" s="131"/>
      <c r="CO32" s="131"/>
      <c r="CP32" s="131"/>
      <c r="CQ32" s="131"/>
      <c r="CR32" s="131"/>
      <c r="CS32" s="131"/>
      <c r="CT32" s="131">
        <v>7</v>
      </c>
      <c r="CU32" s="131">
        <v>32</v>
      </c>
      <c r="CV32" s="131">
        <v>19</v>
      </c>
      <c r="CW32" s="131">
        <v>16</v>
      </c>
      <c r="CX32" s="131">
        <v>30</v>
      </c>
      <c r="CY32" s="131">
        <v>2</v>
      </c>
      <c r="CZ32" s="131"/>
      <c r="DA32" s="131"/>
      <c r="DB32" s="131"/>
      <c r="DC32" s="131"/>
      <c r="DD32" s="131"/>
      <c r="GJ32" t="b">
        <f t="array" ref="GJ32">$CT$22:$CU$22&gt;=$R$22:$S$22</f>
        <v>1</v>
      </c>
      <c r="GL32" t="b">
        <f t="array" ref="GL32">$CM$24:$CN$24&gt;=$K$24:$L$24</f>
        <v>1</v>
      </c>
      <c r="GN32" t="b">
        <f t="array" ref="GN32">$CM$24:$CN$24&lt;=$K$4:$L$4</f>
        <v>1</v>
      </c>
    </row>
    <row r="33" spans="7:196" x14ac:dyDescent="0.25">
      <c r="CJ33" s="124" t="s">
        <v>38</v>
      </c>
      <c r="CK33" s="270"/>
      <c r="CL33" s="270"/>
      <c r="CM33" s="270">
        <v>12</v>
      </c>
      <c r="CN33" s="270">
        <v>0</v>
      </c>
      <c r="CO33" s="270"/>
      <c r="CP33" s="270"/>
      <c r="CQ33" s="270"/>
      <c r="CR33" s="270"/>
      <c r="CS33" s="270"/>
      <c r="CT33" s="270"/>
      <c r="CU33" s="270"/>
      <c r="CV33" s="270"/>
      <c r="CW33" s="270"/>
      <c r="CX33" s="270">
        <v>3</v>
      </c>
      <c r="CY33" s="270"/>
      <c r="CZ33" s="270"/>
      <c r="DA33" s="270">
        <v>1</v>
      </c>
      <c r="DB33" s="270">
        <v>21</v>
      </c>
      <c r="DC33" s="270">
        <v>22</v>
      </c>
      <c r="DD33" s="270">
        <v>5</v>
      </c>
      <c r="GJ33" t="b">
        <f>$CM$23&gt;=$K$23</f>
        <v>1</v>
      </c>
      <c r="GL33" t="b">
        <f t="array" ref="GL33">$CK$22:$CR$22&gt;=$I$22:$P$22</f>
        <v>1</v>
      </c>
      <c r="GN33" t="b">
        <f t="array" ref="GN33">$CM$24:$CN$24&gt;=$K$24:$L$24</f>
        <v>1</v>
      </c>
    </row>
    <row r="34" spans="7:196" x14ac:dyDescent="0.25">
      <c r="J34" t="s">
        <v>192</v>
      </c>
      <c r="K34" t="s">
        <v>193</v>
      </c>
      <c r="CK34" s="271"/>
      <c r="CL34" s="271"/>
      <c r="CM34" s="271"/>
      <c r="CN34" s="271"/>
      <c r="CO34" s="271"/>
      <c r="CP34" s="271"/>
      <c r="CQ34" s="271"/>
      <c r="CR34" s="271"/>
      <c r="CS34" s="271"/>
      <c r="CT34" s="271"/>
      <c r="CU34" s="271"/>
      <c r="CV34" s="271"/>
      <c r="CW34" s="271"/>
      <c r="CX34" s="271"/>
      <c r="CY34" s="271"/>
      <c r="CZ34" s="271"/>
      <c r="DA34" s="271"/>
      <c r="DB34" s="271"/>
      <c r="DC34" s="271"/>
      <c r="DD34" s="271"/>
      <c r="GJ34" t="b">
        <f>$CX$24&lt;=$V$4</f>
        <v>1</v>
      </c>
      <c r="GL34" t="b">
        <f t="array" ref="GL34">$CT$23:$CY$23&lt;=$R$3:$W$3</f>
        <v>1</v>
      </c>
      <c r="GN34" t="b">
        <f t="array" ref="GN34">$CK$22:$CR$22&gt;=$I$22:$P$22</f>
        <v>1</v>
      </c>
    </row>
    <row r="35" spans="7:196" ht="15.75" thickBot="1" x14ac:dyDescent="0.3">
      <c r="G35" s="36" t="s">
        <v>52</v>
      </c>
      <c r="H35" s="10" t="s">
        <v>157</v>
      </c>
      <c r="I35" s="223" t="s">
        <v>174</v>
      </c>
      <c r="J35" s="228" t="s">
        <v>194</v>
      </c>
      <c r="K35" s="229" t="s">
        <v>195</v>
      </c>
      <c r="L35" s="39" t="s">
        <v>196</v>
      </c>
      <c r="M35" s="229" t="s">
        <v>197</v>
      </c>
      <c r="N35" s="20" t="s">
        <v>198</v>
      </c>
      <c r="AL35" s="194">
        <f>MIN($AF$29)</f>
        <v>7997975</v>
      </c>
      <c r="GJ35" t="b">
        <f>$CX$22&gt;=$V$22</f>
        <v>1</v>
      </c>
      <c r="GL35" t="b">
        <f t="array" ref="GL35">$CT$22:$CU$22&lt;=$R$2:$S$2</f>
        <v>1</v>
      </c>
      <c r="GN35" t="b">
        <f t="array" ref="GN35">$CT$22:$CU$22&lt;=$R$2:$S$2</f>
        <v>1</v>
      </c>
    </row>
    <row r="36" spans="7:196" x14ac:dyDescent="0.25">
      <c r="G36" s="123" t="s">
        <v>12</v>
      </c>
      <c r="H36">
        <v>4644.9300000000239</v>
      </c>
      <c r="I36" s="224">
        <f>J98</f>
        <v>5201.1000000000004</v>
      </c>
      <c r="J36">
        <f>H36*S29</f>
        <v>2573291.2200000132</v>
      </c>
      <c r="K36" s="194">
        <f>L98</f>
        <v>2793396.3200000133</v>
      </c>
      <c r="M36" s="194">
        <f>K98</f>
        <v>80858725</v>
      </c>
      <c r="N36" s="194">
        <f>M36-T29</f>
        <v>7997975</v>
      </c>
      <c r="AL36">
        <f>COUNT($CK$19:$CR$19,$CT$19:$CU$19,$CX$19,$CK$22:$CR$22,$CT$22:$CU$22,$CX$22,$Z$29,$O$54:$O$58,$M$106:$M$109)</f>
        <v>32</v>
      </c>
      <c r="GJ36" t="b">
        <f t="array" ref="GJ36">$CM$24:$CN$24&gt;=$K$24:$L$24</f>
        <v>1</v>
      </c>
      <c r="GL36" t="b">
        <f>$CX$22&lt;=$V$2</f>
        <v>1</v>
      </c>
      <c r="GN36" t="b">
        <f t="array" ref="GN36">$CT$23:$CY$23&lt;=$R$3:$W$3</f>
        <v>1</v>
      </c>
    </row>
    <row r="37" spans="7:196" x14ac:dyDescent="0.25">
      <c r="G37" s="124" t="s">
        <v>30</v>
      </c>
      <c r="H37">
        <v>1951.5199999999813</v>
      </c>
      <c r="I37" s="224">
        <f t="shared" ref="I37:I38" si="40">J99</f>
        <v>2009.0884839999812</v>
      </c>
      <c r="J37">
        <f t="shared" ref="J37:J38" si="41">H37*S30</f>
        <v>241988.47999999768</v>
      </c>
      <c r="K37" s="194">
        <f t="shared" ref="K37:K38" si="42">L99</f>
        <v>219242.25207943108</v>
      </c>
      <c r="M37" s="194">
        <f t="shared" ref="M37:M38" si="43">K99</f>
        <v>23236385.720550273</v>
      </c>
      <c r="N37" s="194">
        <f t="shared" ref="N37:N38" si="44">M37-T30</f>
        <v>679635.72055027261</v>
      </c>
      <c r="AL37" t="b">
        <f>$AC$29=$O$154</f>
        <v>0</v>
      </c>
      <c r="GJ37" t="b">
        <f>$CX$24&gt;=$V$24</f>
        <v>1</v>
      </c>
      <c r="GL37" t="b">
        <f>$CX$22&gt;=$V$22</f>
        <v>1</v>
      </c>
      <c r="GN37" t="b">
        <f t="array" ref="GN37">$N$154:$N$156=$K$154:$K$156</f>
        <v>0</v>
      </c>
    </row>
    <row r="38" spans="7:196" x14ac:dyDescent="0.25">
      <c r="G38" s="124" t="s">
        <v>38</v>
      </c>
      <c r="H38">
        <v>1248.8699999999988</v>
      </c>
      <c r="I38" s="224">
        <f t="shared" si="40"/>
        <v>1254.4290055999988</v>
      </c>
      <c r="J38">
        <f t="shared" si="41"/>
        <v>31221.749999999967</v>
      </c>
      <c r="K38" s="194">
        <f t="shared" si="42"/>
        <v>33793.383980409075</v>
      </c>
      <c r="M38" s="194">
        <f t="shared" si="43"/>
        <v>16257640.997074982</v>
      </c>
      <c r="N38" s="194">
        <f t="shared" si="44"/>
        <v>-402984.00292501785</v>
      </c>
      <c r="AL38" t="b">
        <f t="array" ref="AL38">$CK$19:$CR$19&lt;=$CK$4:$CR$4</f>
        <v>1</v>
      </c>
      <c r="GJ38" t="b">
        <f t="array" ref="GJ38">$CT$22:$CU$22&lt;=$R$2:$S$2</f>
        <v>1</v>
      </c>
      <c r="GL38" t="b">
        <f t="array" ref="GL38">$CT$22:$CU$22&gt;=$R$22:$S$22</f>
        <v>1</v>
      </c>
      <c r="GN38" t="b">
        <f t="array" ref="GN38">$DA$24:$DD$24&gt;=$Y$24:$AB$24</f>
        <v>1</v>
      </c>
    </row>
    <row r="39" spans="7:196" x14ac:dyDescent="0.25">
      <c r="AL39" t="b">
        <f t="array" ref="AL39">$CK$22:$CR$22&lt;=$I$2:$P$2</f>
        <v>1</v>
      </c>
      <c r="GJ39" t="b">
        <f t="array" ref="GJ39">$DA$24:$DD$24&lt;=$Y$4:$AB$4</f>
        <v>1</v>
      </c>
      <c r="GL39" t="b">
        <f t="array" ref="GL39">$CM$24:$CN$24&lt;=$K$4:$L$4</f>
        <v>1</v>
      </c>
      <c r="GN39" t="b">
        <f t="array" ref="GN39">$DA$24:$DD$24&lt;=$Y$4:$AB$4</f>
        <v>1</v>
      </c>
    </row>
    <row r="40" spans="7:196" x14ac:dyDescent="0.25">
      <c r="AL40" t="b">
        <f t="array" ref="AL40">$CT$19:$CU$19&lt;=$CT$4:$CU$4</f>
        <v>1</v>
      </c>
      <c r="GJ40" t="b">
        <f t="array" ref="GJ40">$CT$23:$CY$23&lt;=$R$3:$W$3</f>
        <v>1</v>
      </c>
      <c r="GL40" t="b">
        <f t="array" ref="GL40">$DA$24:$DD$24&gt;=$Y$24:$AB$24</f>
        <v>1</v>
      </c>
      <c r="GN40" t="b">
        <f>$CX$24&gt;=$V$24</f>
        <v>1</v>
      </c>
    </row>
    <row r="41" spans="7:196" x14ac:dyDescent="0.25">
      <c r="AL41" t="b">
        <f t="array" ref="AL41">$CT$22:$CU$22&lt;=$R$2:$S$2</f>
        <v>1</v>
      </c>
      <c r="GJ41" t="b">
        <f t="array" ref="GJ41">$DA$24:$DD$24&gt;=$Y$24:$AB$24</f>
        <v>1</v>
      </c>
      <c r="GL41" t="b">
        <f t="array" ref="GL41">$DA$24:$DD$24&lt;=$Y$4:$AB$4</f>
        <v>1</v>
      </c>
      <c r="GN41" t="b">
        <f>$CX$24&lt;=$V$4</f>
        <v>1</v>
      </c>
    </row>
    <row r="42" spans="7:196" x14ac:dyDescent="0.25">
      <c r="AL42" t="b">
        <f>$CX$19&lt;=$CX$4</f>
        <v>1</v>
      </c>
      <c r="GJ42" t="b">
        <f t="array" ref="GJ42">$CT$23:$CY$23&gt;=$R$23:$W$23</f>
        <v>1</v>
      </c>
      <c r="GL42" t="b">
        <f>$CX$24&lt;=$V$4</f>
        <v>1</v>
      </c>
      <c r="GN42" t="b">
        <f t="array" ref="GN42">$CT$23:$CY$23&gt;=$R$23:$W$23</f>
        <v>1</v>
      </c>
    </row>
    <row r="43" spans="7:196" x14ac:dyDescent="0.25">
      <c r="AL43" t="b">
        <f>$CX$19&lt;=$V$2</f>
        <v>1</v>
      </c>
      <c r="GJ43" t="b">
        <f>$CX$22&lt;=$V$2</f>
        <v>1</v>
      </c>
      <c r="GL43" t="b">
        <f>$CX$24&gt;=$V$24</f>
        <v>1</v>
      </c>
      <c r="GN43" t="b">
        <f t="array" ref="GN43">$CT$22:$CU$22&gt;=$R$22:$S$22</f>
        <v>1</v>
      </c>
    </row>
    <row r="44" spans="7:196" x14ac:dyDescent="0.25">
      <c r="AL44" t="b">
        <f>$DG$27&gt;=0%</f>
        <v>1</v>
      </c>
      <c r="GJ44" t="b">
        <f t="array" ref="GJ44">$CM$24:$CN$24&lt;=$K$4:$L$4</f>
        <v>1</v>
      </c>
      <c r="GL44" t="b">
        <f t="array" ref="GL44">$CT$23:$CY$23&gt;=$R$23:$W$23</f>
        <v>1</v>
      </c>
      <c r="GN44" t="b">
        <f>$CX$22&lt;=$V$2</f>
        <v>1</v>
      </c>
    </row>
    <row r="45" spans="7:196" x14ac:dyDescent="0.25">
      <c r="AL45" t="b">
        <f>$DG$28&gt;=0%</f>
        <v>1</v>
      </c>
      <c r="GJ45" s="411" t="b">
        <f t="array" ref="GJ45">$N$154:$N$156=$K$154:$K$156</f>
        <v>0</v>
      </c>
      <c r="GL45" t="b">
        <f t="array" ref="GL45">$N$154:$N$156=$K$154:$K$156</f>
        <v>0</v>
      </c>
      <c r="GN45" t="b">
        <f>$CX$22&gt;=$V$22</f>
        <v>1</v>
      </c>
    </row>
    <row r="46" spans="7:196" x14ac:dyDescent="0.25">
      <c r="AL46" t="b">
        <f>$O$110&lt;=$Q$104</f>
        <v>1</v>
      </c>
      <c r="GJ46" s="411" t="b">
        <f t="array" ref="GJ46">$N$154:$N$156=$K$154:$K$156</f>
        <v>0</v>
      </c>
      <c r="GL46" t="b">
        <f t="array" ref="GL46">$N$154:$N$156=$K$154:$K$156</f>
        <v>0</v>
      </c>
      <c r="GN46">
        <f>{32767,32767,0.000001,0.01,FALSE,FALSE,TRUE,1,1,1,0.0001,TRUE}</f>
        <v>32767</v>
      </c>
    </row>
    <row r="47" spans="7:196" x14ac:dyDescent="0.25">
      <c r="AL47" t="b">
        <f>$O$110&gt;=$L$111</f>
        <v>1</v>
      </c>
      <c r="GJ47">
        <f>{32767,32767,0.000001,0.01,FALSE,FALSE,TRUE,1,1,1,0.0001,TRUE}</f>
        <v>32767</v>
      </c>
      <c r="GL47">
        <f>{32767,32767,0.000001,0.01,FALSE,FALSE,TRUE,1,1,1,0.0001,TRUE}</f>
        <v>32767</v>
      </c>
      <c r="GN47">
        <f>{0,0,1,100,0,FALSE,TRUE,0.075,0,0,FALSE,30}</f>
        <v>0</v>
      </c>
    </row>
    <row r="48" spans="7:196" x14ac:dyDescent="0.25">
      <c r="AL48" t="b">
        <f>$O$63&lt;=$N$63</f>
        <v>0</v>
      </c>
      <c r="GJ48">
        <f>{0,0,1,100,0,FALSE,TRUE,0.075,0,0,FALSE,30}</f>
        <v>0</v>
      </c>
      <c r="GL48">
        <f>{0,0,1,100,0,FALSE,TRUE,0.075,0,0,FALSE,30}</f>
        <v>0</v>
      </c>
    </row>
    <row r="49" spans="6:38" x14ac:dyDescent="0.25">
      <c r="AL49" t="b">
        <f>$Z$29&lt;=$L$29</f>
        <v>1</v>
      </c>
    </row>
    <row r="50" spans="6:38" x14ac:dyDescent="0.25">
      <c r="AL50" t="b">
        <f>$Z$29&gt;=$H$29</f>
        <v>1</v>
      </c>
    </row>
    <row r="51" spans="6:38" x14ac:dyDescent="0.25">
      <c r="AL51">
        <f>{32767,32767,0.000001,0.01,FALSE,FALSE,TRUE,1,1,1,0.0001,TRUE}</f>
        <v>32767</v>
      </c>
    </row>
    <row r="52" spans="6:38" x14ac:dyDescent="0.25">
      <c r="V52" t="s">
        <v>172</v>
      </c>
      <c r="W52" t="s">
        <v>173</v>
      </c>
      <c r="AL52">
        <f>{0,0,1,100,0,FALSE,TRUE,0.075,0,0,FALSE,30}</f>
        <v>0</v>
      </c>
    </row>
    <row r="53" spans="6:38" x14ac:dyDescent="0.25">
      <c r="F53" t="s">
        <v>73</v>
      </c>
      <c r="G53" s="533" t="s">
        <v>12</v>
      </c>
      <c r="H53" s="211" t="s">
        <v>158</v>
      </c>
      <c r="I53" s="211" t="s">
        <v>159</v>
      </c>
      <c r="J53" s="211" t="s">
        <v>95</v>
      </c>
      <c r="K53" s="211" t="s">
        <v>96</v>
      </c>
      <c r="L53" s="212" t="s">
        <v>160</v>
      </c>
      <c r="M53" s="212" t="s">
        <v>161</v>
      </c>
      <c r="N53" s="213" t="s">
        <v>162</v>
      </c>
      <c r="O53" s="214" t="s">
        <v>163</v>
      </c>
      <c r="P53" s="215" t="s">
        <v>164</v>
      </c>
      <c r="Q53" s="215" t="s">
        <v>165</v>
      </c>
      <c r="R53" s="216" t="s">
        <v>166</v>
      </c>
      <c r="S53" s="217" t="s">
        <v>167</v>
      </c>
      <c r="T53" s="217" t="s">
        <v>168</v>
      </c>
      <c r="V53" s="220">
        <f>SUM(S54:S58)</f>
        <v>2201051</v>
      </c>
      <c r="W53" s="220">
        <f>SUM(R54:R58)</f>
        <v>2421156.1</v>
      </c>
      <c r="Y53" t="s">
        <v>230</v>
      </c>
      <c r="Z53" t="s">
        <v>231</v>
      </c>
    </row>
    <row r="54" spans="6:38" x14ac:dyDescent="0.25">
      <c r="F54" s="210">
        <f>I54/L54</f>
        <v>1.4734350892660347E-2</v>
      </c>
      <c r="G54" s="533"/>
      <c r="H54" t="s">
        <v>97</v>
      </c>
      <c r="I54">
        <v>333</v>
      </c>
      <c r="J54">
        <v>36296000</v>
      </c>
      <c r="K54">
        <v>1606</v>
      </c>
      <c r="L54" s="4">
        <f>J54/K54</f>
        <v>22600.249066002492</v>
      </c>
      <c r="M54" s="218">
        <f>K54/SUM($K$54:$K$58)</f>
        <v>0.35366659326139616</v>
      </c>
      <c r="N54" s="219">
        <f>0.9*K54</f>
        <v>1445.4</v>
      </c>
      <c r="O54" s="3">
        <v>321.19999999999982</v>
      </c>
      <c r="P54" s="3">
        <f>N54+O54</f>
        <v>1766.6</v>
      </c>
      <c r="Q54">
        <f>P54*L54</f>
        <v>39925600</v>
      </c>
      <c r="R54" s="220">
        <f>P54*I54</f>
        <v>588277.79999999993</v>
      </c>
      <c r="S54" s="220">
        <f>K54*I54</f>
        <v>534798</v>
      </c>
      <c r="T54" s="220">
        <f>R54-S54</f>
        <v>53479.79999999993</v>
      </c>
      <c r="V54" s="203">
        <f>S54/$V$53</f>
        <v>0.24297392472959509</v>
      </c>
      <c r="W54" s="203">
        <f>R54/$W$53</f>
        <v>0.24297392472959506</v>
      </c>
      <c r="Y54" s="210">
        <f>J54/S54</f>
        <v>67.868615813821293</v>
      </c>
      <c r="Z54" s="210">
        <f>Q54/R54</f>
        <v>67.868615813821307</v>
      </c>
    </row>
    <row r="55" spans="6:38" x14ac:dyDescent="0.25">
      <c r="F55" s="210">
        <f t="shared" ref="F55:F58" si="45">I55/L55</f>
        <v>2.2832989690721648E-2</v>
      </c>
      <c r="G55" s="533"/>
      <c r="H55" t="s">
        <v>171</v>
      </c>
      <c r="I55">
        <v>392</v>
      </c>
      <c r="J55">
        <v>13580000</v>
      </c>
      <c r="K55">
        <v>791</v>
      </c>
      <c r="L55" s="4">
        <f t="shared" ref="L55:L59" si="46">J55/K55</f>
        <v>17168.141592920354</v>
      </c>
      <c r="M55" s="218">
        <f t="shared" ref="M55:M58" si="47">K55/SUM($K$54:$K$58)</f>
        <v>0.1741907068927549</v>
      </c>
      <c r="N55" s="219">
        <f t="shared" ref="N55:N58" si="48">0.9*K55</f>
        <v>711.9</v>
      </c>
      <c r="O55" s="3">
        <v>158.19999999999993</v>
      </c>
      <c r="P55" s="3">
        <f t="shared" ref="P55:P59" si="49">N55+O55</f>
        <v>870.09999999999991</v>
      </c>
      <c r="Q55">
        <f t="shared" ref="Q55:Q59" si="50">P55*L55</f>
        <v>14937999.999999998</v>
      </c>
      <c r="R55" s="220">
        <f t="shared" ref="R55:R58" si="51">P55*I55</f>
        <v>341079.19999999995</v>
      </c>
      <c r="S55" s="220">
        <f t="shared" ref="S55:S58" si="52">K55*I55</f>
        <v>310072</v>
      </c>
      <c r="T55" s="220">
        <f t="shared" ref="T55:T58" si="53">R55-S55</f>
        <v>31007.199999999953</v>
      </c>
      <c r="V55" s="203">
        <f t="shared" ref="V55:V58" si="54">S55/$V$53</f>
        <v>0.14087451858225911</v>
      </c>
      <c r="W55" s="203">
        <f t="shared" ref="W55:W59" si="55">R55/$W$53</f>
        <v>0.14087451858225908</v>
      </c>
      <c r="Y55" s="210">
        <f t="shared" ref="Y55:Y58" si="56">J55/S55</f>
        <v>43.79627957377641</v>
      </c>
      <c r="Z55" s="210">
        <f t="shared" ref="Z55:Z59" si="57">Q55/R55</f>
        <v>43.796279573776417</v>
      </c>
    </row>
    <row r="56" spans="6:38" x14ac:dyDescent="0.25">
      <c r="F56" s="210">
        <f t="shared" si="45"/>
        <v>5.0920199313919424E-2</v>
      </c>
      <c r="G56" s="533"/>
      <c r="H56" t="s">
        <v>100</v>
      </c>
      <c r="I56">
        <v>656</v>
      </c>
      <c r="J56">
        <v>9984250</v>
      </c>
      <c r="K56">
        <v>775</v>
      </c>
      <c r="L56" s="4">
        <f t="shared" si="46"/>
        <v>12882.903225806451</v>
      </c>
      <c r="M56" s="218">
        <f t="shared" si="47"/>
        <v>0.17066725390883064</v>
      </c>
      <c r="N56" s="219">
        <f t="shared" si="48"/>
        <v>697.5</v>
      </c>
      <c r="O56" s="3">
        <v>155</v>
      </c>
      <c r="P56" s="3">
        <f t="shared" si="49"/>
        <v>852.5</v>
      </c>
      <c r="Q56">
        <f t="shared" si="50"/>
        <v>10982675</v>
      </c>
      <c r="R56" s="220">
        <f t="shared" si="51"/>
        <v>559240</v>
      </c>
      <c r="S56" s="220">
        <f t="shared" si="52"/>
        <v>508400</v>
      </c>
      <c r="T56" s="220">
        <f t="shared" si="53"/>
        <v>50840</v>
      </c>
      <c r="V56" s="203">
        <f t="shared" si="54"/>
        <v>0.23098056337631431</v>
      </c>
      <c r="W56" s="203">
        <f t="shared" si="55"/>
        <v>0.23098056337631431</v>
      </c>
      <c r="Y56" s="210">
        <f t="shared" si="56"/>
        <v>19.638571990558614</v>
      </c>
      <c r="Z56" s="210">
        <f t="shared" si="57"/>
        <v>19.638571990558614</v>
      </c>
    </row>
    <row r="57" spans="6:38" x14ac:dyDescent="0.25">
      <c r="F57" s="210">
        <f t="shared" si="45"/>
        <v>5.5157690205841277E-2</v>
      </c>
      <c r="G57" s="533"/>
      <c r="H57" t="s">
        <v>114</v>
      </c>
      <c r="I57">
        <v>419</v>
      </c>
      <c r="J57">
        <v>8234500</v>
      </c>
      <c r="K57">
        <v>1084</v>
      </c>
      <c r="L57" s="278">
        <f t="shared" si="46"/>
        <v>7596.4022140221405</v>
      </c>
      <c r="M57" s="218">
        <f t="shared" si="47"/>
        <v>0.23871393966086765</v>
      </c>
      <c r="N57" s="219">
        <f t="shared" si="48"/>
        <v>975.6</v>
      </c>
      <c r="O57" s="3">
        <v>216.79999999999995</v>
      </c>
      <c r="P57" s="3">
        <f t="shared" si="49"/>
        <v>1192.4000000000001</v>
      </c>
      <c r="Q57">
        <f t="shared" si="50"/>
        <v>9057950.0000000019</v>
      </c>
      <c r="R57" s="220">
        <f t="shared" si="51"/>
        <v>499615.60000000003</v>
      </c>
      <c r="S57" s="220">
        <f t="shared" si="52"/>
        <v>454196</v>
      </c>
      <c r="T57" s="220">
        <f t="shared" si="53"/>
        <v>45419.600000000035</v>
      </c>
      <c r="V57" s="203">
        <f t="shared" si="54"/>
        <v>0.20635414626921411</v>
      </c>
      <c r="W57" s="203">
        <f t="shared" si="55"/>
        <v>0.20635414626921411</v>
      </c>
      <c r="Y57" s="210">
        <f t="shared" si="56"/>
        <v>18.129838219623245</v>
      </c>
      <c r="Z57" s="210">
        <f t="shared" si="57"/>
        <v>18.129838219623249</v>
      </c>
    </row>
    <row r="58" spans="6:38" x14ac:dyDescent="0.25">
      <c r="F58" s="210">
        <f t="shared" si="45"/>
        <v>9.9015094339622647E-2</v>
      </c>
      <c r="G58" s="533"/>
      <c r="H58" t="s">
        <v>118</v>
      </c>
      <c r="I58" s="2">
        <v>1381</v>
      </c>
      <c r="J58">
        <v>3975000</v>
      </c>
      <c r="K58">
        <v>285</v>
      </c>
      <c r="L58" s="278">
        <f t="shared" si="46"/>
        <v>13947.368421052632</v>
      </c>
      <c r="M58" s="218">
        <f t="shared" si="47"/>
        <v>6.2761506276150625E-2</v>
      </c>
      <c r="N58" s="219">
        <f t="shared" si="48"/>
        <v>256.5</v>
      </c>
      <c r="O58" s="3">
        <v>57</v>
      </c>
      <c r="P58" s="3">
        <f t="shared" si="49"/>
        <v>313.5</v>
      </c>
      <c r="Q58">
        <f t="shared" si="50"/>
        <v>4372500</v>
      </c>
      <c r="R58" s="220">
        <f t="shared" si="51"/>
        <v>432943.5</v>
      </c>
      <c r="S58" s="220">
        <f t="shared" si="52"/>
        <v>393585</v>
      </c>
      <c r="T58" s="220">
        <f t="shared" si="53"/>
        <v>39358.5</v>
      </c>
      <c r="V58" s="203">
        <f t="shared" si="54"/>
        <v>0.17881684704261736</v>
      </c>
      <c r="W58" s="203">
        <f t="shared" si="55"/>
        <v>0.17881684704261736</v>
      </c>
      <c r="Y58" s="210">
        <f t="shared" si="56"/>
        <v>10.09947025420176</v>
      </c>
      <c r="Z58" s="210">
        <f t="shared" si="57"/>
        <v>10.09947025420176</v>
      </c>
    </row>
    <row r="59" spans="6:38" x14ac:dyDescent="0.25">
      <c r="G59" s="533"/>
      <c r="H59" t="s">
        <v>105</v>
      </c>
      <c r="J59">
        <v>791000</v>
      </c>
      <c r="K59">
        <v>103</v>
      </c>
      <c r="L59">
        <f t="shared" si="46"/>
        <v>7679.6116504854372</v>
      </c>
      <c r="M59" s="218"/>
      <c r="N59" s="219">
        <v>103</v>
      </c>
      <c r="O59">
        <v>103</v>
      </c>
      <c r="P59" s="3">
        <f t="shared" si="49"/>
        <v>206</v>
      </c>
      <c r="Q59">
        <f t="shared" si="50"/>
        <v>1582000</v>
      </c>
      <c r="R59" s="220">
        <v>372240.22000001324</v>
      </c>
      <c r="S59" s="220">
        <v>372240.22000001324</v>
      </c>
      <c r="T59" s="220"/>
      <c r="W59" s="203">
        <f t="shared" si="55"/>
        <v>0.15374482463151104</v>
      </c>
      <c r="Z59" s="210">
        <f t="shared" si="57"/>
        <v>4.2499437594356237</v>
      </c>
    </row>
    <row r="60" spans="6:38" x14ac:dyDescent="0.25">
      <c r="N60" s="3">
        <f>SUM(N54:N59)</f>
        <v>4189.8999999999996</v>
      </c>
      <c r="O60">
        <f>SUM(O54:O59)</f>
        <v>1011.1999999999997</v>
      </c>
      <c r="P60" s="3">
        <f>SUM(P54:P59)</f>
        <v>5201.1000000000004</v>
      </c>
      <c r="Q60" s="3">
        <f t="shared" ref="Q60:S60" si="58">SUM(Q54:Q59)</f>
        <v>80858725</v>
      </c>
      <c r="R60" s="3">
        <f t="shared" si="58"/>
        <v>2793396.3200000133</v>
      </c>
      <c r="S60" s="3">
        <f t="shared" si="58"/>
        <v>2573291.2200000132</v>
      </c>
      <c r="T60" s="220">
        <f>SUM(T54:T58)</f>
        <v>220105.09999999992</v>
      </c>
    </row>
    <row r="61" spans="6:38" x14ac:dyDescent="0.25">
      <c r="N61" s="3"/>
      <c r="P61" s="3"/>
      <c r="Q61" s="3"/>
      <c r="R61" s="221"/>
    </row>
    <row r="62" spans="6:38" x14ac:dyDescent="0.25">
      <c r="N62" s="222" t="s">
        <v>169</v>
      </c>
      <c r="O62" s="222" t="s">
        <v>170</v>
      </c>
    </row>
    <row r="63" spans="6:38" x14ac:dyDescent="0.25">
      <c r="N63" s="11">
        <f>H36-N60</f>
        <v>455.0300000000243</v>
      </c>
      <c r="O63" s="19">
        <f>SUM(O54:O59)</f>
        <v>1011.1999999999997</v>
      </c>
      <c r="S63" s="220"/>
    </row>
    <row r="66" spans="6:26" x14ac:dyDescent="0.25">
      <c r="V66" t="s">
        <v>172</v>
      </c>
      <c r="W66" t="s">
        <v>173</v>
      </c>
    </row>
    <row r="67" spans="6:26" x14ac:dyDescent="0.25">
      <c r="F67" t="s">
        <v>73</v>
      </c>
      <c r="G67" s="533" t="s">
        <v>30</v>
      </c>
      <c r="H67" s="211" t="s">
        <v>158</v>
      </c>
      <c r="I67" s="211" t="s">
        <v>159</v>
      </c>
      <c r="J67" s="211" t="s">
        <v>95</v>
      </c>
      <c r="K67" s="211" t="s">
        <v>96</v>
      </c>
      <c r="L67" s="212" t="s">
        <v>160</v>
      </c>
      <c r="M67" s="212" t="s">
        <v>161</v>
      </c>
      <c r="N67" s="213" t="s">
        <v>162</v>
      </c>
      <c r="O67" s="214" t="s">
        <v>163</v>
      </c>
      <c r="P67" s="215" t="s">
        <v>164</v>
      </c>
      <c r="Q67" s="215" t="s">
        <v>165</v>
      </c>
      <c r="R67" s="216" t="s">
        <v>166</v>
      </c>
      <c r="S67" s="217" t="s">
        <v>167</v>
      </c>
      <c r="T67" s="217" t="s">
        <v>168</v>
      </c>
      <c r="V67" s="220">
        <f>SUM(S68:S72)</f>
        <v>201364</v>
      </c>
      <c r="W67" s="220">
        <f>SUM(R68:R72)</f>
        <v>219242.25207943108</v>
      </c>
      <c r="Y67" t="s">
        <v>230</v>
      </c>
      <c r="Z67" t="s">
        <v>231</v>
      </c>
    </row>
    <row r="68" spans="6:26" x14ac:dyDescent="0.25">
      <c r="F68" s="210">
        <f>I68/L68</f>
        <v>4.1741265437403325E-3</v>
      </c>
      <c r="G68" s="533"/>
      <c r="H68" t="s">
        <v>97</v>
      </c>
      <c r="I68">
        <v>79</v>
      </c>
      <c r="J68">
        <v>10182250</v>
      </c>
      <c r="K68">
        <v>538</v>
      </c>
      <c r="L68">
        <f>J68/K68</f>
        <v>18926.115241635689</v>
      </c>
      <c r="M68" s="218">
        <f>K68/SUM($K$68:$K$72)</f>
        <v>0.28390501319261213</v>
      </c>
      <c r="N68" s="219">
        <f>0.8*K68</f>
        <v>430.40000000000003</v>
      </c>
      <c r="O68">
        <v>44.049704711592263</v>
      </c>
      <c r="P68" s="3">
        <f>N68+O68</f>
        <v>474.44970471159229</v>
      </c>
      <c r="Q68">
        <f>P68*L68</f>
        <v>8979489.7877316196</v>
      </c>
      <c r="R68" s="220">
        <f>P68*I68</f>
        <v>37481.52667221579</v>
      </c>
      <c r="S68" s="220">
        <f>K68*I68</f>
        <v>42502</v>
      </c>
      <c r="T68" s="220">
        <f>R68-S68</f>
        <v>-5020.4733277842097</v>
      </c>
      <c r="V68" s="203">
        <f>S68/$V$67</f>
        <v>0.21107049919548679</v>
      </c>
      <c r="W68" s="203">
        <f>R68/$W$67</f>
        <v>0.1709594127806911</v>
      </c>
      <c r="Y68" s="210">
        <f>J68/S68</f>
        <v>239.57107900804667</v>
      </c>
      <c r="Z68" s="210">
        <f>Q68/R68</f>
        <v>239.57107900804672</v>
      </c>
    </row>
    <row r="69" spans="6:26" x14ac:dyDescent="0.25">
      <c r="F69" s="210">
        <f t="shared" ref="F69:F72" si="59">I69/L69</f>
        <v>8.3942677385529536E-3</v>
      </c>
      <c r="G69" s="533"/>
      <c r="H69" t="s">
        <v>171</v>
      </c>
      <c r="I69">
        <v>114</v>
      </c>
      <c r="J69">
        <v>4291500</v>
      </c>
      <c r="K69">
        <v>316</v>
      </c>
      <c r="L69">
        <f t="shared" ref="L69:L73" si="60">J69/K69</f>
        <v>13580.696202531646</v>
      </c>
      <c r="M69" s="218">
        <f t="shared" ref="M69:M72" si="61">K69/SUM($K$68:$K$72)</f>
        <v>0.16675461741424802</v>
      </c>
      <c r="N69" s="219">
        <f t="shared" ref="N69:N72" si="62">0.8*K69</f>
        <v>252.8</v>
      </c>
      <c r="O69">
        <v>119.51204881294504</v>
      </c>
      <c r="P69" s="3">
        <f t="shared" ref="P69:P73" si="63">N69+O69</f>
        <v>372.31204881294502</v>
      </c>
      <c r="Q69">
        <f t="shared" ref="Q69:Q73" si="64">P69*L69</f>
        <v>5056256.8274707394</v>
      </c>
      <c r="R69" s="220">
        <f t="shared" ref="R69:R72" si="65">P69*I69</f>
        <v>42443.573564675731</v>
      </c>
      <c r="S69" s="220">
        <f t="shared" ref="S69:S72" si="66">K69*I69</f>
        <v>36024</v>
      </c>
      <c r="T69" s="220">
        <f t="shared" ref="T69:T72" si="67">R69-S69</f>
        <v>6419.5735646757312</v>
      </c>
      <c r="V69" s="203">
        <f t="shared" ref="V69:V72" si="68">S69/$V$67</f>
        <v>0.17889990266383266</v>
      </c>
      <c r="W69" s="203">
        <f t="shared" ref="W69:W72" si="69">R69/$W$67</f>
        <v>0.19359212543254892</v>
      </c>
      <c r="Y69" s="210">
        <f t="shared" ref="Y69:Y72" si="70">J69/S69</f>
        <v>119.12891405729513</v>
      </c>
      <c r="Z69" s="210">
        <f t="shared" ref="Z69:Z72" si="71">Q69/R69</f>
        <v>119.12891405729515</v>
      </c>
    </row>
    <row r="70" spans="6:26" x14ac:dyDescent="0.25">
      <c r="F70" s="210">
        <f t="shared" si="59"/>
        <v>1.3970781826938512E-2</v>
      </c>
      <c r="G70" s="533"/>
      <c r="H70" t="s">
        <v>100</v>
      </c>
      <c r="I70">
        <v>168</v>
      </c>
      <c r="J70">
        <v>3114500</v>
      </c>
      <c r="K70">
        <v>259</v>
      </c>
      <c r="L70">
        <f t="shared" si="60"/>
        <v>12025.096525096526</v>
      </c>
      <c r="M70" s="218">
        <f t="shared" si="61"/>
        <v>0.13667546174142481</v>
      </c>
      <c r="N70" s="219">
        <f t="shared" si="62"/>
        <v>207.20000000000002</v>
      </c>
      <c r="O70">
        <v>117.66017042419443</v>
      </c>
      <c r="P70" s="3">
        <f t="shared" si="63"/>
        <v>324.86017042419445</v>
      </c>
      <c r="Q70">
        <f t="shared" si="64"/>
        <v>3906474.906510246</v>
      </c>
      <c r="R70" s="220">
        <f t="shared" si="65"/>
        <v>54576.508631264667</v>
      </c>
      <c r="S70" s="220">
        <f t="shared" si="66"/>
        <v>43512</v>
      </c>
      <c r="T70" s="220">
        <f t="shared" si="67"/>
        <v>11064.508631264667</v>
      </c>
      <c r="V70" s="203">
        <f t="shared" si="68"/>
        <v>0.21608629149202441</v>
      </c>
      <c r="W70" s="203">
        <f t="shared" si="69"/>
        <v>0.24893243940721652</v>
      </c>
      <c r="Y70" s="210">
        <f t="shared" si="70"/>
        <v>71.577955506526934</v>
      </c>
      <c r="Z70" s="210">
        <f t="shared" si="71"/>
        <v>71.577955506526948</v>
      </c>
    </row>
    <row r="71" spans="6:26" x14ac:dyDescent="0.25">
      <c r="F71" s="210">
        <f t="shared" si="59"/>
        <v>1.407976071784646E-2</v>
      </c>
      <c r="G71" s="533"/>
      <c r="H71" t="s">
        <v>114</v>
      </c>
      <c r="I71">
        <v>69</v>
      </c>
      <c r="J71">
        <v>3009000</v>
      </c>
      <c r="K71">
        <v>614</v>
      </c>
      <c r="L71">
        <f t="shared" si="60"/>
        <v>4900.651465798046</v>
      </c>
      <c r="M71" s="218">
        <f t="shared" si="61"/>
        <v>0.32401055408970975</v>
      </c>
      <c r="N71" s="219">
        <f t="shared" si="62"/>
        <v>491.20000000000005</v>
      </c>
      <c r="O71">
        <v>0</v>
      </c>
      <c r="P71" s="3">
        <f t="shared" si="63"/>
        <v>491.20000000000005</v>
      </c>
      <c r="Q71">
        <f t="shared" si="64"/>
        <v>2407200.0000000005</v>
      </c>
      <c r="R71" s="220">
        <f t="shared" si="65"/>
        <v>33892.800000000003</v>
      </c>
      <c r="S71" s="220">
        <f t="shared" si="66"/>
        <v>42366</v>
      </c>
      <c r="T71" s="220">
        <f t="shared" si="67"/>
        <v>-8473.1999999999971</v>
      </c>
      <c r="V71" s="203">
        <f t="shared" si="68"/>
        <v>0.21039510538129955</v>
      </c>
      <c r="W71" s="203">
        <f t="shared" si="69"/>
        <v>0.15459063970808282</v>
      </c>
      <c r="Y71" s="210">
        <f t="shared" si="70"/>
        <v>71.023934286928196</v>
      </c>
      <c r="Z71" s="210">
        <f t="shared" si="71"/>
        <v>71.02393428692821</v>
      </c>
    </row>
    <row r="72" spans="6:26" x14ac:dyDescent="0.25">
      <c r="F72" s="210">
        <f t="shared" si="59"/>
        <v>2.2355965522455768E-2</v>
      </c>
      <c r="G72" s="533"/>
      <c r="H72" t="s">
        <v>118</v>
      </c>
      <c r="I72">
        <v>220</v>
      </c>
      <c r="J72">
        <v>1653250</v>
      </c>
      <c r="K72">
        <v>168</v>
      </c>
      <c r="L72">
        <f t="shared" si="60"/>
        <v>9840.7738095238092</v>
      </c>
      <c r="M72" s="218">
        <f t="shared" si="61"/>
        <v>8.8654353562005281E-2</v>
      </c>
      <c r="N72" s="219">
        <f t="shared" si="62"/>
        <v>134.4</v>
      </c>
      <c r="O72">
        <v>96.726560051249507</v>
      </c>
      <c r="P72" s="3">
        <f t="shared" si="63"/>
        <v>231.1265600512495</v>
      </c>
      <c r="Q72">
        <f t="shared" si="64"/>
        <v>2274464.1988376682</v>
      </c>
      <c r="R72" s="220">
        <f t="shared" si="65"/>
        <v>50847.843211274892</v>
      </c>
      <c r="S72" s="220">
        <f t="shared" si="66"/>
        <v>36960</v>
      </c>
      <c r="T72" s="220">
        <f t="shared" si="67"/>
        <v>13887.843211274892</v>
      </c>
      <c r="V72" s="203">
        <f t="shared" si="68"/>
        <v>0.18354820126735663</v>
      </c>
      <c r="W72" s="203">
        <f t="shared" si="69"/>
        <v>0.23192538267146065</v>
      </c>
      <c r="Y72" s="210">
        <f t="shared" si="70"/>
        <v>44.730790043290042</v>
      </c>
      <c r="Z72" s="210">
        <f t="shared" si="71"/>
        <v>44.730790043290042</v>
      </c>
    </row>
    <row r="73" spans="6:26" x14ac:dyDescent="0.25">
      <c r="G73" s="533"/>
      <c r="H73" t="s">
        <v>105</v>
      </c>
      <c r="J73">
        <v>306250</v>
      </c>
      <c r="K73">
        <v>57.569999999999993</v>
      </c>
      <c r="L73">
        <f t="shared" si="60"/>
        <v>5319.6109084592672</v>
      </c>
      <c r="M73" s="218"/>
      <c r="N73" s="219">
        <v>57.569999999999993</v>
      </c>
      <c r="O73">
        <v>57.569999999999993</v>
      </c>
      <c r="P73" s="3">
        <f t="shared" si="63"/>
        <v>115.13999999999999</v>
      </c>
      <c r="Q73">
        <f t="shared" si="64"/>
        <v>612500</v>
      </c>
      <c r="R73" s="220"/>
      <c r="S73" s="220"/>
      <c r="T73" s="220"/>
    </row>
    <row r="74" spans="6:26" x14ac:dyDescent="0.25">
      <c r="N74" s="3">
        <f>SUM(N68:N73)</f>
        <v>1573.5700000000002</v>
      </c>
      <c r="O74">
        <f>SUM(O68:O73)</f>
        <v>435.51848399998124</v>
      </c>
      <c r="P74" s="3">
        <f>SUM(P68:P73)</f>
        <v>2009.0884839999812</v>
      </c>
      <c r="Q74" s="3">
        <f t="shared" ref="Q74:S74" si="72">SUM(Q68:Q73)</f>
        <v>23236385.720550273</v>
      </c>
      <c r="R74" s="3">
        <f t="shared" si="72"/>
        <v>219242.25207943108</v>
      </c>
      <c r="S74" s="3">
        <f t="shared" si="72"/>
        <v>201364</v>
      </c>
      <c r="T74" s="220"/>
    </row>
    <row r="75" spans="6:26" x14ac:dyDescent="0.25">
      <c r="N75" s="3"/>
      <c r="P75" s="3"/>
      <c r="Q75" s="3"/>
      <c r="R75" s="221"/>
    </row>
    <row r="76" spans="6:26" x14ac:dyDescent="0.25">
      <c r="N76" s="222" t="s">
        <v>169</v>
      </c>
      <c r="O76" s="222" t="s">
        <v>170</v>
      </c>
    </row>
    <row r="77" spans="6:26" x14ac:dyDescent="0.25">
      <c r="N77" s="11">
        <f>H37-N74</f>
        <v>377.94999999998117</v>
      </c>
      <c r="O77" s="19">
        <f>SUM(O68:O73)</f>
        <v>435.51848399998124</v>
      </c>
      <c r="S77" s="220"/>
    </row>
    <row r="81" spans="6:26" x14ac:dyDescent="0.25">
      <c r="V81" t="s">
        <v>172</v>
      </c>
      <c r="W81" t="s">
        <v>173</v>
      </c>
    </row>
    <row r="82" spans="6:26" x14ac:dyDescent="0.25">
      <c r="F82" t="s">
        <v>73</v>
      </c>
      <c r="G82" s="533" t="s">
        <v>38</v>
      </c>
      <c r="H82" s="211" t="s">
        <v>158</v>
      </c>
      <c r="I82" s="211" t="s">
        <v>159</v>
      </c>
      <c r="J82" s="211" t="s">
        <v>95</v>
      </c>
      <c r="K82" s="211" t="s">
        <v>96</v>
      </c>
      <c r="L82" s="212" t="s">
        <v>160</v>
      </c>
      <c r="M82" s="212" t="s">
        <v>161</v>
      </c>
      <c r="N82" s="213" t="s">
        <v>162</v>
      </c>
      <c r="O82" s="214" t="s">
        <v>163</v>
      </c>
      <c r="P82" s="215" t="s">
        <v>164</v>
      </c>
      <c r="Q82" s="215" t="s">
        <v>165</v>
      </c>
      <c r="R82" s="216" t="s">
        <v>166</v>
      </c>
      <c r="S82" s="217" t="s">
        <v>167</v>
      </c>
      <c r="T82" s="217" t="s">
        <v>168</v>
      </c>
      <c r="V82" s="220">
        <f>SUM(S83:S87)</f>
        <v>30896</v>
      </c>
      <c r="W82" s="220">
        <f>SUM(R83:R87)</f>
        <v>33793.383980409075</v>
      </c>
      <c r="Y82" t="s">
        <v>230</v>
      </c>
      <c r="Z82" t="s">
        <v>231</v>
      </c>
    </row>
    <row r="83" spans="6:26" x14ac:dyDescent="0.25">
      <c r="F83" s="309">
        <f>I83/L83</f>
        <v>7.8902677988242976E-4</v>
      </c>
      <c r="G83" s="533"/>
      <c r="H83" t="s">
        <v>97</v>
      </c>
      <c r="I83">
        <v>15</v>
      </c>
      <c r="J83">
        <v>8611875</v>
      </c>
      <c r="K83">
        <v>453</v>
      </c>
      <c r="L83">
        <f>J83/K83</f>
        <v>19010.761589403974</v>
      </c>
      <c r="M83" s="218">
        <f>K83/SUM($K$83:$K$87)</f>
        <v>0.36444086886564764</v>
      </c>
      <c r="N83" s="219">
        <f>0.8*K83</f>
        <v>362.40000000000003</v>
      </c>
      <c r="O83">
        <v>0</v>
      </c>
      <c r="P83" s="3">
        <f>N83+O83</f>
        <v>362.40000000000003</v>
      </c>
      <c r="Q83">
        <f>P83*L83</f>
        <v>6889500.0000000009</v>
      </c>
      <c r="R83" s="220">
        <f>P83*I83</f>
        <v>5436.0000000000009</v>
      </c>
      <c r="S83" s="220">
        <f>K83*I83</f>
        <v>6795</v>
      </c>
      <c r="T83" s="220">
        <f>R83-S83</f>
        <v>-1358.9999999999991</v>
      </c>
      <c r="V83" s="203">
        <f>S83/$V$82</f>
        <v>0.21993138270326257</v>
      </c>
      <c r="W83" s="203">
        <f>R83/$W$82</f>
        <v>0.16085988911768631</v>
      </c>
      <c r="Y83" s="210">
        <f>J83/S83</f>
        <v>1267.3841059602648</v>
      </c>
      <c r="Z83" s="210">
        <f>Q83/R83</f>
        <v>1267.3841059602648</v>
      </c>
    </row>
    <row r="84" spans="6:26" x14ac:dyDescent="0.25">
      <c r="F84" s="309">
        <f t="shared" ref="F84:F87" si="73">I84/L84</f>
        <v>1.76317638791286E-3</v>
      </c>
      <c r="G84" s="533"/>
      <c r="H84" t="s">
        <v>171</v>
      </c>
      <c r="I84">
        <v>26</v>
      </c>
      <c r="J84">
        <v>2846000</v>
      </c>
      <c r="K84">
        <v>193</v>
      </c>
      <c r="L84">
        <f t="shared" ref="L84:L88" si="74">J84/K84</f>
        <v>14746.113989637306</v>
      </c>
      <c r="M84" s="218">
        <f t="shared" ref="M84:M87" si="75">K84/SUM($K$83:$K$87)</f>
        <v>0.15526950925181013</v>
      </c>
      <c r="N84" s="219">
        <f t="shared" ref="N84:N87" si="76">0.8*K84</f>
        <v>154.4</v>
      </c>
      <c r="O84">
        <v>77.692425324851754</v>
      </c>
      <c r="P84" s="3">
        <f t="shared" ref="P84:P88" si="77">N84+O84</f>
        <v>232.09242532485177</v>
      </c>
      <c r="Q84">
        <f t="shared" ref="Q84:Q88" si="78">P84*L84</f>
        <v>3422461.3599716485</v>
      </c>
      <c r="R84" s="220">
        <f t="shared" ref="R84:R88" si="79">P84*I84</f>
        <v>6034.4030584461461</v>
      </c>
      <c r="S84" s="220">
        <f t="shared" ref="S84:S87" si="80">K84*I84</f>
        <v>5018</v>
      </c>
      <c r="T84" s="220">
        <f t="shared" ref="T84:T87" si="81">R84-S84</f>
        <v>1016.4030584461461</v>
      </c>
      <c r="V84" s="203">
        <f t="shared" ref="V84:V87" si="82">S84/$V$82</f>
        <v>0.16241584671154843</v>
      </c>
      <c r="W84" s="203">
        <f t="shared" ref="W84:W87" si="83">R84/$W$82</f>
        <v>0.17856758772499523</v>
      </c>
      <c r="Y84" s="210">
        <f t="shared" ref="Y84:Y87" si="84">J84/S84</f>
        <v>567.15823037066559</v>
      </c>
      <c r="Z84" s="210">
        <f t="shared" ref="Z84:Z87" si="85">Q84/R84</f>
        <v>567.15823037066559</v>
      </c>
    </row>
    <row r="85" spans="6:26" x14ac:dyDescent="0.25">
      <c r="F85" s="309">
        <f t="shared" si="73"/>
        <v>4.0968749999999998E-3</v>
      </c>
      <c r="G85" s="533"/>
      <c r="H85" t="s">
        <v>100</v>
      </c>
      <c r="I85">
        <v>46</v>
      </c>
      <c r="J85">
        <v>1920000</v>
      </c>
      <c r="K85">
        <v>171</v>
      </c>
      <c r="L85">
        <f t="shared" si="74"/>
        <v>11228.070175438597</v>
      </c>
      <c r="M85" s="218">
        <f t="shared" si="75"/>
        <v>0.13757039420756234</v>
      </c>
      <c r="N85" s="219">
        <f t="shared" si="76"/>
        <v>136.80000000000001</v>
      </c>
      <c r="O85">
        <v>76.583453185686565</v>
      </c>
      <c r="P85" s="3">
        <f t="shared" si="77"/>
        <v>213.38345318568656</v>
      </c>
      <c r="Q85">
        <f t="shared" si="78"/>
        <v>2395884.3866463052</v>
      </c>
      <c r="R85" s="220">
        <f t="shared" si="79"/>
        <v>9815.6388465415821</v>
      </c>
      <c r="S85" s="220">
        <f t="shared" si="80"/>
        <v>7866</v>
      </c>
      <c r="T85" s="220">
        <f t="shared" si="81"/>
        <v>1949.6388465415821</v>
      </c>
      <c r="V85" s="203">
        <f t="shared" si="82"/>
        <v>0.2545960642154324</v>
      </c>
      <c r="W85" s="203">
        <f t="shared" si="83"/>
        <v>0.29046037094811133</v>
      </c>
      <c r="Y85" s="210">
        <f t="shared" si="84"/>
        <v>244.08848207475211</v>
      </c>
      <c r="Z85" s="210">
        <f t="shared" si="85"/>
        <v>244.08848207475208</v>
      </c>
    </row>
    <row r="86" spans="6:26" x14ac:dyDescent="0.25">
      <c r="F86" s="309">
        <f t="shared" si="73"/>
        <v>3.0111902339776198E-3</v>
      </c>
      <c r="G86" s="533"/>
      <c r="H86" t="s">
        <v>114</v>
      </c>
      <c r="I86">
        <v>20</v>
      </c>
      <c r="J86">
        <v>2211750</v>
      </c>
      <c r="K86">
        <v>333</v>
      </c>
      <c r="L86">
        <f t="shared" si="74"/>
        <v>6641.8918918918916</v>
      </c>
      <c r="M86" s="218">
        <f t="shared" si="75"/>
        <v>0.26790024135156876</v>
      </c>
      <c r="N86" s="219">
        <f t="shared" si="76"/>
        <v>266.40000000000003</v>
      </c>
      <c r="O86">
        <v>38.04417765386944</v>
      </c>
      <c r="P86" s="3">
        <f t="shared" si="77"/>
        <v>304.44417765386947</v>
      </c>
      <c r="Q86">
        <f t="shared" si="78"/>
        <v>2022085.3150929303</v>
      </c>
      <c r="R86" s="220">
        <f t="shared" si="79"/>
        <v>6088.8835530773895</v>
      </c>
      <c r="S86" s="220">
        <f t="shared" si="80"/>
        <v>6660</v>
      </c>
      <c r="T86" s="220">
        <f t="shared" si="81"/>
        <v>-571.11644692261052</v>
      </c>
      <c r="V86" s="203">
        <f t="shared" si="82"/>
        <v>0.2155618850336613</v>
      </c>
      <c r="W86" s="203">
        <f t="shared" si="83"/>
        <v>0.18017975224402732</v>
      </c>
      <c r="Y86" s="210">
        <f t="shared" si="84"/>
        <v>332.09459459459458</v>
      </c>
      <c r="Z86" s="210">
        <f t="shared" si="85"/>
        <v>332.09459459459458</v>
      </c>
    </row>
    <row r="87" spans="6:26" x14ac:dyDescent="0.25">
      <c r="F87" s="309">
        <f t="shared" si="73"/>
        <v>4.3880597014925374E-3</v>
      </c>
      <c r="G87" s="533"/>
      <c r="H87" t="s">
        <v>118</v>
      </c>
      <c r="I87">
        <v>49</v>
      </c>
      <c r="J87">
        <v>1038500</v>
      </c>
      <c r="K87">
        <v>93</v>
      </c>
      <c r="L87">
        <f t="shared" si="74"/>
        <v>11166.666666666666</v>
      </c>
      <c r="M87" s="218">
        <f t="shared" si="75"/>
        <v>7.4818986323411107E-2</v>
      </c>
      <c r="N87" s="219">
        <f t="shared" si="76"/>
        <v>74.400000000000006</v>
      </c>
      <c r="O87">
        <v>56.588949435590862</v>
      </c>
      <c r="P87" s="3">
        <f t="shared" si="77"/>
        <v>130.98894943559088</v>
      </c>
      <c r="Q87">
        <f t="shared" si="78"/>
        <v>1462709.9353640981</v>
      </c>
      <c r="R87" s="220">
        <f t="shared" si="79"/>
        <v>6418.4585223439535</v>
      </c>
      <c r="S87" s="220">
        <f t="shared" si="80"/>
        <v>4557</v>
      </c>
      <c r="T87" s="220">
        <f t="shared" si="81"/>
        <v>1861.4585223439535</v>
      </c>
      <c r="V87" s="203">
        <f t="shared" si="82"/>
        <v>0.14749482133609529</v>
      </c>
      <c r="W87" s="203">
        <f t="shared" si="83"/>
        <v>0.18993239996517972</v>
      </c>
      <c r="Y87" s="210">
        <f t="shared" si="84"/>
        <v>227.89115646258503</v>
      </c>
      <c r="Z87" s="210">
        <f t="shared" si="85"/>
        <v>227.891156462585</v>
      </c>
    </row>
    <row r="88" spans="6:26" x14ac:dyDescent="0.25">
      <c r="G88" s="533"/>
      <c r="H88" t="s">
        <v>105</v>
      </c>
      <c r="J88">
        <v>32500</v>
      </c>
      <c r="K88">
        <v>5.56</v>
      </c>
      <c r="L88">
        <f t="shared" si="74"/>
        <v>5845.3237410071943</v>
      </c>
      <c r="M88" s="218"/>
      <c r="N88" s="219">
        <v>5.56</v>
      </c>
      <c r="O88">
        <v>5.56</v>
      </c>
      <c r="P88" s="3">
        <f t="shared" si="77"/>
        <v>11.12</v>
      </c>
      <c r="Q88">
        <f t="shared" si="78"/>
        <v>64999.999999999993</v>
      </c>
      <c r="R88" s="220">
        <f t="shared" si="79"/>
        <v>0</v>
      </c>
      <c r="S88" s="220"/>
      <c r="T88" s="220"/>
    </row>
    <row r="89" spans="6:26" x14ac:dyDescent="0.25">
      <c r="N89" s="3">
        <f>SUM(N83:N88)</f>
        <v>999.96000000000015</v>
      </c>
      <c r="O89">
        <f>SUM(O83:O88)</f>
        <v>254.46900559999864</v>
      </c>
      <c r="P89" s="3">
        <f>SUM(P83:P88)</f>
        <v>1254.4290055999988</v>
      </c>
      <c r="Q89" s="3">
        <f t="shared" ref="Q89:R89" si="86">SUM(Q83:Q88)</f>
        <v>16257640.997074982</v>
      </c>
      <c r="R89" s="3">
        <f t="shared" si="86"/>
        <v>33793.383980409075</v>
      </c>
      <c r="T89" s="220"/>
    </row>
    <row r="90" spans="6:26" x14ac:dyDescent="0.25">
      <c r="N90" s="3"/>
      <c r="P90" s="3"/>
      <c r="Q90" s="3"/>
      <c r="R90" s="221"/>
    </row>
    <row r="91" spans="6:26" x14ac:dyDescent="0.25">
      <c r="N91" s="222" t="s">
        <v>169</v>
      </c>
      <c r="O91" s="222" t="s">
        <v>170</v>
      </c>
    </row>
    <row r="92" spans="6:26" x14ac:dyDescent="0.25">
      <c r="N92" s="11">
        <f>H38-N89</f>
        <v>248.9099999999986</v>
      </c>
      <c r="O92" s="19">
        <f>SUM(O83:O88)</f>
        <v>254.46900559999864</v>
      </c>
      <c r="S92" s="220"/>
    </row>
    <row r="97" spans="2:39" ht="15.75" thickBot="1" x14ac:dyDescent="0.3">
      <c r="I97" s="36" t="s">
        <v>52</v>
      </c>
      <c r="J97" s="39" t="s">
        <v>175</v>
      </c>
      <c r="K97" s="39" t="s">
        <v>176</v>
      </c>
      <c r="L97" s="39" t="s">
        <v>177</v>
      </c>
    </row>
    <row r="98" spans="2:39" x14ac:dyDescent="0.25">
      <c r="I98" s="123" t="s">
        <v>12</v>
      </c>
      <c r="J98" s="16">
        <f>P60</f>
        <v>5201.1000000000004</v>
      </c>
      <c r="K98" s="16">
        <f t="shared" ref="K98:L98" si="87">Q60</f>
        <v>80858725</v>
      </c>
      <c r="L98" s="16">
        <f t="shared" si="87"/>
        <v>2793396.3200000133</v>
      </c>
    </row>
    <row r="99" spans="2:39" x14ac:dyDescent="0.25">
      <c r="I99" s="124" t="s">
        <v>30</v>
      </c>
      <c r="J99" s="16">
        <f>P74</f>
        <v>2009.0884839999812</v>
      </c>
      <c r="K99" s="16">
        <f t="shared" ref="K99:L99" si="88">Q74</f>
        <v>23236385.720550273</v>
      </c>
      <c r="L99" s="16">
        <f t="shared" si="88"/>
        <v>219242.25207943108</v>
      </c>
    </row>
    <row r="100" spans="2:39" x14ac:dyDescent="0.25">
      <c r="I100" s="124" t="s">
        <v>38</v>
      </c>
      <c r="J100" s="16">
        <f>P89</f>
        <v>1254.4290055999988</v>
      </c>
      <c r="K100" s="16">
        <f t="shared" ref="K100:L100" si="89">Q89</f>
        <v>16257640.997074982</v>
      </c>
      <c r="L100" s="16">
        <f t="shared" si="89"/>
        <v>33793.383980409075</v>
      </c>
    </row>
    <row r="101" spans="2:39" x14ac:dyDescent="0.25">
      <c r="I101" s="39"/>
      <c r="J101" s="19"/>
      <c r="K101" s="19"/>
      <c r="L101" s="19"/>
    </row>
    <row r="102" spans="2:39" x14ac:dyDescent="0.25">
      <c r="AM102" s="194">
        <f>MIN($AF$29)</f>
        <v>7997975</v>
      </c>
    </row>
    <row r="103" spans="2:39" x14ac:dyDescent="0.25">
      <c r="P103" t="s">
        <v>228</v>
      </c>
      <c r="Q103" s="267">
        <f>Simulator2!E35</f>
        <v>0.3</v>
      </c>
      <c r="AM103">
        <f>COUNT($CK$19:$CR$19,$CT$19:$CU$19,$CX$19,$CK$22:$CR$22,$CT$22:$CU$22,$CX$22,$Z$29,$O$54:$O$58,$M$106:$M$109)</f>
        <v>32</v>
      </c>
    </row>
    <row r="104" spans="2:39" x14ac:dyDescent="0.25">
      <c r="P104" s="272" t="s">
        <v>229</v>
      </c>
      <c r="Q104" s="272">
        <f>(1+Q103)*L111</f>
        <v>49296838.136</v>
      </c>
      <c r="AM104" s="2" t="b">
        <f>$AC$29=$O$154</f>
        <v>0</v>
      </c>
    </row>
    <row r="105" spans="2:39" x14ac:dyDescent="0.25">
      <c r="B105" t="s">
        <v>227</v>
      </c>
      <c r="G105" s="533" t="s">
        <v>12</v>
      </c>
      <c r="H105" s="211" t="s">
        <v>203</v>
      </c>
      <c r="I105" s="211" t="s">
        <v>178</v>
      </c>
      <c r="J105" s="211" t="s">
        <v>159</v>
      </c>
      <c r="K105" s="211" t="s">
        <v>206</v>
      </c>
      <c r="L105" s="234" t="s">
        <v>209</v>
      </c>
      <c r="M105" s="214" t="s">
        <v>207</v>
      </c>
      <c r="N105" s="234" t="s">
        <v>208</v>
      </c>
      <c r="O105" s="234" t="s">
        <v>197</v>
      </c>
      <c r="P105" s="234" t="s">
        <v>198</v>
      </c>
      <c r="Q105" s="222" t="s">
        <v>210</v>
      </c>
      <c r="AM105" t="b">
        <f t="array" ref="AM105">$CK$19:$CR$19&lt;=$CK$4:$CR$4</f>
        <v>1</v>
      </c>
    </row>
    <row r="106" spans="2:39" x14ac:dyDescent="0.25">
      <c r="B106" s="3">
        <f>Simulator2!E37</f>
        <v>2.5319217683916206E-2</v>
      </c>
      <c r="G106" s="533"/>
      <c r="H106" s="19" t="s">
        <v>110</v>
      </c>
      <c r="I106" s="11">
        <v>2.940991730265206</v>
      </c>
      <c r="J106" s="11">
        <v>0.48113438430554695</v>
      </c>
      <c r="K106" s="16">
        <v>687567610</v>
      </c>
      <c r="L106" s="16">
        <v>17408673.990000002</v>
      </c>
      <c r="M106" s="209">
        <v>687567610</v>
      </c>
      <c r="N106">
        <f>L106/K106</f>
        <v>2.5319217683916206E-2</v>
      </c>
      <c r="O106" s="210">
        <f>M106*B106</f>
        <v>17408673.990000002</v>
      </c>
      <c r="P106" s="194">
        <f>O106-L106</f>
        <v>0</v>
      </c>
      <c r="Q106" s="4">
        <f>IFERROR((M106-K106)*J106,0)</f>
        <v>0</v>
      </c>
      <c r="AM106" t="b">
        <f t="array" ref="AM106">$CK$22:$CR$22&lt;=$I$2:$P$2</f>
        <v>1</v>
      </c>
    </row>
    <row r="107" spans="2:39" x14ac:dyDescent="0.25">
      <c r="B107" s="3">
        <f>Simulator2!E39</f>
        <v>9.8614418321418498E-2</v>
      </c>
      <c r="G107" s="533"/>
      <c r="H107" s="19" t="s">
        <v>204</v>
      </c>
      <c r="I107" s="11">
        <v>3.5672391304371103</v>
      </c>
      <c r="J107" s="11">
        <v>2.3519095447581004</v>
      </c>
      <c r="K107" s="16">
        <v>68508058</v>
      </c>
      <c r="L107" s="16">
        <v>6755882.290000001</v>
      </c>
      <c r="M107" s="209">
        <v>68508058</v>
      </c>
      <c r="N107">
        <f t="shared" ref="N107:N109" si="90">L107/K107</f>
        <v>9.8614418321418498E-2</v>
      </c>
      <c r="O107" s="210">
        <f t="shared" ref="O107:O109" si="91">M107*B107</f>
        <v>6755882.290000001</v>
      </c>
      <c r="P107" s="194">
        <f t="shared" ref="P107:P109" si="92">O107-L107</f>
        <v>0</v>
      </c>
      <c r="Q107" s="4">
        <f t="shared" ref="Q107:Q109" si="93">IFERROR((M107-K107)*J107,0)</f>
        <v>0</v>
      </c>
      <c r="AM107" t="b">
        <f t="array" ref="AM107">$CT$19:$CU$19&lt;=$CT$4:$CU$4</f>
        <v>1</v>
      </c>
    </row>
    <row r="108" spans="2:39" x14ac:dyDescent="0.25">
      <c r="B108" s="3">
        <f>Simulator2!E40</f>
        <v>4.3182938651888207E-2</v>
      </c>
      <c r="G108" s="533"/>
      <c r="H108" s="19" t="s">
        <v>205</v>
      </c>
      <c r="I108" s="11">
        <v>17.661766907254883</v>
      </c>
      <c r="J108" s="11">
        <v>4.8912260473276961</v>
      </c>
      <c r="K108" s="16">
        <v>44278494</v>
      </c>
      <c r="L108" s="16">
        <v>1912075.4900000002</v>
      </c>
      <c r="M108" s="209">
        <v>44278494</v>
      </c>
      <c r="N108">
        <f t="shared" si="90"/>
        <v>4.3182938651888207E-2</v>
      </c>
      <c r="O108" s="210">
        <f t="shared" si="91"/>
        <v>1912075.49</v>
      </c>
      <c r="P108" s="194">
        <f t="shared" si="92"/>
        <v>0</v>
      </c>
      <c r="Q108" s="4">
        <f t="shared" si="93"/>
        <v>0</v>
      </c>
      <c r="AM108" t="b">
        <f t="array" ref="AM108">$CT$22:$CU$22&lt;=$R$2:$S$2</f>
        <v>1</v>
      </c>
    </row>
    <row r="109" spans="2:39" x14ac:dyDescent="0.25">
      <c r="B109" s="3">
        <f>Simulator2!E38</f>
        <v>2.5019347143833089E-2</v>
      </c>
      <c r="G109" s="533"/>
      <c r="H109" s="19" t="s">
        <v>106</v>
      </c>
      <c r="I109" s="11">
        <v>4.499386005183335</v>
      </c>
      <c r="J109" s="11">
        <v>0.72946557922053723</v>
      </c>
      <c r="K109" s="16">
        <v>473394165</v>
      </c>
      <c r="L109" s="16">
        <v>11844012.949999999</v>
      </c>
      <c r="M109" s="209">
        <v>473394165</v>
      </c>
      <c r="N109">
        <f t="shared" si="90"/>
        <v>2.5019347143833089E-2</v>
      </c>
      <c r="O109" s="210">
        <f t="shared" si="91"/>
        <v>11844012.949999999</v>
      </c>
      <c r="P109" s="194">
        <f t="shared" si="92"/>
        <v>0</v>
      </c>
      <c r="Q109" s="4">
        <f t="shared" si="93"/>
        <v>0</v>
      </c>
      <c r="AM109" t="b">
        <f>$CX$19&lt;=$CX$4</f>
        <v>1</v>
      </c>
    </row>
    <row r="110" spans="2:39" x14ac:dyDescent="0.25">
      <c r="O110" s="237">
        <f>SUM(O106:O109)</f>
        <v>37920644.719999999</v>
      </c>
      <c r="P110" s="237">
        <f t="shared" ref="P110:Q110" si="94">SUM(P106:P109)</f>
        <v>0</v>
      </c>
      <c r="Q110" s="276">
        <f t="shared" si="94"/>
        <v>0</v>
      </c>
      <c r="AM110" t="b">
        <f>$CX$19&lt;=$V$2</f>
        <v>1</v>
      </c>
    </row>
    <row r="111" spans="2:39" x14ac:dyDescent="0.25">
      <c r="K111" s="194">
        <f>SUM(K106:K109)</f>
        <v>1273748327</v>
      </c>
      <c r="L111" s="194">
        <f>SUM(L106:L109)</f>
        <v>37920644.719999999</v>
      </c>
      <c r="M111" s="194">
        <f>SUM(M106:M109)</f>
        <v>1273748327</v>
      </c>
      <c r="Q111" s="267"/>
      <c r="AM111" t="b">
        <f>$DG$27&gt;=0%</f>
        <v>1</v>
      </c>
    </row>
    <row r="112" spans="2:39" x14ac:dyDescent="0.25">
      <c r="K112" s="194"/>
      <c r="L112" s="194"/>
      <c r="M112" s="194"/>
      <c r="Q112" s="267"/>
      <c r="AM112" s="2" t="b">
        <f>$DG$28&gt;=0%</f>
        <v>1</v>
      </c>
    </row>
    <row r="113" spans="2:39" x14ac:dyDescent="0.25">
      <c r="K113" s="194"/>
      <c r="L113" s="194"/>
      <c r="M113" s="194"/>
      <c r="Q113" s="267"/>
      <c r="AM113" t="b">
        <f>$O$110&lt;=$Q$104</f>
        <v>1</v>
      </c>
    </row>
    <row r="114" spans="2:39" x14ac:dyDescent="0.25">
      <c r="K114" s="194"/>
      <c r="L114" s="194"/>
      <c r="M114" s="194"/>
      <c r="Q114" s="267"/>
      <c r="AM114" t="b">
        <f>$O$110&gt;=$L$111</f>
        <v>1</v>
      </c>
    </row>
    <row r="115" spans="2:39" x14ac:dyDescent="0.25">
      <c r="K115" s="194"/>
      <c r="L115" s="194"/>
      <c r="M115" s="194"/>
      <c r="P115" t="s">
        <v>228</v>
      </c>
      <c r="Q115" s="267">
        <f>Simulator2!G35</f>
        <v>0.3</v>
      </c>
      <c r="AM115" s="2" t="b">
        <f>$O$63&lt;=$N$63</f>
        <v>0</v>
      </c>
    </row>
    <row r="116" spans="2:39" x14ac:dyDescent="0.25">
      <c r="P116" s="272" t="s">
        <v>229</v>
      </c>
      <c r="Q116" s="272">
        <f>(1+Q115)*L123</f>
        <v>6328958.4800000014</v>
      </c>
      <c r="AM116" t="b">
        <f>$Z$29&lt;=$L$29</f>
        <v>1</v>
      </c>
    </row>
    <row r="117" spans="2:39" x14ac:dyDescent="0.25">
      <c r="B117" t="s">
        <v>227</v>
      </c>
      <c r="G117" s="533" t="s">
        <v>30</v>
      </c>
      <c r="H117" s="211" t="s">
        <v>203</v>
      </c>
      <c r="I117" s="211" t="s">
        <v>178</v>
      </c>
      <c r="J117" s="211" t="s">
        <v>159</v>
      </c>
      <c r="K117" s="211" t="s">
        <v>206</v>
      </c>
      <c r="L117" s="234" t="s">
        <v>209</v>
      </c>
      <c r="M117" s="214" t="s">
        <v>207</v>
      </c>
      <c r="N117" s="234" t="s">
        <v>208</v>
      </c>
      <c r="O117" s="234" t="s">
        <v>197</v>
      </c>
      <c r="P117" s="234" t="s">
        <v>198</v>
      </c>
      <c r="Q117" s="222" t="s">
        <v>210</v>
      </c>
      <c r="AM117" t="b">
        <f>$Z$29&gt;=$H$29</f>
        <v>1</v>
      </c>
    </row>
    <row r="118" spans="2:39" x14ac:dyDescent="0.25">
      <c r="B118" s="3">
        <f>Simulator2!G42</f>
        <v>0.21610399648286818</v>
      </c>
      <c r="G118" s="533"/>
      <c r="H118" s="19" t="s">
        <v>211</v>
      </c>
      <c r="I118" s="11">
        <v>1.0916745999999999</v>
      </c>
      <c r="J118" s="11">
        <v>1.5004766</v>
      </c>
      <c r="K118" s="16">
        <v>3384576</v>
      </c>
      <c r="L118" s="16">
        <v>731420.4</v>
      </c>
      <c r="M118" s="194">
        <v>20285123.333333351</v>
      </c>
      <c r="N118">
        <f>L118/K118</f>
        <v>0.21610399648286818</v>
      </c>
      <c r="O118" s="210">
        <f>M118*B118</f>
        <v>4383696.221481218</v>
      </c>
      <c r="P118" s="194">
        <f>O118-L118</f>
        <v>3652275.8214812181</v>
      </c>
      <c r="Q118" s="4">
        <f>IFERROR((M118-K118)*J118,0)</f>
        <v>25358875.800859094</v>
      </c>
      <c r="AM118">
        <f>{32767,32767,0.000001,0.01,FALSE,FALSE,TRUE,1,1,1,0.0001,TRUE}</f>
        <v>32767</v>
      </c>
    </row>
    <row r="119" spans="2:39" x14ac:dyDescent="0.25">
      <c r="B119" s="3">
        <f>Simulator2!G37</f>
        <v>1.6018600522454657E-2</v>
      </c>
      <c r="G119" s="533"/>
      <c r="H119" s="19" t="s">
        <v>110</v>
      </c>
      <c r="I119" s="11">
        <v>4.5243149999999996</v>
      </c>
      <c r="J119" s="11">
        <v>0.46614410000000001</v>
      </c>
      <c r="K119" s="16">
        <v>147802300</v>
      </c>
      <c r="L119" s="16">
        <v>2367586</v>
      </c>
      <c r="M119" s="194">
        <v>20285123.333333332</v>
      </c>
      <c r="N119">
        <f t="shared" ref="N119:N121" si="95">L119/K119</f>
        <v>1.6018600522454657E-2</v>
      </c>
      <c r="O119" s="210">
        <f t="shared" ref="O119:O121" si="96">M119*B119</f>
        <v>324939.28722539044</v>
      </c>
      <c r="P119" s="194">
        <f t="shared" ref="P119:P121" si="97">O119-L119</f>
        <v>-2042646.7127746097</v>
      </c>
      <c r="Q119" s="4">
        <f t="shared" ref="Q119:Q121" si="98">IFERROR((M119-K119)*J119,0)</f>
        <v>-59441379.551824339</v>
      </c>
      <c r="AM119">
        <f>{0,0,1,100,0,FALSE,TRUE,0.075,0,0,FALSE,30}</f>
        <v>0</v>
      </c>
    </row>
    <row r="120" spans="2:39" x14ac:dyDescent="0.25">
      <c r="B120" s="3">
        <f>Simulator2!G39</f>
        <v>0.17696028092771701</v>
      </c>
      <c r="G120" s="533"/>
      <c r="H120" s="19" t="s">
        <v>212</v>
      </c>
      <c r="I120" s="11">
        <v>0.179089</v>
      </c>
      <c r="J120" s="11">
        <v>0.19265850000000001</v>
      </c>
      <c r="K120" s="16">
        <v>5479559</v>
      </c>
      <c r="L120" s="16">
        <v>969664.3</v>
      </c>
      <c r="M120" s="194">
        <v>20285123.333333332</v>
      </c>
      <c r="N120">
        <f t="shared" si="95"/>
        <v>0.17696028092771701</v>
      </c>
      <c r="O120" s="210">
        <f t="shared" si="96"/>
        <v>3589661.1237200536</v>
      </c>
      <c r="P120" s="194">
        <f t="shared" si="97"/>
        <v>2619996.8237200538</v>
      </c>
      <c r="Q120" s="4">
        <f t="shared" si="98"/>
        <v>2852417.8161134999</v>
      </c>
    </row>
    <row r="121" spans="2:39" x14ac:dyDescent="0.25">
      <c r="B121" s="3">
        <f>Simulator2!G38</f>
        <v>3.4728323102035219E-2</v>
      </c>
      <c r="G121" s="533"/>
      <c r="H121" s="19" t="s">
        <v>106</v>
      </c>
      <c r="I121" s="11">
        <v>1.6791027999999999</v>
      </c>
      <c r="J121" s="11">
        <v>0.3752703</v>
      </c>
      <c r="K121" s="16">
        <v>23029010</v>
      </c>
      <c r="L121" s="16">
        <v>799758.9</v>
      </c>
      <c r="M121" s="194">
        <v>20285123.333333332</v>
      </c>
      <c r="N121">
        <f t="shared" si="95"/>
        <v>3.4728323102035219E-2</v>
      </c>
      <c r="O121" s="210">
        <f t="shared" si="96"/>
        <v>704468.31728463364</v>
      </c>
      <c r="P121" s="194">
        <f t="shared" si="97"/>
        <v>-95290.582715366385</v>
      </c>
      <c r="Q121" s="4">
        <f t="shared" si="98"/>
        <v>-1029699.1725660005</v>
      </c>
    </row>
    <row r="122" spans="2:39" x14ac:dyDescent="0.25">
      <c r="O122" s="237">
        <f>SUM(O118:O121)</f>
        <v>9002764.9497112967</v>
      </c>
      <c r="P122" s="311">
        <f t="shared" ref="P122:Q122" si="99">SUM(P118:P121)</f>
        <v>4134335.3497112957</v>
      </c>
      <c r="Q122" s="237">
        <f t="shared" si="99"/>
        <v>-32259785.107417744</v>
      </c>
    </row>
    <row r="123" spans="2:39" x14ac:dyDescent="0.25">
      <c r="K123" s="194">
        <f>SUM(K118:K121)</f>
        <v>179695445</v>
      </c>
      <c r="L123" s="194">
        <f>SUM(L118:L121)</f>
        <v>4868429.6000000006</v>
      </c>
      <c r="M123" s="194">
        <f>SUM(M118:M121)</f>
        <v>81140493.333333343</v>
      </c>
    </row>
    <row r="124" spans="2:39" x14ac:dyDescent="0.25">
      <c r="K124" s="194"/>
      <c r="L124" s="194"/>
      <c r="M124" s="194"/>
    </row>
    <row r="125" spans="2:39" x14ac:dyDescent="0.25">
      <c r="K125" s="194"/>
      <c r="L125" s="194"/>
      <c r="M125" s="194"/>
    </row>
    <row r="126" spans="2:39" x14ac:dyDescent="0.25">
      <c r="K126" s="194"/>
      <c r="L126" s="194"/>
      <c r="M126" s="194"/>
      <c r="P126" t="s">
        <v>228</v>
      </c>
      <c r="Q126" s="267">
        <f>Simulator2!I35</f>
        <v>0.5</v>
      </c>
    </row>
    <row r="127" spans="2:39" x14ac:dyDescent="0.25">
      <c r="P127" s="272" t="s">
        <v>229</v>
      </c>
      <c r="Q127" s="273">
        <f>(1+Q126)*L135</f>
        <v>39746303.849999994</v>
      </c>
    </row>
    <row r="128" spans="2:39" x14ac:dyDescent="0.25">
      <c r="B128" t="s">
        <v>227</v>
      </c>
      <c r="G128" s="537" t="s">
        <v>38</v>
      </c>
      <c r="H128" s="211" t="s">
        <v>203</v>
      </c>
      <c r="I128" s="211" t="s">
        <v>178</v>
      </c>
      <c r="J128" s="211" t="s">
        <v>159</v>
      </c>
      <c r="K128" s="211" t="s">
        <v>206</v>
      </c>
      <c r="L128" s="234" t="s">
        <v>209</v>
      </c>
      <c r="M128" s="214" t="s">
        <v>207</v>
      </c>
      <c r="N128" s="234" t="s">
        <v>208</v>
      </c>
      <c r="O128" s="234" t="s">
        <v>197</v>
      </c>
      <c r="P128" s="234" t="s">
        <v>198</v>
      </c>
      <c r="Q128" s="222" t="s">
        <v>210</v>
      </c>
    </row>
    <row r="129" spans="2:17" x14ac:dyDescent="0.25">
      <c r="B129" s="3">
        <f>Simulator2!I41</f>
        <v>2.6290601191449499E-2</v>
      </c>
      <c r="G129" s="537"/>
      <c r="H129" s="19" t="s">
        <v>121</v>
      </c>
      <c r="I129" s="11">
        <v>1.1134276677462558</v>
      </c>
      <c r="J129" s="11">
        <v>0.17261734205567231</v>
      </c>
      <c r="K129" s="16">
        <v>60153284</v>
      </c>
      <c r="L129" s="16">
        <v>1581466</v>
      </c>
      <c r="M129" s="209">
        <v>567804340.71428466</v>
      </c>
      <c r="N129">
        <f>L129/K129</f>
        <v>2.6290601191449499E-2</v>
      </c>
      <c r="O129" s="210">
        <f>M129*B129</f>
        <v>14927917.476493169</v>
      </c>
      <c r="P129" s="194">
        <f>O129-L129</f>
        <v>13346451.476493169</v>
      </c>
      <c r="Q129" s="4">
        <f>IFERROR((M129-K129)*J129,0)</f>
        <v>87629376.101773173</v>
      </c>
    </row>
    <row r="130" spans="2:17" x14ac:dyDescent="0.25">
      <c r="B130" s="3">
        <f>Simulator2!I37</f>
        <v>2.1876040052405701E-2</v>
      </c>
      <c r="G130" s="537"/>
      <c r="H130" s="19" t="s">
        <v>110</v>
      </c>
      <c r="I130" s="11">
        <v>1.4119701846382726</v>
      </c>
      <c r="J130" s="11">
        <v>0.17804154448095566</v>
      </c>
      <c r="K130" s="16">
        <v>489713905</v>
      </c>
      <c r="L130" s="16">
        <v>10713001</v>
      </c>
      <c r="M130" s="209">
        <v>2.5097656250000001E-7</v>
      </c>
      <c r="N130">
        <f t="shared" ref="N130:N133" si="100">L130/K130</f>
        <v>2.1876040052405701E-2</v>
      </c>
      <c r="O130" s="210">
        <f t="shared" ref="O130:O133" si="101">M130*B130</f>
        <v>5.4903733334651027E-9</v>
      </c>
      <c r="P130" s="194">
        <f t="shared" ref="P130:P133" si="102">O130-L130</f>
        <v>-10713000.999999994</v>
      </c>
      <c r="Q130" s="4">
        <f t="shared" ref="Q130:Q133" si="103">IFERROR((M130-K130)*J130,0)</f>
        <v>-87189419.999999955</v>
      </c>
    </row>
    <row r="131" spans="2:17" x14ac:dyDescent="0.25">
      <c r="B131" s="3">
        <f>Simulator2!I39</f>
        <v>0.18407802986902216</v>
      </c>
      <c r="G131" s="537"/>
      <c r="H131" s="19" t="s">
        <v>212</v>
      </c>
      <c r="I131" s="11">
        <v>0.18727682235223378</v>
      </c>
      <c r="J131" s="11">
        <v>0.20101684788063592</v>
      </c>
      <c r="K131" s="16">
        <v>6784889</v>
      </c>
      <c r="L131" s="16">
        <v>1248949</v>
      </c>
      <c r="M131" s="209">
        <v>2.5097656250000001E-7</v>
      </c>
      <c r="N131">
        <f t="shared" si="100"/>
        <v>0.18407802986902216</v>
      </c>
      <c r="O131" s="210">
        <f t="shared" si="101"/>
        <v>4.619927116829951E-8</v>
      </c>
      <c r="P131" s="194">
        <f t="shared" si="102"/>
        <v>-1248948.9999999539</v>
      </c>
      <c r="Q131" s="4">
        <f t="shared" si="103"/>
        <v>-1363876.9999999497</v>
      </c>
    </row>
    <row r="132" spans="2:17" x14ac:dyDescent="0.25">
      <c r="B132" s="3">
        <f>Simulator2!I38</f>
        <v>7.8215985700524262E-3</v>
      </c>
      <c r="G132" s="537"/>
      <c r="H132" s="19" t="s">
        <v>106</v>
      </c>
      <c r="I132" s="11">
        <v>4.6916009920212032</v>
      </c>
      <c r="J132" s="11">
        <v>0.20999743473997007</v>
      </c>
      <c r="K132" s="16">
        <v>73961313</v>
      </c>
      <c r="L132" s="16">
        <v>578495.69999999995</v>
      </c>
      <c r="M132" s="209">
        <v>2.5097656250000001E-7</v>
      </c>
      <c r="N132">
        <f t="shared" si="100"/>
        <v>7.8215985700524262E-3</v>
      </c>
      <c r="O132" s="210">
        <f t="shared" si="101"/>
        <v>1.9630379223666735E-9</v>
      </c>
      <c r="P132" s="194">
        <f t="shared" si="102"/>
        <v>-578495.69999999797</v>
      </c>
      <c r="Q132" s="4">
        <f t="shared" si="103"/>
        <v>-15531685.999999946</v>
      </c>
    </row>
    <row r="133" spans="2:17" x14ac:dyDescent="0.25">
      <c r="B133" s="3">
        <f>Simulator2!I40</f>
        <v>6.4901662630651141E-2</v>
      </c>
      <c r="G133" s="537"/>
      <c r="H133" s="19" t="s">
        <v>111</v>
      </c>
      <c r="I133" s="11">
        <v>0.36940788812898834</v>
      </c>
      <c r="J133" s="11">
        <v>0.13908949862305023</v>
      </c>
      <c r="K133" s="16">
        <v>190682699</v>
      </c>
      <c r="L133" s="16">
        <v>12375624.199999999</v>
      </c>
      <c r="M133" s="209">
        <v>2.5097656250000001E-7</v>
      </c>
      <c r="N133">
        <f t="shared" si="100"/>
        <v>6.4901662630651141E-2</v>
      </c>
      <c r="O133" s="210">
        <f t="shared" si="101"/>
        <v>1.6288796187575531E-8</v>
      </c>
      <c r="P133" s="194">
        <f t="shared" si="102"/>
        <v>-12375624.199999982</v>
      </c>
      <c r="Q133" s="4">
        <f t="shared" si="103"/>
        <v>-26521960.999999966</v>
      </c>
    </row>
    <row r="134" spans="2:17" x14ac:dyDescent="0.25">
      <c r="O134" s="237">
        <f>SUM(O129:O133)</f>
        <v>14927917.476493239</v>
      </c>
      <c r="P134" s="274">
        <f>SUM(P129:P133)</f>
        <v>-11569618.423506761</v>
      </c>
      <c r="Q134" s="274">
        <f>SUM(Q129:Q133)</f>
        <v>-42977567.898226649</v>
      </c>
    </row>
    <row r="135" spans="2:17" x14ac:dyDescent="0.25">
      <c r="K135" s="194">
        <f>SUM(K129:K133)</f>
        <v>821296090</v>
      </c>
      <c r="L135" s="194">
        <f>SUM(L129:L133)</f>
        <v>26497535.899999999</v>
      </c>
      <c r="M135" s="194">
        <f>SUM(M129:M133)</f>
        <v>567804340.71428561</v>
      </c>
    </row>
    <row r="138" spans="2:17" hidden="1" x14ac:dyDescent="0.25">
      <c r="G138" s="533" t="s">
        <v>12</v>
      </c>
      <c r="H138" s="211" t="s">
        <v>203</v>
      </c>
      <c r="I138" s="211" t="s">
        <v>234</v>
      </c>
      <c r="J138" s="211" t="s">
        <v>95</v>
      </c>
      <c r="K138" s="275" t="s">
        <v>3</v>
      </c>
    </row>
    <row r="139" spans="2:17" hidden="1" x14ac:dyDescent="0.25">
      <c r="G139" s="533"/>
      <c r="H139" s="19" t="s">
        <v>232</v>
      </c>
      <c r="I139">
        <v>8.1</v>
      </c>
      <c r="J139" s="4">
        <v>8575566.7899999991</v>
      </c>
    </row>
    <row r="140" spans="2:17" hidden="1" x14ac:dyDescent="0.25">
      <c r="G140" s="533"/>
      <c r="H140" s="19" t="s">
        <v>119</v>
      </c>
      <c r="I140">
        <v>5.5</v>
      </c>
      <c r="J140" s="4">
        <v>5641800</v>
      </c>
    </row>
    <row r="141" spans="2:17" hidden="1" x14ac:dyDescent="0.25">
      <c r="G141" s="533"/>
      <c r="H141" s="19" t="s">
        <v>233</v>
      </c>
      <c r="I141">
        <v>31.3</v>
      </c>
      <c r="J141" s="4">
        <v>797400</v>
      </c>
    </row>
    <row r="142" spans="2:17" hidden="1" x14ac:dyDescent="0.25">
      <c r="G142" s="533"/>
      <c r="H142" s="19" t="s">
        <v>120</v>
      </c>
      <c r="I142">
        <v>6.6</v>
      </c>
      <c r="J142" s="4">
        <v>17309220</v>
      </c>
    </row>
    <row r="143" spans="2:17" hidden="1" x14ac:dyDescent="0.25"/>
    <row r="144" spans="2:17" hidden="1" x14ac:dyDescent="0.25"/>
    <row r="145" spans="7:17" hidden="1" x14ac:dyDescent="0.25"/>
    <row r="146" spans="7:17" hidden="1" x14ac:dyDescent="0.25">
      <c r="G146" s="533" t="s">
        <v>38</v>
      </c>
      <c r="H146" s="211" t="s">
        <v>203</v>
      </c>
      <c r="I146" s="211" t="s">
        <v>234</v>
      </c>
      <c r="J146" s="211" t="s">
        <v>95</v>
      </c>
      <c r="K146" s="275" t="s">
        <v>3</v>
      </c>
    </row>
    <row r="147" spans="7:17" hidden="1" x14ac:dyDescent="0.25">
      <c r="G147" s="533"/>
      <c r="H147" s="19" t="s">
        <v>232</v>
      </c>
    </row>
    <row r="148" spans="7:17" hidden="1" x14ac:dyDescent="0.25">
      <c r="G148" s="533"/>
    </row>
    <row r="149" spans="7:17" hidden="1" x14ac:dyDescent="0.25">
      <c r="G149" s="533"/>
    </row>
    <row r="150" spans="7:17" hidden="1" x14ac:dyDescent="0.25">
      <c r="G150" s="533"/>
    </row>
    <row r="151" spans="7:17" hidden="1" x14ac:dyDescent="0.25"/>
    <row r="153" spans="7:17" x14ac:dyDescent="0.25">
      <c r="I153" s="175" t="s">
        <v>213</v>
      </c>
      <c r="J153" s="175" t="s">
        <v>214</v>
      </c>
      <c r="K153" s="235" t="s">
        <v>215</v>
      </c>
      <c r="L153" s="175" t="s">
        <v>216</v>
      </c>
      <c r="M153" s="235" t="s">
        <v>215</v>
      </c>
      <c r="N153" s="236" t="s">
        <v>236</v>
      </c>
      <c r="O153" s="235" t="s">
        <v>215</v>
      </c>
      <c r="Q153" s="238" t="s">
        <v>243</v>
      </c>
    </row>
    <row r="154" spans="7:17" x14ac:dyDescent="0.25">
      <c r="I154" s="279">
        <f>K29*Simulator2!D10</f>
        <v>5789245.0579999993</v>
      </c>
      <c r="J154" s="194"/>
      <c r="K154" s="277">
        <f>IF((I154-J154)&gt;0,I154-J154,0)</f>
        <v>5789245.0579999993</v>
      </c>
      <c r="L154" s="4"/>
      <c r="M154" s="277">
        <f>IF((K154-L154)&gt;0,K154-L154,0)</f>
        <v>5789245.0579999993</v>
      </c>
      <c r="N154" s="194">
        <f>SUM(FI29)</f>
        <v>5165210.8387038605</v>
      </c>
      <c r="O154" s="277">
        <f>IF((K154-N154)&gt;0,M154-N154,0)</f>
        <v>624034.21929613873</v>
      </c>
      <c r="Q154" s="210">
        <f>SUM(J154,L154,N154)</f>
        <v>5165210.8387038605</v>
      </c>
    </row>
    <row r="155" spans="7:17" x14ac:dyDescent="0.25">
      <c r="I155" s="210">
        <f>K30*Simulator2!D11</f>
        <v>1594457.28</v>
      </c>
      <c r="J155" s="194"/>
      <c r="K155" s="277">
        <f t="shared" ref="K155:K156" si="104">IF((I155-J155)&gt;0,I155-J155,0)</f>
        <v>1594457.28</v>
      </c>
      <c r="M155" s="277">
        <f t="shared" ref="M155:M156" si="105">IF((K155-L155)&gt;0,K155-L155,0)</f>
        <v>1594457.28</v>
      </c>
      <c r="N155" s="194">
        <f t="shared" ref="N155:N156" si="106">SUM(FI30)</f>
        <v>1372904.921226087</v>
      </c>
      <c r="O155" s="277">
        <f t="shared" ref="O155:O156" si="107">IF((M155-N155)&gt;0,M155-N155,0)</f>
        <v>221552.358773913</v>
      </c>
      <c r="Q155" s="210">
        <f t="shared" ref="Q155:Q156" si="108">SUM(J155,L155,N155)</f>
        <v>1372904.921226087</v>
      </c>
    </row>
    <row r="156" spans="7:17" x14ac:dyDescent="0.25">
      <c r="I156" s="210">
        <f>K31*Simulator2!D12</f>
        <v>3502902.36</v>
      </c>
      <c r="J156" s="194"/>
      <c r="K156" s="277">
        <f t="shared" si="104"/>
        <v>3502902.36</v>
      </c>
      <c r="L156" s="194"/>
      <c r="M156" s="277">
        <f t="shared" si="105"/>
        <v>3502902.36</v>
      </c>
      <c r="N156" s="194">
        <f t="shared" si="106"/>
        <v>3118715.3127400456</v>
      </c>
      <c r="O156" s="277">
        <f t="shared" si="107"/>
        <v>384187.04725995427</v>
      </c>
      <c r="Q156" s="210">
        <f t="shared" si="108"/>
        <v>3118715.3127400456</v>
      </c>
    </row>
    <row r="158" spans="7:17" x14ac:dyDescent="0.25">
      <c r="I158" s="175" t="s">
        <v>213</v>
      </c>
      <c r="J158" s="175" t="s">
        <v>214</v>
      </c>
      <c r="K158" s="235" t="s">
        <v>215</v>
      </c>
      <c r="L158" s="175" t="s">
        <v>216</v>
      </c>
      <c r="M158" s="235" t="s">
        <v>215</v>
      </c>
      <c r="N158" s="236" t="s">
        <v>236</v>
      </c>
      <c r="O158" s="235" t="s">
        <v>215</v>
      </c>
      <c r="Q158" s="282" t="s">
        <v>237</v>
      </c>
    </row>
    <row r="159" spans="7:17" x14ac:dyDescent="0.25">
      <c r="I159" s="203">
        <f>'Thai input'!K4</f>
        <v>4.2999999999999997E-2</v>
      </c>
      <c r="J159" s="203">
        <f>J154/'Thai input'!L4</f>
        <v>0</v>
      </c>
      <c r="K159" s="280">
        <f>IF((I159-J159)&gt;0,I159-J159,0)</f>
        <v>4.2999999999999997E-2</v>
      </c>
      <c r="M159" s="280">
        <f>IF((K159-L159)&gt;0,K159-L159,0)</f>
        <v>4.2999999999999997E-2</v>
      </c>
      <c r="N159" s="281">
        <f>N154/'Thai input'!L4</f>
        <v>3.8364944623884324E-2</v>
      </c>
      <c r="O159" s="280">
        <f>IF((M159-N159)&gt;0,M159-N159,0)</f>
        <v>4.6350553761156724E-3</v>
      </c>
      <c r="Q159" s="30">
        <f>N154*0.001</f>
        <v>5165.2108387038606</v>
      </c>
    </row>
    <row r="160" spans="7:17" x14ac:dyDescent="0.25">
      <c r="I160" s="203">
        <f>'Thai input'!K5</f>
        <v>0.20799999999999999</v>
      </c>
      <c r="J160" s="203">
        <f>J155/'Thai input'!L5</f>
        <v>0</v>
      </c>
      <c r="K160" s="280">
        <f t="shared" ref="K160:K161" si="109">IF((I160-J160)&gt;0,I160-J160,0)</f>
        <v>0.20799999999999999</v>
      </c>
      <c r="M160" s="280">
        <f t="shared" ref="M160:M161" si="110">IF((K160-L160)&gt;0,K160-L160,0)</f>
        <v>0.20799999999999999</v>
      </c>
      <c r="N160" s="281">
        <f>N155/'Thai input'!L5</f>
        <v>0.17909807129798178</v>
      </c>
      <c r="O160" s="280">
        <f t="shared" ref="O160:O161" si="111">IF((M160-N160)&gt;0,M160-N160,0)</f>
        <v>2.8901928702018215E-2</v>
      </c>
      <c r="Q160" s="30">
        <f t="shared" ref="Q160:Q161" si="112">N155*0.001</f>
        <v>1372.904921226087</v>
      </c>
    </row>
    <row r="161" spans="9:17" x14ac:dyDescent="0.25">
      <c r="I161" s="203">
        <f>'Thai input'!K6</f>
        <v>0.51</v>
      </c>
      <c r="J161" s="203">
        <f>J156/'Thai input'!L6</f>
        <v>0</v>
      </c>
      <c r="K161" s="280">
        <f t="shared" si="109"/>
        <v>0.51</v>
      </c>
      <c r="M161" s="280">
        <f t="shared" si="110"/>
        <v>0.51</v>
      </c>
      <c r="N161" s="281">
        <f>N156/'Thai input'!L6</f>
        <v>0.45406484281720694</v>
      </c>
      <c r="O161" s="280">
        <f t="shared" si="111"/>
        <v>5.5935157182793072E-2</v>
      </c>
      <c r="Q161" s="30">
        <f t="shared" si="112"/>
        <v>3118.7153127400456</v>
      </c>
    </row>
    <row r="162" spans="9:17" x14ac:dyDescent="0.25">
      <c r="Q162" s="4">
        <f>SUM(Q159:Q161)</f>
        <v>9656.8310726699929</v>
      </c>
    </row>
    <row r="164" spans="9:17" x14ac:dyDescent="0.25">
      <c r="O164">
        <v>0</v>
      </c>
    </row>
    <row r="165" spans="9:17" x14ac:dyDescent="0.25">
      <c r="O165">
        <v>0</v>
      </c>
    </row>
    <row r="166" spans="9:17" x14ac:dyDescent="0.25">
      <c r="I166" s="194"/>
    </row>
    <row r="167" spans="9:17" x14ac:dyDescent="0.25">
      <c r="I167" s="204"/>
      <c r="K167" s="233"/>
    </row>
  </sheetData>
  <scenarios current="0">
    <scenario name="ac" count="32" user="Thakur, Akanksha - Contractor {PI}" comment="Created by Thakur, Akanksha - Contractor {PI} on 9/7/2020">
      <inputCells r="CK19" val="39.7757956338992" numFmtId="164"/>
      <inputCells r="CL19" val="30.8801140111605" numFmtId="164"/>
      <inputCells r="CM19" val="26.415939900018" numFmtId="164"/>
      <inputCells r="CN19" val="28.2555045472468" numFmtId="164"/>
      <inputCells r="CO19" val="26.9323444535168" numFmtId="164"/>
      <inputCells r="CP19" val="17.0586173233225" numFmtId="164"/>
      <inputCells r="CQ19" val="15.1831928994669" numFmtId="164"/>
      <inputCells r="CR19" val="14.3229617997179" numFmtId="164"/>
      <inputCells r="CT19" val="11.8312978565248" numFmtId="164"/>
      <inputCells r="CU19" val="18.9250184368967" numFmtId="164"/>
      <inputCells r="CX19" val="14.1237652881352" numFmtId="164"/>
      <inputCells r="CK22" val="23.9999884472414" numFmtId="164"/>
      <inputCells r="CL22" val="35.9999640543654" numFmtId="164"/>
      <inputCells r="CM22" val="19.9999805224991" numFmtId="164"/>
      <inputCells r="CN22" val="29.0010829491144" numFmtId="164"/>
      <inputCells r="CO22" val="38.9999894958646" numFmtId="164"/>
      <inputCells r="CP22" val="19.9999800155985" numFmtId="164"/>
      <inputCells r="CQ22" val="16.9999887580333" numFmtId="164"/>
      <inputCells r="CR22" val="27" numFmtId="164"/>
      <inputCells r="CT22" val="46.0025850956189" numFmtId="164"/>
      <inputCells r="CU22" val="33" numFmtId="164"/>
      <inputCells r="CX22" val="39.9999678963973" numFmtId="164"/>
      <inputCells r="Z29" val="0.168473159583333" numFmtId="9"/>
      <inputCells r="O54" val="1284.75938563963"/>
      <inputCells r="O55" val="632.790146001632"/>
      <inputCells r="O56" val="619.990533696972"/>
      <inputCells r="O57" val="867.181492380431"/>
      <inputCells r="O58" val="227.998717263511"/>
      <inputCells r="M106" val="284441281.33036" numFmtId="169"/>
      <inputCells r="M107" val="284394392.738418" numFmtId="169"/>
      <inputCells r="M108" val="284380218.316323" numFmtId="169"/>
      <inputCells r="M109" val="284403449.214748" numFmtId="169"/>
    </scenario>
    <scenario name="XT" count="32" user="Thakur, Akanksha - Contractor {PI}" comment="Created by Thakur, Akanksha - Contractor {PI} on 9/7/2020">
      <inputCells r="CK19" val="39.7757956338992" numFmtId="164"/>
      <inputCells r="CL19" val="30.8801140111605" numFmtId="164"/>
      <inputCells r="CM19" val="26.415939900018" numFmtId="164"/>
      <inputCells r="CN19" val="28.2555045472468" numFmtId="164"/>
      <inputCells r="CO19" val="26.9323444535168" numFmtId="164"/>
      <inputCells r="CP19" val="17.0586173233225" numFmtId="164"/>
      <inputCells r="CQ19" val="15.1831928994669" numFmtId="164"/>
      <inputCells r="CR19" val="14.3229617997179" numFmtId="164"/>
      <inputCells r="CT19" val="11.8312978565248" numFmtId="164"/>
      <inputCells r="CU19" val="18.9250184368967" numFmtId="164"/>
      <inputCells r="CX19" val="14.1237652881352" numFmtId="164"/>
      <inputCells r="CK22" val="23.9999884472414" numFmtId="164"/>
      <inputCells r="CL22" val="35.9999640543654" numFmtId="164"/>
      <inputCells r="CM22" val="19.9999805224991" numFmtId="164"/>
      <inputCells r="CN22" val="29.0010829491144" numFmtId="164"/>
      <inputCells r="CO22" val="38.9999894958646" numFmtId="164"/>
      <inputCells r="CP22" val="19.9999800155985" numFmtId="164"/>
      <inputCells r="CQ22" val="16.9999887580333" numFmtId="164"/>
      <inputCells r="CR22" val="27" numFmtId="164"/>
      <inputCells r="CT22" val="46.0025850956189" numFmtId="164"/>
      <inputCells r="CU22" val="33" numFmtId="164"/>
      <inputCells r="CX22" val="39.9999678963973" numFmtId="164"/>
      <inputCells r="Z29" val="0.168473159583333" numFmtId="9"/>
      <inputCells r="O54" val="1284.75938534514"/>
      <inputCells r="O55" val="632.790145930194"/>
      <inputCells r="O56" val="619.990533628394"/>
      <inputCells r="O57" val="867.181492246267"/>
      <inputCells r="O58" val="227.998717254237"/>
      <inputCells r="M106" val="284441281.330359" numFmtId="169"/>
      <inputCells r="M107" val="284394392.738419" numFmtId="169"/>
      <inputCells r="M108" val="284380218.316323" numFmtId="169"/>
      <inputCells r="M109" val="284403449.214748" numFmtId="169"/>
    </scenario>
  </scenarios>
  <mergeCells count="25">
    <mergeCell ref="HD17:HW17"/>
    <mergeCell ref="G1:G4"/>
    <mergeCell ref="CK2:DD2"/>
    <mergeCell ref="I17:AB17"/>
    <mergeCell ref="AC17:AV17"/>
    <mergeCell ref="AW17:BP17"/>
    <mergeCell ref="BQ17:CJ17"/>
    <mergeCell ref="CK17:DD17"/>
    <mergeCell ref="DE17:DX17"/>
    <mergeCell ref="DY17:ER17"/>
    <mergeCell ref="ES17:FL17"/>
    <mergeCell ref="FN17:GG17"/>
    <mergeCell ref="GH17:HA17"/>
    <mergeCell ref="G146:G150"/>
    <mergeCell ref="HY20:IR20"/>
    <mergeCell ref="G27:K27"/>
    <mergeCell ref="L27:Q27"/>
    <mergeCell ref="FN27:GG27"/>
    <mergeCell ref="G53:G59"/>
    <mergeCell ref="G67:G73"/>
    <mergeCell ref="G82:G88"/>
    <mergeCell ref="G105:G109"/>
    <mergeCell ref="G117:G121"/>
    <mergeCell ref="G128:G133"/>
    <mergeCell ref="G138:G14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6891A-71D5-4B24-914A-D438CABB6E2A}">
  <sheetPr codeName="Sheet4"/>
  <dimension ref="A2:BP185"/>
  <sheetViews>
    <sheetView topLeftCell="I1" zoomScale="80" zoomScaleNormal="80" workbookViewId="0">
      <selection activeCell="O14" sqref="O14"/>
    </sheetView>
  </sheetViews>
  <sheetFormatPr defaultRowHeight="15" x14ac:dyDescent="0.25"/>
  <cols>
    <col min="2" max="2" width="13" bestFit="1" customWidth="1"/>
    <col min="3" max="3" width="14.42578125" bestFit="1" customWidth="1"/>
    <col min="5" max="5" width="20.28515625" customWidth="1"/>
    <col min="6" max="6" width="15" bestFit="1" customWidth="1"/>
    <col min="7" max="9" width="13.85546875" bestFit="1" customWidth="1"/>
    <col min="10" max="10" width="14.7109375" bestFit="1" customWidth="1"/>
    <col min="11" max="12" width="16.28515625" bestFit="1" customWidth="1"/>
    <col min="13" max="13" width="12.28515625" bestFit="1" customWidth="1"/>
    <col min="14" max="14" width="13.85546875" bestFit="1" customWidth="1"/>
    <col min="15" max="15" width="12.28515625" bestFit="1" customWidth="1"/>
    <col min="16" max="16" width="16.5703125" bestFit="1" customWidth="1"/>
    <col min="17" max="17" width="15.140625" bestFit="1" customWidth="1"/>
    <col min="18" max="18" width="11.42578125" bestFit="1" customWidth="1"/>
    <col min="19" max="19" width="11.5703125" bestFit="1" customWidth="1"/>
    <col min="20" max="20" width="11.7109375" bestFit="1" customWidth="1"/>
    <col min="21" max="21" width="12" bestFit="1" customWidth="1"/>
    <col min="23" max="23" width="11.42578125" bestFit="1" customWidth="1"/>
    <col min="24" max="24" width="16.7109375" bestFit="1" customWidth="1"/>
    <col min="25" max="25" width="17.85546875" bestFit="1" customWidth="1"/>
    <col min="26" max="26" width="11.28515625" bestFit="1" customWidth="1"/>
    <col min="27" max="27" width="11.140625" customWidth="1"/>
    <col min="29" max="29" width="12.140625" customWidth="1"/>
    <col min="47" max="47" width="13.85546875" bestFit="1" customWidth="1"/>
    <col min="48" max="51" width="15.140625" bestFit="1" customWidth="1"/>
    <col min="52" max="54" width="13.85546875" bestFit="1" customWidth="1"/>
    <col min="55" max="55" width="9.42578125" bestFit="1" customWidth="1"/>
    <col min="56" max="56" width="15.140625" bestFit="1" customWidth="1"/>
    <col min="57" max="57" width="13.85546875" bestFit="1" customWidth="1"/>
    <col min="58" max="59" width="12.28515625" bestFit="1" customWidth="1"/>
    <col min="60" max="60" width="13.85546875" bestFit="1" customWidth="1"/>
    <col min="61" max="61" width="11.28515625" bestFit="1" customWidth="1"/>
    <col min="62" max="62" width="9.42578125" bestFit="1" customWidth="1"/>
    <col min="63" max="63" width="11.28515625" bestFit="1" customWidth="1"/>
    <col min="64" max="64" width="12.28515625" bestFit="1" customWidth="1"/>
    <col min="65" max="65" width="13.85546875" bestFit="1" customWidth="1"/>
    <col min="66" max="66" width="12.28515625" bestFit="1" customWidth="1"/>
    <col min="68" max="68" width="13.85546875" customWidth="1"/>
  </cols>
  <sheetData>
    <row r="2" spans="2:17" ht="75" x14ac:dyDescent="0.25">
      <c r="I2" s="2" t="s">
        <v>397</v>
      </c>
      <c r="J2" s="601" t="s">
        <v>125</v>
      </c>
      <c r="K2" s="601"/>
      <c r="L2" s="169" t="s">
        <v>126</v>
      </c>
      <c r="N2" s="169" t="s">
        <v>127</v>
      </c>
      <c r="O2" s="169" t="s">
        <v>79</v>
      </c>
      <c r="Q2" s="288" t="s">
        <v>240</v>
      </c>
    </row>
    <row r="3" spans="2:17" x14ac:dyDescent="0.25">
      <c r="J3" s="170" t="s">
        <v>82</v>
      </c>
      <c r="K3" s="176">
        <f>Simulator2!D9</f>
        <v>7.2999999999999995E-2</v>
      </c>
      <c r="L3" s="171">
        <f>SUM(L4:L6)</f>
        <v>149167702</v>
      </c>
      <c r="N3" s="172">
        <f>SUM(N4:N6)</f>
        <v>160054306.69800001</v>
      </c>
      <c r="O3" s="173">
        <f>SUM('Table Format Calculations'!AJ29:AJ31)/'Thai input'!L3</f>
        <v>7.2982349189696913E-2</v>
      </c>
    </row>
    <row r="4" spans="2:17" x14ac:dyDescent="0.25">
      <c r="J4" s="39" t="s">
        <v>12</v>
      </c>
      <c r="K4" s="176">
        <f>Simulator2!D10</f>
        <v>4.2999999999999997E-2</v>
      </c>
      <c r="L4" s="174">
        <f>F25</f>
        <v>134633606</v>
      </c>
      <c r="N4" s="174">
        <f>L4*(1+K4)</f>
        <v>140422851.058</v>
      </c>
      <c r="O4" s="62">
        <f>'Table Format Calculations'!AJ29/'Table Format Calculations'!K29</f>
        <v>4.2999999994898057E-2</v>
      </c>
      <c r="Q4" s="4">
        <f>N4-L4</f>
        <v>5789245.0579999983</v>
      </c>
    </row>
    <row r="5" spans="2:17" x14ac:dyDescent="0.25">
      <c r="J5" s="39" t="s">
        <v>30</v>
      </c>
      <c r="K5" s="176">
        <f>Simulator2!D11</f>
        <v>0.20799999999999999</v>
      </c>
      <c r="L5" s="174">
        <f t="shared" ref="L5:L6" si="0">F26</f>
        <v>7665660</v>
      </c>
      <c r="N5" s="174">
        <f>L5*(1+K5)</f>
        <v>9260117.2799999993</v>
      </c>
      <c r="O5" s="62">
        <f>'Table Format Calculations'!AJ30/'Table Format Calculations'!K30</f>
        <v>0.20800000004328734</v>
      </c>
      <c r="Q5" s="4">
        <f t="shared" ref="Q5:Q6" si="1">N5-L5</f>
        <v>1594457.2799999993</v>
      </c>
    </row>
    <row r="6" spans="2:17" x14ac:dyDescent="0.25">
      <c r="J6" s="39" t="s">
        <v>38</v>
      </c>
      <c r="K6" s="176">
        <f>Simulator2!D12</f>
        <v>0.51</v>
      </c>
      <c r="L6" s="174">
        <f t="shared" si="0"/>
        <v>6868436</v>
      </c>
      <c r="N6" s="174">
        <f>L6*(1+K6)</f>
        <v>10371338.359999999</v>
      </c>
      <c r="O6" s="62">
        <f>'Table Format Calculations'!AJ31/'Table Format Calculations'!K31</f>
        <v>0.51000067228459522</v>
      </c>
      <c r="Q6" s="4">
        <f t="shared" si="1"/>
        <v>3502902.3599999994</v>
      </c>
    </row>
    <row r="7" spans="2:17" x14ac:dyDescent="0.25">
      <c r="J7" s="420" t="s">
        <v>347</v>
      </c>
      <c r="L7" s="417">
        <f>SUM(L4:L5)</f>
        <v>142299266</v>
      </c>
      <c r="N7" s="417">
        <f>SUM(N4:N5)</f>
        <v>149682968.338</v>
      </c>
      <c r="O7" s="473">
        <f>SUM('Table Format Calculations'!AJ29:AJ30)/'Thai input'!L7</f>
        <v>5.1888548305266263E-2</v>
      </c>
    </row>
    <row r="8" spans="2:17" x14ac:dyDescent="0.25">
      <c r="B8" s="231" t="s">
        <v>12</v>
      </c>
      <c r="C8" s="592" t="s">
        <v>54</v>
      </c>
      <c r="D8" s="66" t="s">
        <v>26</v>
      </c>
      <c r="E8" s="468">
        <v>0.02</v>
      </c>
    </row>
    <row r="9" spans="2:17" ht="45" x14ac:dyDescent="0.25">
      <c r="B9" s="231" t="s">
        <v>30</v>
      </c>
      <c r="C9" s="592"/>
      <c r="D9" s="66" t="s">
        <v>26</v>
      </c>
      <c r="E9" s="468">
        <v>0.11</v>
      </c>
      <c r="I9" s="2" t="s">
        <v>398</v>
      </c>
      <c r="J9" s="601" t="s">
        <v>125</v>
      </c>
      <c r="K9" s="601"/>
      <c r="L9" s="470" t="s">
        <v>126</v>
      </c>
      <c r="N9" s="470" t="s">
        <v>127</v>
      </c>
      <c r="O9" s="470" t="s">
        <v>79</v>
      </c>
      <c r="Q9" s="288" t="s">
        <v>240</v>
      </c>
    </row>
    <row r="10" spans="2:17" x14ac:dyDescent="0.25">
      <c r="B10" s="232" t="s">
        <v>38</v>
      </c>
      <c r="C10" s="592"/>
      <c r="D10" s="66" t="s">
        <v>26</v>
      </c>
      <c r="E10" s="468">
        <v>0.28000000000000003</v>
      </c>
      <c r="J10" s="170" t="s">
        <v>82</v>
      </c>
      <c r="K10" s="176">
        <f>Calculator!$D9</f>
        <v>7.2999999999999995E-2</v>
      </c>
      <c r="L10" s="171">
        <f>SUM(L11:L13)</f>
        <v>149167702</v>
      </c>
      <c r="N10" s="172">
        <f>SUM(N11:N14)</f>
        <v>309737275.03600001</v>
      </c>
      <c r="O10" s="173">
        <f>SUM(Calculator_Calculations!AJ29:AJ31)/'Thai input'!L10</f>
        <v>7.299578464265262E-2</v>
      </c>
    </row>
    <row r="11" spans="2:17" x14ac:dyDescent="0.25">
      <c r="J11" s="39" t="s">
        <v>12</v>
      </c>
      <c r="K11" s="176">
        <f>Calculator!$D10</f>
        <v>4.2999999999999997E-2</v>
      </c>
      <c r="L11" s="174">
        <f>F25</f>
        <v>134633606</v>
      </c>
      <c r="N11" s="174">
        <f>L11*(1+K11)</f>
        <v>140422851.058</v>
      </c>
      <c r="O11" s="62">
        <f>Calculator_Calculations!AJ29/Calculator_Calculations!K29</f>
        <v>4.3014998630849934E-2</v>
      </c>
      <c r="Q11" s="4">
        <f>N11-L11</f>
        <v>5789245.0579999983</v>
      </c>
    </row>
    <row r="12" spans="2:17" x14ac:dyDescent="0.25">
      <c r="J12" s="39" t="s">
        <v>30</v>
      </c>
      <c r="K12" s="176">
        <f>Calculator!$D11</f>
        <v>0.20799999999999999</v>
      </c>
      <c r="L12" s="174">
        <f t="shared" ref="L12:L13" si="2">F26</f>
        <v>7665660</v>
      </c>
      <c r="N12" s="174">
        <f>L12*(1+K12)</f>
        <v>9260117.2799999993</v>
      </c>
      <c r="O12" s="62">
        <f>Calculator_Calculations!AJ30/Calculator_Calculations!K30</f>
        <v>0.20799801915702995</v>
      </c>
      <c r="Q12" s="4">
        <f t="shared" ref="Q12:Q13" si="3">N12-L12</f>
        <v>1594457.2799999993</v>
      </c>
    </row>
    <row r="13" spans="2:17" x14ac:dyDescent="0.25">
      <c r="J13" s="39" t="s">
        <v>38</v>
      </c>
      <c r="K13" s="176">
        <f>Calculator!$D12</f>
        <v>0.51</v>
      </c>
      <c r="L13" s="174">
        <f t="shared" si="2"/>
        <v>6868436</v>
      </c>
      <c r="N13" s="174">
        <f>L13*(1+K13)</f>
        <v>10371338.359999999</v>
      </c>
      <c r="O13" s="62">
        <f>Calculator_Calculations!AJ31/Calculator_Calculations!K31</f>
        <v>0.51000067228459522</v>
      </c>
      <c r="Q13" s="4">
        <f t="shared" si="3"/>
        <v>3502902.3599999994</v>
      </c>
    </row>
    <row r="14" spans="2:17" x14ac:dyDescent="0.25">
      <c r="J14" s="420" t="s">
        <v>347</v>
      </c>
      <c r="L14" s="417">
        <f>SUM(L11:L12)</f>
        <v>142299266</v>
      </c>
      <c r="N14" s="417">
        <f>SUM(N11:N12)</f>
        <v>149682968.338</v>
      </c>
      <c r="O14" s="173">
        <f>SUM(Calculator_Calculations!AJ29:AJ30)/'Thai input'!L14</f>
        <v>5.1902632254530873E-2</v>
      </c>
    </row>
    <row r="23" spans="2:66" ht="15.75" thickBot="1" x14ac:dyDescent="0.3"/>
    <row r="24" spans="2:66" ht="60" x14ac:dyDescent="0.25">
      <c r="F24" s="12" t="s">
        <v>55</v>
      </c>
      <c r="H24" t="s">
        <v>58</v>
      </c>
      <c r="J24" s="13" t="s">
        <v>56</v>
      </c>
      <c r="K24" s="13" t="s">
        <v>57</v>
      </c>
    </row>
    <row r="25" spans="2:66" x14ac:dyDescent="0.25">
      <c r="B25" s="5" t="s">
        <v>12</v>
      </c>
      <c r="C25" s="595" t="s">
        <v>54</v>
      </c>
      <c r="D25" s="596"/>
      <c r="E25" s="6"/>
      <c r="F25" s="121">
        <v>134633606</v>
      </c>
      <c r="G25" s="7">
        <f>F25/(SUM($F$25:$F$27))</f>
        <v>0.90256539582543138</v>
      </c>
      <c r="H25" s="8">
        <f>F25*K25/J25</f>
        <v>122023078.4508587</v>
      </c>
      <c r="I25" s="9"/>
      <c r="J25" s="14">
        <v>35688947</v>
      </c>
      <c r="K25" s="15">
        <v>32346123</v>
      </c>
      <c r="L25" s="194"/>
    </row>
    <row r="26" spans="2:66" x14ac:dyDescent="0.25">
      <c r="B26" s="5" t="s">
        <v>30</v>
      </c>
      <c r="C26" s="597"/>
      <c r="D26" s="598"/>
      <c r="E26" s="10"/>
      <c r="F26" s="121">
        <v>7665660</v>
      </c>
      <c r="G26" s="7">
        <f t="shared" ref="G26:G27" si="4">F26/(SUM($F$25:$F$27))</f>
        <v>5.1389542757721104E-2</v>
      </c>
      <c r="H26" s="8">
        <f>F26*K26/J26</f>
        <v>7493103.0691486569</v>
      </c>
      <c r="J26" s="14">
        <v>1847281</v>
      </c>
      <c r="K26" s="15">
        <v>1805698</v>
      </c>
      <c r="L26" s="194"/>
    </row>
    <row r="27" spans="2:66" x14ac:dyDescent="0.25">
      <c r="B27" s="5" t="s">
        <v>38</v>
      </c>
      <c r="C27" s="599"/>
      <c r="D27" s="600"/>
      <c r="E27" s="10"/>
      <c r="F27" s="122">
        <v>6868436</v>
      </c>
      <c r="G27" s="7">
        <f t="shared" si="4"/>
        <v>4.6045061416847465E-2</v>
      </c>
      <c r="H27" s="8">
        <f>F27*K27/J27</f>
        <v>7892639.0112307481</v>
      </c>
      <c r="J27" s="16">
        <v>1872894</v>
      </c>
      <c r="K27" s="15">
        <v>2152175</v>
      </c>
      <c r="L27" s="194"/>
    </row>
    <row r="29" spans="2:66" x14ac:dyDescent="0.25">
      <c r="F29" s="43">
        <f>SUM(F25:F26)</f>
        <v>142299266</v>
      </c>
    </row>
    <row r="31" spans="2:66" ht="15.75" thickBot="1" x14ac:dyDescent="0.3"/>
    <row r="32" spans="2:66" x14ac:dyDescent="0.25">
      <c r="G32" s="542" t="s">
        <v>71</v>
      </c>
      <c r="H32" s="543"/>
      <c r="I32" s="543"/>
      <c r="J32" s="543"/>
      <c r="K32" s="543"/>
      <c r="L32" s="543"/>
      <c r="M32" s="543"/>
      <c r="N32" s="543"/>
      <c r="O32" s="543"/>
      <c r="P32" s="543"/>
      <c r="Q32" s="543"/>
      <c r="R32" s="543"/>
      <c r="S32" s="543"/>
      <c r="T32" s="543"/>
      <c r="U32" s="543"/>
      <c r="V32" s="543"/>
      <c r="W32" s="543"/>
      <c r="X32" s="543"/>
      <c r="Y32" s="543"/>
      <c r="Z32" s="544"/>
      <c r="AA32" s="542" t="s">
        <v>71</v>
      </c>
      <c r="AB32" s="543"/>
      <c r="AC32" s="543"/>
      <c r="AD32" s="543"/>
      <c r="AE32" s="543"/>
      <c r="AF32" s="543"/>
      <c r="AG32" s="543"/>
      <c r="AH32" s="543"/>
      <c r="AI32" s="543"/>
      <c r="AJ32" s="543"/>
      <c r="AK32" s="543"/>
      <c r="AL32" s="543"/>
      <c r="AM32" s="543"/>
      <c r="AN32" s="543"/>
      <c r="AO32" s="543"/>
      <c r="AP32" s="543"/>
      <c r="AQ32" s="543"/>
      <c r="AR32" s="543"/>
      <c r="AS32" s="543"/>
      <c r="AT32" s="544"/>
      <c r="AU32" s="542" t="s">
        <v>72</v>
      </c>
      <c r="AV32" s="543"/>
      <c r="AW32" s="543"/>
      <c r="AX32" s="543"/>
      <c r="AY32" s="543"/>
      <c r="AZ32" s="543"/>
      <c r="BA32" s="543"/>
      <c r="BB32" s="543"/>
      <c r="BC32" s="543"/>
      <c r="BD32" s="543"/>
      <c r="BE32" s="543"/>
      <c r="BF32" s="543"/>
      <c r="BG32" s="543"/>
      <c r="BH32" s="543"/>
      <c r="BI32" s="543"/>
      <c r="BJ32" s="543"/>
      <c r="BK32" s="543"/>
      <c r="BL32" s="543"/>
      <c r="BM32" s="543"/>
      <c r="BN32" s="544"/>
    </row>
    <row r="33" spans="2:66" x14ac:dyDescent="0.25">
      <c r="F33" s="17"/>
      <c r="G33" s="27" t="s">
        <v>59</v>
      </c>
      <c r="H33" s="18" t="s">
        <v>60</v>
      </c>
      <c r="I33" s="18" t="s">
        <v>62</v>
      </c>
      <c r="J33" s="18" t="s">
        <v>61</v>
      </c>
      <c r="K33" s="18" t="s">
        <v>17</v>
      </c>
      <c r="L33" s="18" t="s">
        <v>18</v>
      </c>
      <c r="M33" s="18" t="s">
        <v>63</v>
      </c>
      <c r="N33" s="18" t="s">
        <v>64</v>
      </c>
      <c r="O33" s="18" t="s">
        <v>22</v>
      </c>
      <c r="P33" s="18" t="s">
        <v>70</v>
      </c>
      <c r="Q33" s="18" t="s">
        <v>65</v>
      </c>
      <c r="R33" s="18" t="s">
        <v>66</v>
      </c>
      <c r="S33" s="18" t="s">
        <v>35</v>
      </c>
      <c r="T33" s="18" t="s">
        <v>36</v>
      </c>
      <c r="U33" s="18" t="s">
        <v>37</v>
      </c>
      <c r="V33" s="18" t="s">
        <v>39</v>
      </c>
      <c r="W33" s="18" t="s">
        <v>42</v>
      </c>
      <c r="X33" s="18" t="s">
        <v>67</v>
      </c>
      <c r="Y33" s="18" t="s">
        <v>68</v>
      </c>
      <c r="Z33" s="28" t="s">
        <v>69</v>
      </c>
      <c r="AA33" s="27" t="s">
        <v>59</v>
      </c>
      <c r="AB33" s="18" t="s">
        <v>60</v>
      </c>
      <c r="AC33" s="18" t="s">
        <v>62</v>
      </c>
      <c r="AD33" s="18" t="s">
        <v>61</v>
      </c>
      <c r="AE33" s="18" t="s">
        <v>17</v>
      </c>
      <c r="AF33" s="18" t="s">
        <v>18</v>
      </c>
      <c r="AG33" s="18" t="s">
        <v>63</v>
      </c>
      <c r="AH33" s="18" t="s">
        <v>64</v>
      </c>
      <c r="AI33" s="18" t="s">
        <v>22</v>
      </c>
      <c r="AJ33" s="18" t="s">
        <v>70</v>
      </c>
      <c r="AK33" s="18" t="s">
        <v>65</v>
      </c>
      <c r="AL33" s="18" t="s">
        <v>66</v>
      </c>
      <c r="AM33" s="18" t="s">
        <v>35</v>
      </c>
      <c r="AN33" s="18" t="s">
        <v>36</v>
      </c>
      <c r="AO33" s="18" t="s">
        <v>37</v>
      </c>
      <c r="AP33" s="18" t="s">
        <v>39</v>
      </c>
      <c r="AQ33" s="18" t="s">
        <v>42</v>
      </c>
      <c r="AR33" s="18" t="s">
        <v>67</v>
      </c>
      <c r="AS33" s="18" t="s">
        <v>68</v>
      </c>
      <c r="AT33" s="28" t="s">
        <v>69</v>
      </c>
      <c r="AU33" s="27" t="s">
        <v>59</v>
      </c>
      <c r="AV33" s="18" t="s">
        <v>60</v>
      </c>
      <c r="AW33" s="18" t="s">
        <v>62</v>
      </c>
      <c r="AX33" s="18" t="s">
        <v>61</v>
      </c>
      <c r="AY33" s="18" t="s">
        <v>17</v>
      </c>
      <c r="AZ33" s="18" t="s">
        <v>18</v>
      </c>
      <c r="BA33" s="18" t="s">
        <v>63</v>
      </c>
      <c r="BB33" s="18" t="s">
        <v>64</v>
      </c>
      <c r="BC33" s="18" t="s">
        <v>22</v>
      </c>
      <c r="BD33" s="18" t="s">
        <v>70</v>
      </c>
      <c r="BE33" s="18" t="s">
        <v>65</v>
      </c>
      <c r="BF33" s="18" t="s">
        <v>66</v>
      </c>
      <c r="BG33" s="18" t="s">
        <v>35</v>
      </c>
      <c r="BH33" s="18" t="s">
        <v>36</v>
      </c>
      <c r="BI33" s="18" t="s">
        <v>37</v>
      </c>
      <c r="BJ33" s="18" t="s">
        <v>39</v>
      </c>
      <c r="BK33" s="18" t="s">
        <v>42</v>
      </c>
      <c r="BL33" s="18" t="s">
        <v>67</v>
      </c>
      <c r="BM33" s="18" t="s">
        <v>68</v>
      </c>
      <c r="BN33" s="28" t="s">
        <v>69</v>
      </c>
    </row>
    <row r="34" spans="2:66" x14ac:dyDescent="0.25">
      <c r="F34" s="26" t="s">
        <v>12</v>
      </c>
      <c r="G34" s="29">
        <v>1221720</v>
      </c>
      <c r="H34" s="22">
        <v>4001144</v>
      </c>
      <c r="I34" s="22">
        <v>3707611</v>
      </c>
      <c r="J34" s="22">
        <v>4363316</v>
      </c>
      <c r="K34" s="22">
        <v>2652625</v>
      </c>
      <c r="L34" s="22">
        <v>2000376</v>
      </c>
      <c r="M34" s="22">
        <v>2350216</v>
      </c>
      <c r="N34" s="23">
        <v>891506</v>
      </c>
      <c r="O34" s="23">
        <v>0</v>
      </c>
      <c r="P34" s="23">
        <v>9611203</v>
      </c>
      <c r="Q34" s="30">
        <v>736127</v>
      </c>
      <c r="R34" s="23"/>
      <c r="S34" s="23"/>
      <c r="T34" s="23">
        <v>572778</v>
      </c>
      <c r="U34" s="23"/>
      <c r="V34" s="23"/>
      <c r="W34" s="23"/>
      <c r="X34" s="23"/>
      <c r="Y34" s="23"/>
      <c r="Z34" s="31"/>
      <c r="AA34" s="35">
        <f>G34/$K25</f>
        <v>3.7770214377778756E-2</v>
      </c>
      <c r="AB34" s="35">
        <f t="shared" ref="AB34:AT36" si="5">H34/$K25</f>
        <v>0.12369779215889336</v>
      </c>
      <c r="AC34" s="35">
        <f t="shared" si="5"/>
        <v>0.11462304153112879</v>
      </c>
      <c r="AD34" s="35">
        <f t="shared" si="5"/>
        <v>0.13489455907899689</v>
      </c>
      <c r="AE34" s="35">
        <f t="shared" si="5"/>
        <v>8.2007509833558728E-2</v>
      </c>
      <c r="AF34" s="35">
        <f t="shared" si="5"/>
        <v>6.184283662063611E-2</v>
      </c>
      <c r="AG34" s="35">
        <f t="shared" si="5"/>
        <v>7.2658352285372804E-2</v>
      </c>
      <c r="AH34" s="35">
        <f t="shared" si="5"/>
        <v>2.7561448399859235E-2</v>
      </c>
      <c r="AI34" s="35">
        <f t="shared" si="5"/>
        <v>0</v>
      </c>
      <c r="AJ34" s="35">
        <f t="shared" si="5"/>
        <v>0.29713616682902</v>
      </c>
      <c r="AK34" s="35">
        <f t="shared" si="5"/>
        <v>2.2757812427783075E-2</v>
      </c>
      <c r="AL34" s="35">
        <f t="shared" si="5"/>
        <v>0</v>
      </c>
      <c r="AM34" s="35">
        <f t="shared" si="5"/>
        <v>0</v>
      </c>
      <c r="AN34" s="35">
        <f t="shared" si="5"/>
        <v>1.7707779074481352E-2</v>
      </c>
      <c r="AO34" s="35">
        <f t="shared" si="5"/>
        <v>0</v>
      </c>
      <c r="AP34" s="35">
        <f t="shared" si="5"/>
        <v>0</v>
      </c>
      <c r="AQ34" s="35">
        <f t="shared" si="5"/>
        <v>0</v>
      </c>
      <c r="AR34" s="35">
        <f t="shared" si="5"/>
        <v>0</v>
      </c>
      <c r="AS34" s="35">
        <f t="shared" si="5"/>
        <v>0</v>
      </c>
      <c r="AT34" s="35">
        <f t="shared" si="5"/>
        <v>0</v>
      </c>
      <c r="AU34" s="29">
        <f>AA34*$H25</f>
        <v>4608837.8321254486</v>
      </c>
      <c r="AV34" s="29">
        <f t="shared" ref="AV34:BN34" si="6">AB34*$H25</f>
        <v>15093985.396802658</v>
      </c>
      <c r="AW34" s="29">
        <f t="shared" si="6"/>
        <v>13986656.389028963</v>
      </c>
      <c r="AX34" s="29">
        <f t="shared" si="6"/>
        <v>16460249.365090432</v>
      </c>
      <c r="AY34" s="29">
        <f t="shared" si="6"/>
        <v>10006808.805979902</v>
      </c>
      <c r="AZ34" s="29">
        <f t="shared" si="6"/>
        <v>7546253.3045835169</v>
      </c>
      <c r="BA34" s="29">
        <f t="shared" si="6"/>
        <v>8865995.8210281748</v>
      </c>
      <c r="BB34" s="29">
        <f t="shared" si="6"/>
        <v>3363132.7803153172</v>
      </c>
      <c r="BC34" s="29">
        <f t="shared" si="6"/>
        <v>0</v>
      </c>
      <c r="BD34" s="29">
        <f t="shared" si="6"/>
        <v>36257469.795564942</v>
      </c>
      <c r="BE34" s="29">
        <f t="shared" si="6"/>
        <v>2776978.3312453013</v>
      </c>
      <c r="BF34" s="29">
        <f t="shared" si="6"/>
        <v>0</v>
      </c>
      <c r="BG34" s="29">
        <f t="shared" si="6"/>
        <v>0</v>
      </c>
      <c r="BH34" s="29">
        <f t="shared" si="6"/>
        <v>2160757.7151959119</v>
      </c>
      <c r="BI34" s="29">
        <f t="shared" si="6"/>
        <v>0</v>
      </c>
      <c r="BJ34" s="29">
        <f t="shared" si="6"/>
        <v>0</v>
      </c>
      <c r="BK34" s="29">
        <f t="shared" si="6"/>
        <v>0</v>
      </c>
      <c r="BL34" s="29">
        <f t="shared" si="6"/>
        <v>0</v>
      </c>
      <c r="BM34" s="29">
        <f t="shared" si="6"/>
        <v>0</v>
      </c>
      <c r="BN34" s="29">
        <f t="shared" si="6"/>
        <v>0</v>
      </c>
    </row>
    <row r="35" spans="2:66" x14ac:dyDescent="0.25">
      <c r="F35" s="26" t="s">
        <v>30</v>
      </c>
      <c r="G35" s="29"/>
      <c r="H35" s="22"/>
      <c r="I35" s="22">
        <v>848779</v>
      </c>
      <c r="J35" s="22"/>
      <c r="K35" s="22"/>
      <c r="L35" s="22"/>
      <c r="M35" s="22"/>
      <c r="N35" s="22"/>
      <c r="O35" s="23">
        <v>0</v>
      </c>
      <c r="P35" s="23">
        <v>217857</v>
      </c>
      <c r="Q35" s="23">
        <v>370141</v>
      </c>
      <c r="R35" s="23">
        <v>128209</v>
      </c>
      <c r="S35" s="23">
        <v>65523</v>
      </c>
      <c r="T35" s="23">
        <v>171104</v>
      </c>
      <c r="U35" s="23">
        <v>4085</v>
      </c>
      <c r="V35" s="23"/>
      <c r="W35" s="23"/>
      <c r="X35" s="23"/>
      <c r="Y35" s="23"/>
      <c r="Z35" s="31"/>
      <c r="AA35" s="35">
        <f t="shared" ref="AA35:AA36" si="7">G35/$K26</f>
        <v>0</v>
      </c>
      <c r="AB35" s="35">
        <f t="shared" si="5"/>
        <v>0</v>
      </c>
      <c r="AC35" s="35">
        <f t="shared" si="5"/>
        <v>0.47005590082062448</v>
      </c>
      <c r="AD35" s="35">
        <f t="shared" si="5"/>
        <v>0</v>
      </c>
      <c r="AE35" s="35">
        <f t="shared" si="5"/>
        <v>0</v>
      </c>
      <c r="AF35" s="35">
        <f t="shared" si="5"/>
        <v>0</v>
      </c>
      <c r="AG35" s="35">
        <f t="shared" si="5"/>
        <v>0</v>
      </c>
      <c r="AH35" s="35">
        <f t="shared" si="5"/>
        <v>0</v>
      </c>
      <c r="AI35" s="35">
        <f t="shared" si="5"/>
        <v>0</v>
      </c>
      <c r="AJ35" s="35">
        <f t="shared" si="5"/>
        <v>0.12064974320179786</v>
      </c>
      <c r="AK35" s="35">
        <f t="shared" si="5"/>
        <v>0.20498499749127483</v>
      </c>
      <c r="AL35" s="35">
        <f t="shared" si="5"/>
        <v>7.1002459990541056E-2</v>
      </c>
      <c r="AM35" s="35">
        <f t="shared" si="5"/>
        <v>3.6286798789166297E-2</v>
      </c>
      <c r="AN35" s="35">
        <f t="shared" si="5"/>
        <v>9.4757816644865309E-2</v>
      </c>
      <c r="AO35" s="35">
        <f t="shared" si="5"/>
        <v>2.2622830617301452E-3</v>
      </c>
      <c r="AP35" s="35">
        <f t="shared" si="5"/>
        <v>0</v>
      </c>
      <c r="AQ35" s="35">
        <f t="shared" si="5"/>
        <v>0</v>
      </c>
      <c r="AR35" s="35">
        <f t="shared" si="5"/>
        <v>0</v>
      </c>
      <c r="AS35" s="35">
        <f t="shared" si="5"/>
        <v>0</v>
      </c>
      <c r="AT35" s="35">
        <f t="shared" si="5"/>
        <v>0</v>
      </c>
      <c r="AU35" s="29">
        <f t="shared" ref="AU35:AU36" si="8">AA35*$H26</f>
        <v>0</v>
      </c>
      <c r="AV35" s="29">
        <f t="shared" ref="AV35:AV36" si="9">AB35*$H26</f>
        <v>0</v>
      </c>
      <c r="AW35" s="29">
        <f t="shared" ref="AW35:AW36" si="10">AC35*$H26</f>
        <v>3522177.3131104582</v>
      </c>
      <c r="AX35" s="29">
        <f t="shared" ref="AX35:AX36" si="11">AD35*$H26</f>
        <v>0</v>
      </c>
      <c r="AY35" s="29">
        <f t="shared" ref="AY35:AY36" si="12">AE35*$H26</f>
        <v>0</v>
      </c>
      <c r="AZ35" s="29">
        <f t="shared" ref="AZ35:AZ36" si="13">AF35*$H26</f>
        <v>0</v>
      </c>
      <c r="BA35" s="29">
        <f t="shared" ref="BA35:BA36" si="14">AG35*$H26</f>
        <v>0</v>
      </c>
      <c r="BB35" s="29">
        <f t="shared" ref="BB35:BB36" si="15">AH35*$H26</f>
        <v>0</v>
      </c>
      <c r="BC35" s="29">
        <f t="shared" ref="BC35:BC36" si="16">AI35*$H26</f>
        <v>0</v>
      </c>
      <c r="BD35" s="29">
        <f t="shared" ref="BD35:BD36" si="17">AJ35*$H26</f>
        <v>904040.96107738884</v>
      </c>
      <c r="BE35" s="29">
        <f t="shared" ref="BE35:BE36" si="18">AK35*$H26</f>
        <v>1535973.7138313011</v>
      </c>
      <c r="BF35" s="29">
        <f t="shared" ref="BF35:BF36" si="19">AL35*$H26</f>
        <v>532028.75087222795</v>
      </c>
      <c r="BG35" s="29">
        <f t="shared" ref="BG35:BG36" si="20">AM35*$H26</f>
        <v>271900.72337668174</v>
      </c>
      <c r="BH35" s="29">
        <f t="shared" ref="BH35:BH36" si="21">AN35*$H26</f>
        <v>710030.08672746597</v>
      </c>
      <c r="BI35" s="29">
        <f t="shared" ref="BI35:BI36" si="22">AO35*$H26</f>
        <v>16951.520153133173</v>
      </c>
      <c r="BJ35" s="29">
        <f t="shared" ref="BJ35:BJ36" si="23">AP35*$H26</f>
        <v>0</v>
      </c>
      <c r="BK35" s="29">
        <f t="shared" ref="BK35:BK36" si="24">AQ35*$H26</f>
        <v>0</v>
      </c>
      <c r="BL35" s="29">
        <f t="shared" ref="BL35:BL36" si="25">AR35*$H26</f>
        <v>0</v>
      </c>
      <c r="BM35" s="29">
        <f t="shared" ref="BM35:BM36" si="26">AS35*$H26</f>
        <v>0</v>
      </c>
      <c r="BN35" s="29">
        <f t="shared" ref="BN35:BN36" si="27">AT35*$H26</f>
        <v>0</v>
      </c>
    </row>
    <row r="36" spans="2:66" ht="15.75" thickBot="1" x14ac:dyDescent="0.3">
      <c r="F36" s="26" t="s">
        <v>38</v>
      </c>
      <c r="G36" s="32"/>
      <c r="H36" s="33"/>
      <c r="I36" s="33">
        <v>447235</v>
      </c>
      <c r="J36" s="33">
        <v>0</v>
      </c>
      <c r="K36" s="33"/>
      <c r="L36" s="33"/>
      <c r="M36" s="33"/>
      <c r="N36" s="33"/>
      <c r="O36" s="25"/>
      <c r="P36" s="25"/>
      <c r="Q36" s="25"/>
      <c r="R36" s="25"/>
      <c r="S36" s="25"/>
      <c r="T36" s="25"/>
      <c r="U36" s="25"/>
      <c r="V36" s="25">
        <v>0</v>
      </c>
      <c r="W36" s="25">
        <v>19998</v>
      </c>
      <c r="X36" s="25">
        <v>149101</v>
      </c>
      <c r="Y36" s="25">
        <v>1446738</v>
      </c>
      <c r="Z36" s="34">
        <v>45609</v>
      </c>
      <c r="AA36" s="35">
        <f t="shared" si="7"/>
        <v>0</v>
      </c>
      <c r="AB36" s="35">
        <f t="shared" si="5"/>
        <v>0</v>
      </c>
      <c r="AC36" s="35">
        <f t="shared" si="5"/>
        <v>0.20780605666360774</v>
      </c>
      <c r="AD36" s="35">
        <f t="shared" si="5"/>
        <v>0</v>
      </c>
      <c r="AE36" s="35">
        <f t="shared" si="5"/>
        <v>0</v>
      </c>
      <c r="AF36" s="35">
        <f t="shared" si="5"/>
        <v>0</v>
      </c>
      <c r="AG36" s="35">
        <f t="shared" si="5"/>
        <v>0</v>
      </c>
      <c r="AH36" s="35">
        <f t="shared" si="5"/>
        <v>0</v>
      </c>
      <c r="AI36" s="35">
        <f t="shared" si="5"/>
        <v>0</v>
      </c>
      <c r="AJ36" s="35">
        <f t="shared" si="5"/>
        <v>0</v>
      </c>
      <c r="AK36" s="35">
        <f t="shared" si="5"/>
        <v>0</v>
      </c>
      <c r="AL36" s="35">
        <f t="shared" si="5"/>
        <v>0</v>
      </c>
      <c r="AM36" s="35">
        <f t="shared" si="5"/>
        <v>0</v>
      </c>
      <c r="AN36" s="35">
        <f t="shared" si="5"/>
        <v>0</v>
      </c>
      <c r="AO36" s="35">
        <f t="shared" si="5"/>
        <v>0</v>
      </c>
      <c r="AP36" s="35">
        <f t="shared" si="5"/>
        <v>0</v>
      </c>
      <c r="AQ36" s="35">
        <f t="shared" si="5"/>
        <v>9.2919953070730778E-3</v>
      </c>
      <c r="AR36" s="35">
        <f t="shared" si="5"/>
        <v>6.9279217535748713E-2</v>
      </c>
      <c r="AS36" s="35">
        <f t="shared" si="5"/>
        <v>0.67222135746396083</v>
      </c>
      <c r="AT36" s="35">
        <f t="shared" si="5"/>
        <v>2.1192049903005099E-2</v>
      </c>
      <c r="AU36" s="29">
        <f t="shared" si="8"/>
        <v>0</v>
      </c>
      <c r="AV36" s="29">
        <f t="shared" si="9"/>
        <v>0</v>
      </c>
      <c r="AW36" s="29">
        <f t="shared" si="10"/>
        <v>1640138.1895932178</v>
      </c>
      <c r="AX36" s="29">
        <f t="shared" si="11"/>
        <v>0</v>
      </c>
      <c r="AY36" s="29">
        <f t="shared" si="12"/>
        <v>0</v>
      </c>
      <c r="AZ36" s="29">
        <f t="shared" si="13"/>
        <v>0</v>
      </c>
      <c r="BA36" s="29">
        <f t="shared" si="14"/>
        <v>0</v>
      </c>
      <c r="BB36" s="29">
        <f t="shared" si="15"/>
        <v>0</v>
      </c>
      <c r="BC36" s="29">
        <f t="shared" si="16"/>
        <v>0</v>
      </c>
      <c r="BD36" s="29">
        <f t="shared" si="17"/>
        <v>0</v>
      </c>
      <c r="BE36" s="29">
        <f t="shared" si="18"/>
        <v>0</v>
      </c>
      <c r="BF36" s="29">
        <f t="shared" si="19"/>
        <v>0</v>
      </c>
      <c r="BG36" s="29">
        <f t="shared" si="20"/>
        <v>0</v>
      </c>
      <c r="BH36" s="29">
        <f t="shared" si="21"/>
        <v>0</v>
      </c>
      <c r="BI36" s="29">
        <f t="shared" si="22"/>
        <v>0</v>
      </c>
      <c r="BJ36" s="29">
        <f t="shared" si="23"/>
        <v>0</v>
      </c>
      <c r="BK36" s="29">
        <f t="shared" si="24"/>
        <v>73338.364652778007</v>
      </c>
      <c r="BL36" s="29">
        <f t="shared" si="25"/>
        <v>546795.85499019164</v>
      </c>
      <c r="BM36" s="29">
        <f t="shared" si="26"/>
        <v>5305600.5101025468</v>
      </c>
      <c r="BN36" s="29">
        <f t="shared" si="27"/>
        <v>167261.19979240684</v>
      </c>
    </row>
    <row r="41" spans="2:66" x14ac:dyDescent="0.25">
      <c r="B41" s="206" t="s">
        <v>12</v>
      </c>
      <c r="C41" s="593" t="s">
        <v>150</v>
      </c>
      <c r="D41" s="593"/>
      <c r="E41" s="593"/>
      <c r="F41" s="207">
        <f>Simulator2!D24</f>
        <v>30</v>
      </c>
    </row>
    <row r="42" spans="2:66" x14ac:dyDescent="0.25">
      <c r="B42" s="206" t="s">
        <v>30</v>
      </c>
      <c r="C42" s="593" t="s">
        <v>150</v>
      </c>
      <c r="D42" s="593"/>
      <c r="E42" s="593"/>
      <c r="F42" s="207">
        <f>Simulator2!D25</f>
        <v>15</v>
      </c>
    </row>
    <row r="43" spans="2:66" x14ac:dyDescent="0.25">
      <c r="B43" s="206" t="s">
        <v>38</v>
      </c>
      <c r="C43" s="593" t="s">
        <v>150</v>
      </c>
      <c r="D43" s="593"/>
      <c r="E43" s="593"/>
      <c r="F43" s="207">
        <f>Simulator2!D26</f>
        <v>15</v>
      </c>
    </row>
    <row r="44" spans="2:66" x14ac:dyDescent="0.25">
      <c r="B44" s="206" t="s">
        <v>12</v>
      </c>
      <c r="C44" s="202" t="s">
        <v>151</v>
      </c>
      <c r="D44" s="594" t="s">
        <v>152</v>
      </c>
      <c r="E44" s="594"/>
      <c r="F44" s="207">
        <f>Simulator2!E24</f>
        <v>175</v>
      </c>
      <c r="G44" s="208">
        <v>325</v>
      </c>
    </row>
    <row r="45" spans="2:66" x14ac:dyDescent="0.25">
      <c r="B45" s="206" t="s">
        <v>30</v>
      </c>
      <c r="C45" s="202" t="s">
        <v>151</v>
      </c>
      <c r="D45" s="594" t="s">
        <v>153</v>
      </c>
      <c r="E45" s="594"/>
      <c r="F45" s="207">
        <f>Simulator2!E25</f>
        <v>155</v>
      </c>
      <c r="G45" s="208">
        <v>750</v>
      </c>
    </row>
    <row r="46" spans="2:66" x14ac:dyDescent="0.25">
      <c r="B46" s="206" t="s">
        <v>38</v>
      </c>
      <c r="C46" s="202" t="s">
        <v>151</v>
      </c>
      <c r="D46" s="594" t="s">
        <v>154</v>
      </c>
      <c r="E46" s="594"/>
      <c r="F46" s="207">
        <f>Simulator2!E26</f>
        <v>120</v>
      </c>
      <c r="G46" s="208">
        <v>800</v>
      </c>
    </row>
    <row r="48" spans="2:66" ht="15.75" thickBot="1" x14ac:dyDescent="0.3"/>
    <row r="49" spans="6:68" x14ac:dyDescent="0.25">
      <c r="G49" s="542" t="s">
        <v>71</v>
      </c>
      <c r="H49" s="543"/>
      <c r="I49" s="543"/>
      <c r="J49" s="543"/>
      <c r="K49" s="543"/>
      <c r="L49" s="543"/>
      <c r="M49" s="543"/>
      <c r="N49" s="543"/>
      <c r="O49" s="543"/>
      <c r="P49" s="543"/>
      <c r="Q49" s="543"/>
      <c r="R49" s="543"/>
      <c r="S49" s="543"/>
      <c r="T49" s="543"/>
      <c r="U49" s="543"/>
      <c r="V49" s="543"/>
      <c r="W49" s="543"/>
      <c r="X49" s="543"/>
      <c r="Y49" s="543"/>
      <c r="Z49" s="544"/>
      <c r="AA49" s="542" t="s">
        <v>71</v>
      </c>
      <c r="AB49" s="543"/>
      <c r="AC49" s="543"/>
      <c r="AD49" s="543"/>
      <c r="AE49" s="543"/>
      <c r="AF49" s="543"/>
      <c r="AG49" s="543"/>
      <c r="AH49" s="543"/>
      <c r="AI49" s="543"/>
      <c r="AJ49" s="543"/>
      <c r="AK49" s="543"/>
      <c r="AL49" s="543"/>
      <c r="AM49" s="543"/>
      <c r="AN49" s="543"/>
      <c r="AO49" s="543"/>
      <c r="AP49" s="543"/>
      <c r="AQ49" s="543"/>
      <c r="AR49" s="543"/>
      <c r="AS49" s="543"/>
      <c r="AT49" s="544"/>
    </row>
    <row r="50" spans="6:68" x14ac:dyDescent="0.25">
      <c r="F50" s="17"/>
      <c r="G50" s="27" t="s">
        <v>59</v>
      </c>
      <c r="H50" s="18" t="s">
        <v>60</v>
      </c>
      <c r="I50" s="18" t="s">
        <v>62</v>
      </c>
      <c r="J50" s="18" t="s">
        <v>61</v>
      </c>
      <c r="K50" s="18" t="s">
        <v>17</v>
      </c>
      <c r="L50" s="18" t="s">
        <v>18</v>
      </c>
      <c r="M50" s="18" t="s">
        <v>63</v>
      </c>
      <c r="N50" s="18" t="s">
        <v>64</v>
      </c>
      <c r="O50" s="18" t="s">
        <v>22</v>
      </c>
      <c r="P50" s="18" t="s">
        <v>70</v>
      </c>
      <c r="Q50" s="18" t="s">
        <v>65</v>
      </c>
      <c r="R50" s="18" t="s">
        <v>66</v>
      </c>
      <c r="S50" s="18" t="s">
        <v>35</v>
      </c>
      <c r="T50" s="18" t="s">
        <v>36</v>
      </c>
      <c r="U50" s="18" t="s">
        <v>37</v>
      </c>
      <c r="V50" s="18" t="s">
        <v>39</v>
      </c>
      <c r="W50" s="18" t="s">
        <v>42</v>
      </c>
      <c r="X50" s="18" t="s">
        <v>67</v>
      </c>
      <c r="Y50" s="18" t="s">
        <v>68</v>
      </c>
      <c r="Z50" s="28" t="s">
        <v>69</v>
      </c>
      <c r="AA50" s="27" t="s">
        <v>59</v>
      </c>
      <c r="AB50" s="18" t="s">
        <v>60</v>
      </c>
      <c r="AC50" s="18" t="s">
        <v>62</v>
      </c>
      <c r="AD50" s="18" t="s">
        <v>61</v>
      </c>
      <c r="AE50" s="18" t="s">
        <v>17</v>
      </c>
      <c r="AF50" s="18" t="s">
        <v>18</v>
      </c>
      <c r="AG50" s="18" t="s">
        <v>63</v>
      </c>
      <c r="AH50" s="18" t="s">
        <v>64</v>
      </c>
      <c r="AI50" s="18" t="s">
        <v>22</v>
      </c>
      <c r="AJ50" s="18" t="s">
        <v>70</v>
      </c>
      <c r="AK50" s="18" t="s">
        <v>65</v>
      </c>
      <c r="AL50" s="18" t="s">
        <v>66</v>
      </c>
      <c r="AM50" s="18" t="s">
        <v>35</v>
      </c>
      <c r="AN50" s="18" t="s">
        <v>36</v>
      </c>
      <c r="AO50" s="18" t="s">
        <v>37</v>
      </c>
      <c r="AP50" s="18" t="s">
        <v>39</v>
      </c>
      <c r="AQ50" s="18" t="s">
        <v>42</v>
      </c>
      <c r="AR50" s="18" t="s">
        <v>67</v>
      </c>
      <c r="AS50" s="18" t="s">
        <v>68</v>
      </c>
      <c r="AT50" s="28" t="s">
        <v>69</v>
      </c>
    </row>
    <row r="51" spans="6:68" x14ac:dyDescent="0.25">
      <c r="F51" s="26" t="s">
        <v>12</v>
      </c>
      <c r="G51" s="29">
        <v>4774385</v>
      </c>
      <c r="H51" s="22">
        <v>16208118</v>
      </c>
      <c r="I51" s="22">
        <v>11718064</v>
      </c>
      <c r="J51" s="22">
        <v>14525525</v>
      </c>
      <c r="K51" s="22">
        <v>10107608</v>
      </c>
      <c r="L51" s="22">
        <v>8347335</v>
      </c>
      <c r="M51" s="22">
        <v>9520310</v>
      </c>
      <c r="N51" s="23">
        <v>3177242</v>
      </c>
      <c r="O51" s="23">
        <v>445675</v>
      </c>
      <c r="P51" s="23">
        <v>49250215</v>
      </c>
      <c r="Q51" s="30">
        <v>3516607</v>
      </c>
      <c r="R51" s="23"/>
      <c r="S51" s="23"/>
      <c r="T51" s="23">
        <v>2691868</v>
      </c>
      <c r="U51" s="23"/>
      <c r="V51" s="23"/>
      <c r="W51" s="23"/>
      <c r="X51" s="23"/>
      <c r="Y51" s="23"/>
      <c r="Z51" s="31"/>
      <c r="AA51" s="35">
        <f>G51/$F25</f>
        <v>3.5462059896100531E-2</v>
      </c>
      <c r="AB51" s="35">
        <f t="shared" ref="AB51:AT51" si="28">H51/$F25</f>
        <v>0.12038686685700151</v>
      </c>
      <c r="AC51" s="35">
        <f t="shared" si="28"/>
        <v>8.7036694241109464E-2</v>
      </c>
      <c r="AD51" s="35">
        <f t="shared" si="28"/>
        <v>0.10788929622816461</v>
      </c>
      <c r="AE51" s="35">
        <f t="shared" si="28"/>
        <v>7.5074925943824158E-2</v>
      </c>
      <c r="AF51" s="35">
        <f t="shared" si="28"/>
        <v>6.2000381984866397E-2</v>
      </c>
      <c r="AG51" s="35">
        <f t="shared" si="28"/>
        <v>7.0712731262653691E-2</v>
      </c>
      <c r="AH51" s="35">
        <f t="shared" si="28"/>
        <v>2.359917478552866E-2</v>
      </c>
      <c r="AI51" s="35">
        <f t="shared" si="28"/>
        <v>3.3102804956438589E-3</v>
      </c>
      <c r="AJ51" s="35">
        <f t="shared" si="28"/>
        <v>0.36580922448144187</v>
      </c>
      <c r="AK51" s="35">
        <f t="shared" si="28"/>
        <v>2.6119830735277193E-2</v>
      </c>
      <c r="AL51" s="35">
        <f t="shared" si="28"/>
        <v>0</v>
      </c>
      <c r="AM51" s="35">
        <f t="shared" si="28"/>
        <v>0</v>
      </c>
      <c r="AN51" s="35">
        <f t="shared" si="28"/>
        <v>1.9994027345594533E-2</v>
      </c>
      <c r="AO51" s="35">
        <f t="shared" si="28"/>
        <v>0</v>
      </c>
      <c r="AP51" s="35">
        <f t="shared" si="28"/>
        <v>0</v>
      </c>
      <c r="AQ51" s="35">
        <f t="shared" si="28"/>
        <v>0</v>
      </c>
      <c r="AR51" s="35">
        <f t="shared" si="28"/>
        <v>0</v>
      </c>
      <c r="AS51" s="35">
        <f t="shared" si="28"/>
        <v>0</v>
      </c>
      <c r="AT51" s="35">
        <f t="shared" si="28"/>
        <v>0</v>
      </c>
    </row>
    <row r="52" spans="6:68" x14ac:dyDescent="0.25">
      <c r="F52" s="26" t="s">
        <v>30</v>
      </c>
      <c r="G52" s="29"/>
      <c r="H52" s="22"/>
      <c r="I52" s="22">
        <v>3168921</v>
      </c>
      <c r="J52" s="22"/>
      <c r="K52" s="22"/>
      <c r="L52" s="22"/>
      <c r="M52" s="22"/>
      <c r="N52" s="22"/>
      <c r="O52" s="23">
        <v>163962</v>
      </c>
      <c r="P52" s="23">
        <v>657271</v>
      </c>
      <c r="Q52" s="23">
        <v>1593815</v>
      </c>
      <c r="R52" s="23">
        <v>692173</v>
      </c>
      <c r="S52" s="23">
        <v>98989</v>
      </c>
      <c r="T52" s="23">
        <v>1025372</v>
      </c>
      <c r="U52" s="23">
        <v>167140</v>
      </c>
      <c r="V52" s="23"/>
      <c r="W52" s="23"/>
      <c r="X52" s="23"/>
      <c r="Y52" s="23"/>
      <c r="Z52" s="31"/>
      <c r="AA52" s="35">
        <f t="shared" ref="AA52:AA53" si="29">G52/$F26</f>
        <v>0</v>
      </c>
      <c r="AB52" s="35">
        <f t="shared" ref="AB52:AB53" si="30">H52/$F26</f>
        <v>0</v>
      </c>
      <c r="AC52" s="35">
        <f t="shared" ref="AC52:AC53" si="31">I52/$F26</f>
        <v>0.41339180188007296</v>
      </c>
      <c r="AD52" s="35">
        <f t="shared" ref="AD52:AD53" si="32">J52/$F26</f>
        <v>0</v>
      </c>
      <c r="AE52" s="35">
        <f t="shared" ref="AE52:AE53" si="33">K52/$F26</f>
        <v>0</v>
      </c>
      <c r="AF52" s="35">
        <f t="shared" ref="AF52:AF53" si="34">L52/$F26</f>
        <v>0</v>
      </c>
      <c r="AG52" s="35">
        <f t="shared" ref="AG52:AG53" si="35">M52/$F26</f>
        <v>0</v>
      </c>
      <c r="AH52" s="35">
        <f t="shared" ref="AH52:AH53" si="36">N52/$F26</f>
        <v>0</v>
      </c>
      <c r="AI52" s="35">
        <f t="shared" ref="AI52:AI53" si="37">O52/$F26</f>
        <v>2.1389156315307488E-2</v>
      </c>
      <c r="AJ52" s="35">
        <f t="shared" ref="AJ52:AJ53" si="38">P52/$F26</f>
        <v>8.5742258331311327E-2</v>
      </c>
      <c r="AK52" s="35">
        <f t="shared" ref="AK52:AK53" si="39">Q52/$F26</f>
        <v>0.20791621334627416</v>
      </c>
      <c r="AL52" s="35">
        <f t="shared" ref="AL52:AL53" si="40">R52/$F26</f>
        <v>9.0295290946898241E-2</v>
      </c>
      <c r="AM52" s="35">
        <f t="shared" ref="AM52:AM53" si="41">S52/$F26</f>
        <v>1.2913304268647448E-2</v>
      </c>
      <c r="AN52" s="35">
        <f t="shared" ref="AN52:AN53" si="42">T52/$F26</f>
        <v>0.13376173741073827</v>
      </c>
      <c r="AO52" s="35">
        <f t="shared" ref="AO52:AO53" si="43">U52/$F26</f>
        <v>2.1803732490092178E-2</v>
      </c>
      <c r="AP52" s="35">
        <f t="shared" ref="AP52:AP53" si="44">V52/$F26</f>
        <v>0</v>
      </c>
      <c r="AQ52" s="35">
        <f t="shared" ref="AQ52:AQ53" si="45">W52/$F26</f>
        <v>0</v>
      </c>
      <c r="AR52" s="35">
        <f t="shared" ref="AR52:AR53" si="46">X52/$F26</f>
        <v>0</v>
      </c>
      <c r="AS52" s="35">
        <f t="shared" ref="AS52:AS53" si="47">Y52/$F26</f>
        <v>0</v>
      </c>
      <c r="AT52" s="35">
        <f t="shared" ref="AT52:AT53" si="48">Z52/$F26</f>
        <v>0</v>
      </c>
    </row>
    <row r="53" spans="6:68" ht="15.75" thickBot="1" x14ac:dyDescent="0.3">
      <c r="F53" s="26" t="s">
        <v>38</v>
      </c>
      <c r="G53" s="32"/>
      <c r="H53" s="33"/>
      <c r="I53" s="33">
        <v>864022</v>
      </c>
      <c r="J53" s="33">
        <v>459199</v>
      </c>
      <c r="K53" s="33"/>
      <c r="L53" s="33"/>
      <c r="M53" s="33"/>
      <c r="N53" s="33"/>
      <c r="O53" s="25"/>
      <c r="P53" s="25"/>
      <c r="Q53" s="25"/>
      <c r="R53" s="25"/>
      <c r="S53" s="25"/>
      <c r="T53" s="25"/>
      <c r="U53" s="25"/>
      <c r="V53" s="25">
        <v>52029</v>
      </c>
      <c r="W53" s="25">
        <v>176060</v>
      </c>
      <c r="X53" s="25">
        <v>655390</v>
      </c>
      <c r="Y53" s="25">
        <v>3445036</v>
      </c>
      <c r="Z53" s="34">
        <v>1001763</v>
      </c>
      <c r="AA53" s="35">
        <f t="shared" si="29"/>
        <v>0</v>
      </c>
      <c r="AB53" s="35">
        <f t="shared" si="30"/>
        <v>0</v>
      </c>
      <c r="AC53" s="35">
        <f t="shared" si="31"/>
        <v>0.12579603275039616</v>
      </c>
      <c r="AD53" s="35">
        <f t="shared" si="32"/>
        <v>6.6856413891022648E-2</v>
      </c>
      <c r="AE53" s="35">
        <f t="shared" si="33"/>
        <v>0</v>
      </c>
      <c r="AF53" s="35">
        <f t="shared" si="34"/>
        <v>0</v>
      </c>
      <c r="AG53" s="35">
        <f t="shared" si="35"/>
        <v>0</v>
      </c>
      <c r="AH53" s="35">
        <f t="shared" si="36"/>
        <v>0</v>
      </c>
      <c r="AI53" s="35">
        <f t="shared" si="37"/>
        <v>0</v>
      </c>
      <c r="AJ53" s="35">
        <f t="shared" si="38"/>
        <v>0</v>
      </c>
      <c r="AK53" s="35">
        <f t="shared" si="39"/>
        <v>0</v>
      </c>
      <c r="AL53" s="35">
        <f t="shared" si="40"/>
        <v>0</v>
      </c>
      <c r="AM53" s="35">
        <f t="shared" si="41"/>
        <v>0</v>
      </c>
      <c r="AN53" s="35">
        <f t="shared" si="42"/>
        <v>0</v>
      </c>
      <c r="AO53" s="35">
        <f t="shared" si="43"/>
        <v>0</v>
      </c>
      <c r="AP53" s="35">
        <f t="shared" si="44"/>
        <v>7.5750869630291382E-3</v>
      </c>
      <c r="AQ53" s="35">
        <f t="shared" si="45"/>
        <v>2.5633200920850103E-2</v>
      </c>
      <c r="AR53" s="35">
        <f t="shared" si="46"/>
        <v>9.5420558624991186E-2</v>
      </c>
      <c r="AS53" s="35">
        <f t="shared" si="47"/>
        <v>0.50157503105510481</v>
      </c>
      <c r="AT53" s="35">
        <f t="shared" si="48"/>
        <v>0.14585023431826402</v>
      </c>
    </row>
    <row r="58" spans="6:68" ht="15.75" thickBot="1" x14ac:dyDescent="0.3"/>
    <row r="59" spans="6:68" ht="45.75" thickBot="1" x14ac:dyDescent="0.3">
      <c r="F59" s="521"/>
      <c r="G59" s="522"/>
      <c r="H59" s="511" t="s">
        <v>80</v>
      </c>
      <c r="I59" s="512"/>
      <c r="J59" s="512"/>
      <c r="K59" s="512"/>
      <c r="L59" s="512"/>
      <c r="M59" s="512"/>
      <c r="N59" s="512"/>
      <c r="O59" s="512"/>
      <c r="P59" s="512"/>
      <c r="Q59" s="512"/>
      <c r="R59" s="512"/>
      <c r="S59" s="512"/>
      <c r="T59" s="512"/>
      <c r="U59" s="512"/>
      <c r="V59" s="512"/>
      <c r="W59" s="512"/>
      <c r="X59" s="512"/>
      <c r="Y59" s="512"/>
      <c r="Z59" s="512"/>
      <c r="AA59" s="513"/>
      <c r="AB59" s="506" t="s">
        <v>81</v>
      </c>
      <c r="AC59" s="507"/>
      <c r="AD59" s="507"/>
      <c r="AE59" s="507"/>
      <c r="AF59" s="507"/>
      <c r="AG59" s="507"/>
      <c r="AH59" s="507"/>
      <c r="AI59" s="507"/>
      <c r="AJ59" s="507"/>
      <c r="AK59" s="507"/>
      <c r="AL59" s="507"/>
      <c r="AM59" s="507"/>
      <c r="AN59" s="507"/>
      <c r="AO59" s="507"/>
      <c r="AP59" s="507"/>
      <c r="AQ59" s="507"/>
      <c r="AR59" s="507"/>
      <c r="AS59" s="507"/>
      <c r="AT59" s="507"/>
      <c r="AU59" s="508"/>
      <c r="AV59" s="506" t="s">
        <v>116</v>
      </c>
      <c r="AW59" s="507"/>
      <c r="AX59" s="507"/>
      <c r="AY59" s="507"/>
      <c r="AZ59" s="507"/>
      <c r="BA59" s="507"/>
      <c r="BB59" s="507"/>
      <c r="BC59" s="507"/>
      <c r="BD59" s="507"/>
      <c r="BE59" s="507"/>
      <c r="BF59" s="507"/>
      <c r="BG59" s="507"/>
      <c r="BH59" s="507"/>
      <c r="BI59" s="507"/>
      <c r="BJ59" s="507"/>
      <c r="BK59" s="507"/>
      <c r="BL59" s="507"/>
      <c r="BM59" s="507"/>
      <c r="BN59" s="507"/>
      <c r="BO59" s="508"/>
      <c r="BP59" s="354" t="s">
        <v>269</v>
      </c>
    </row>
    <row r="60" spans="6:68" ht="15.75" thickBot="1" x14ac:dyDescent="0.3">
      <c r="F60" s="509" t="s">
        <v>52</v>
      </c>
      <c r="G60" s="510"/>
      <c r="H60" s="110" t="s">
        <v>59</v>
      </c>
      <c r="I60" s="111" t="s">
        <v>60</v>
      </c>
      <c r="J60" s="111" t="s">
        <v>62</v>
      </c>
      <c r="K60" s="111" t="s">
        <v>61</v>
      </c>
      <c r="L60" s="111" t="s">
        <v>17</v>
      </c>
      <c r="M60" s="111" t="s">
        <v>18</v>
      </c>
      <c r="N60" s="112" t="s">
        <v>63</v>
      </c>
      <c r="O60" s="111" t="s">
        <v>64</v>
      </c>
      <c r="P60" s="111" t="s">
        <v>22</v>
      </c>
      <c r="Q60" s="113" t="s">
        <v>70</v>
      </c>
      <c r="R60" s="110" t="s">
        <v>65</v>
      </c>
      <c r="S60" s="111" t="s">
        <v>66</v>
      </c>
      <c r="T60" s="111" t="s">
        <v>35</v>
      </c>
      <c r="U60" s="111" t="s">
        <v>36</v>
      </c>
      <c r="V60" s="111" t="s">
        <v>37</v>
      </c>
      <c r="W60" s="111" t="s">
        <v>39</v>
      </c>
      <c r="X60" s="112" t="s">
        <v>42</v>
      </c>
      <c r="Y60" s="111" t="s">
        <v>67</v>
      </c>
      <c r="Z60" s="111" t="s">
        <v>68</v>
      </c>
      <c r="AA60" s="114" t="s">
        <v>69</v>
      </c>
      <c r="AB60" s="110" t="s">
        <v>59</v>
      </c>
      <c r="AC60" s="111" t="s">
        <v>60</v>
      </c>
      <c r="AD60" s="111" t="s">
        <v>62</v>
      </c>
      <c r="AE60" s="111" t="s">
        <v>61</v>
      </c>
      <c r="AF60" s="111" t="s">
        <v>17</v>
      </c>
      <c r="AG60" s="111" t="s">
        <v>18</v>
      </c>
      <c r="AH60" s="112" t="s">
        <v>63</v>
      </c>
      <c r="AI60" s="111" t="s">
        <v>64</v>
      </c>
      <c r="AJ60" s="111" t="s">
        <v>22</v>
      </c>
      <c r="AK60" s="113" t="s">
        <v>70</v>
      </c>
      <c r="AL60" s="110" t="s">
        <v>65</v>
      </c>
      <c r="AM60" s="111" t="s">
        <v>66</v>
      </c>
      <c r="AN60" s="111" t="s">
        <v>35</v>
      </c>
      <c r="AO60" s="111" t="s">
        <v>36</v>
      </c>
      <c r="AP60" s="111" t="s">
        <v>37</v>
      </c>
      <c r="AQ60" s="111" t="s">
        <v>39</v>
      </c>
      <c r="AR60" s="112" t="s">
        <v>42</v>
      </c>
      <c r="AS60" s="111" t="s">
        <v>67</v>
      </c>
      <c r="AT60" s="111" t="s">
        <v>68</v>
      </c>
      <c r="AU60" s="114" t="s">
        <v>69</v>
      </c>
      <c r="AV60" s="110" t="s">
        <v>59</v>
      </c>
      <c r="AW60" s="111" t="s">
        <v>60</v>
      </c>
      <c r="AX60" s="111" t="s">
        <v>62</v>
      </c>
      <c r="AY60" s="111" t="s">
        <v>61</v>
      </c>
      <c r="AZ60" s="111" t="s">
        <v>17</v>
      </c>
      <c r="BA60" s="111" t="s">
        <v>18</v>
      </c>
      <c r="BB60" s="112" t="s">
        <v>63</v>
      </c>
      <c r="BC60" s="111" t="s">
        <v>64</v>
      </c>
      <c r="BD60" s="111" t="s">
        <v>22</v>
      </c>
      <c r="BE60" s="113" t="s">
        <v>70</v>
      </c>
      <c r="BF60" s="110" t="s">
        <v>65</v>
      </c>
      <c r="BG60" s="111" t="s">
        <v>66</v>
      </c>
      <c r="BH60" s="111" t="s">
        <v>35</v>
      </c>
      <c r="BI60" s="111" t="s">
        <v>36</v>
      </c>
      <c r="BJ60" s="111" t="s">
        <v>37</v>
      </c>
      <c r="BK60" s="111" t="s">
        <v>39</v>
      </c>
      <c r="BL60" s="112" t="s">
        <v>42</v>
      </c>
      <c r="BM60" s="111" t="s">
        <v>67</v>
      </c>
      <c r="BN60" s="111" t="s">
        <v>68</v>
      </c>
      <c r="BO60" s="114" t="s">
        <v>69</v>
      </c>
    </row>
    <row r="61" spans="6:68" x14ac:dyDescent="0.25">
      <c r="F61" s="493" t="s">
        <v>124</v>
      </c>
      <c r="G61" s="494"/>
      <c r="H61" s="494"/>
      <c r="I61" s="494"/>
      <c r="J61" s="494"/>
      <c r="K61" s="494"/>
      <c r="L61" s="494"/>
      <c r="M61" s="494"/>
      <c r="N61" s="494"/>
      <c r="O61" s="494"/>
      <c r="P61" s="494"/>
      <c r="Q61" s="494"/>
      <c r="R61" s="494"/>
      <c r="S61" s="494"/>
      <c r="T61" s="494"/>
      <c r="U61" s="494"/>
      <c r="V61" s="494"/>
      <c r="W61" s="494"/>
      <c r="X61" s="494"/>
      <c r="Y61" s="494"/>
      <c r="Z61" s="494"/>
      <c r="AA61" s="494"/>
      <c r="AB61" s="494"/>
      <c r="AC61" s="494"/>
      <c r="AD61" s="494"/>
      <c r="AE61" s="494"/>
      <c r="AF61" s="494"/>
      <c r="AG61" s="494"/>
      <c r="AH61" s="494"/>
      <c r="AI61" s="494"/>
      <c r="AJ61" s="494"/>
      <c r="AK61" s="494"/>
      <c r="AL61" s="494"/>
      <c r="AM61" s="494"/>
      <c r="AN61" s="494"/>
      <c r="AO61" s="494"/>
      <c r="AP61" s="494"/>
      <c r="AQ61" s="494"/>
      <c r="AR61" s="494"/>
      <c r="AS61" s="494"/>
      <c r="AT61" s="494"/>
      <c r="AU61" s="494"/>
      <c r="AV61" s="494"/>
      <c r="AW61" s="494"/>
      <c r="AX61" s="494"/>
      <c r="AY61" s="494"/>
      <c r="AZ61" s="494"/>
      <c r="BA61" s="494"/>
      <c r="BB61" s="494"/>
      <c r="BC61" s="494"/>
      <c r="BD61" s="494"/>
      <c r="BE61" s="494"/>
      <c r="BF61" s="494"/>
      <c r="BG61" s="494"/>
      <c r="BH61" s="494"/>
      <c r="BI61" s="494"/>
      <c r="BJ61" s="494"/>
      <c r="BK61" s="494"/>
      <c r="BL61" s="494"/>
      <c r="BM61" s="494"/>
      <c r="BN61" s="494"/>
      <c r="BO61" s="495"/>
    </row>
    <row r="62" spans="6:68" x14ac:dyDescent="0.25">
      <c r="F62" s="496"/>
      <c r="G62" s="497"/>
      <c r="H62" s="497"/>
      <c r="I62" s="497"/>
      <c r="J62" s="497"/>
      <c r="K62" s="497"/>
      <c r="L62" s="497"/>
      <c r="M62" s="497"/>
      <c r="N62" s="497"/>
      <c r="O62" s="497"/>
      <c r="P62" s="497"/>
      <c r="Q62" s="497"/>
      <c r="R62" s="497"/>
      <c r="S62" s="497"/>
      <c r="T62" s="497"/>
      <c r="U62" s="497"/>
      <c r="V62" s="497"/>
      <c r="W62" s="497"/>
      <c r="X62" s="497"/>
      <c r="Y62" s="497"/>
      <c r="Z62" s="497"/>
      <c r="AA62" s="497"/>
      <c r="AB62" s="497"/>
      <c r="AC62" s="497"/>
      <c r="AD62" s="497"/>
      <c r="AE62" s="497"/>
      <c r="AF62" s="497"/>
      <c r="AG62" s="497"/>
      <c r="AH62" s="497"/>
      <c r="AI62" s="497"/>
      <c r="AJ62" s="497"/>
      <c r="AK62" s="497"/>
      <c r="AL62" s="497"/>
      <c r="AM62" s="497"/>
      <c r="AN62" s="497"/>
      <c r="AO62" s="497"/>
      <c r="AP62" s="497"/>
      <c r="AQ62" s="497"/>
      <c r="AR62" s="497"/>
      <c r="AS62" s="497"/>
      <c r="AT62" s="497"/>
      <c r="AU62" s="497"/>
      <c r="AV62" s="497"/>
      <c r="AW62" s="497"/>
      <c r="AX62" s="497"/>
      <c r="AY62" s="497"/>
      <c r="AZ62" s="497"/>
      <c r="BA62" s="497"/>
      <c r="BB62" s="497"/>
      <c r="BC62" s="497"/>
      <c r="BD62" s="497"/>
      <c r="BE62" s="497"/>
      <c r="BF62" s="497"/>
      <c r="BG62" s="497"/>
      <c r="BH62" s="497"/>
      <c r="BI62" s="497"/>
      <c r="BJ62" s="497"/>
      <c r="BK62" s="497"/>
      <c r="BL62" s="497"/>
      <c r="BM62" s="497"/>
      <c r="BN62" s="497"/>
      <c r="BO62" s="498"/>
    </row>
    <row r="63" spans="6:68" ht="15.75" thickBot="1" x14ac:dyDescent="0.3">
      <c r="F63" s="499"/>
      <c r="G63" s="500"/>
      <c r="H63" s="500"/>
      <c r="I63" s="500"/>
      <c r="J63" s="500"/>
      <c r="K63" s="500"/>
      <c r="L63" s="500"/>
      <c r="M63" s="500"/>
      <c r="N63" s="500"/>
      <c r="O63" s="500"/>
      <c r="P63" s="500"/>
      <c r="Q63" s="500"/>
      <c r="R63" s="500"/>
      <c r="S63" s="500"/>
      <c r="T63" s="500"/>
      <c r="U63" s="500"/>
      <c r="V63" s="500"/>
      <c r="W63" s="500"/>
      <c r="X63" s="500"/>
      <c r="Y63" s="500"/>
      <c r="Z63" s="500"/>
      <c r="AA63" s="500"/>
      <c r="AB63" s="500"/>
      <c r="AC63" s="500"/>
      <c r="AD63" s="500"/>
      <c r="AE63" s="500"/>
      <c r="AF63" s="500"/>
      <c r="AG63" s="500"/>
      <c r="AH63" s="500"/>
      <c r="AI63" s="500"/>
      <c r="AJ63" s="500"/>
      <c r="AK63" s="500"/>
      <c r="AL63" s="500"/>
      <c r="AM63" s="500"/>
      <c r="AN63" s="500"/>
      <c r="AO63" s="500"/>
      <c r="AP63" s="500"/>
      <c r="AQ63" s="500"/>
      <c r="AR63" s="500"/>
      <c r="AS63" s="500"/>
      <c r="AT63" s="500"/>
      <c r="AU63" s="500"/>
      <c r="AV63" s="500"/>
      <c r="AW63" s="500"/>
      <c r="AX63" s="500"/>
      <c r="AY63" s="500"/>
      <c r="AZ63" s="500"/>
      <c r="BA63" s="500"/>
      <c r="BB63" s="500"/>
      <c r="BC63" s="500"/>
      <c r="BD63" s="500"/>
      <c r="BE63" s="500"/>
      <c r="BF63" s="500"/>
      <c r="BG63" s="500"/>
      <c r="BH63" s="500"/>
      <c r="BI63" s="500"/>
      <c r="BJ63" s="500"/>
      <c r="BK63" s="500"/>
      <c r="BL63" s="500"/>
      <c r="BM63" s="500"/>
      <c r="BN63" s="500"/>
      <c r="BO63" s="501"/>
    </row>
    <row r="64" spans="6:68" x14ac:dyDescent="0.25">
      <c r="F64" s="95" t="s">
        <v>115</v>
      </c>
      <c r="G64" s="96" t="s">
        <v>117</v>
      </c>
      <c r="H64" s="97">
        <f>'Table Format Calculations'!I19</f>
        <v>39.775852379323055</v>
      </c>
      <c r="I64" s="97">
        <f>'Table Format Calculations'!J19</f>
        <v>30.880153762112659</v>
      </c>
      <c r="J64" s="97">
        <f>'Table Format Calculations'!K19</f>
        <v>26.415966518519792</v>
      </c>
      <c r="K64" s="97">
        <f>'Table Format Calculations'!L19</f>
        <v>28.2555412866942</v>
      </c>
      <c r="L64" s="97">
        <f>'Table Format Calculations'!M19</f>
        <v>26.932342207540607</v>
      </c>
      <c r="M64" s="97">
        <f>'Table Format Calculations'!N19</f>
        <v>17.05862825600072</v>
      </c>
      <c r="N64" s="97">
        <f>'Table Format Calculations'!O19</f>
        <v>15.183203044049282</v>
      </c>
      <c r="O64" s="97">
        <f>'Table Format Calculations'!P19</f>
        <v>14.322983319748673</v>
      </c>
      <c r="P64" s="291"/>
      <c r="Q64" s="97">
        <f>'Table Format Calculations'!R19</f>
        <v>11.83129331148055</v>
      </c>
      <c r="R64" s="97">
        <f>'Table Format Calculations'!S19</f>
        <v>18.925041170451312</v>
      </c>
      <c r="S64" s="291"/>
      <c r="T64" s="291"/>
      <c r="U64" s="97">
        <f>'Table Format Calculations'!V19</f>
        <v>14.123777398502911</v>
      </c>
      <c r="V64" s="291"/>
      <c r="W64" s="291"/>
      <c r="X64" s="291"/>
      <c r="Y64" s="291"/>
      <c r="Z64" s="291"/>
      <c r="AA64" s="291"/>
      <c r="AB64" s="98">
        <f>'Table Format Calculations'!CK19</f>
        <v>39.775852379323055</v>
      </c>
      <c r="AC64" s="98">
        <f>'Table Format Calculations'!CL19</f>
        <v>30.880153762112659</v>
      </c>
      <c r="AD64" s="98">
        <f>'Table Format Calculations'!CM19</f>
        <v>26.415966518519792</v>
      </c>
      <c r="AE64" s="98">
        <f>'Table Format Calculations'!CN19</f>
        <v>28.2555412866942</v>
      </c>
      <c r="AF64" s="98">
        <f>'Table Format Calculations'!CO19</f>
        <v>26.932342207540607</v>
      </c>
      <c r="AG64" s="98">
        <f>'Table Format Calculations'!CP19</f>
        <v>17.05862825600072</v>
      </c>
      <c r="AH64" s="98">
        <f>'Table Format Calculations'!CQ19</f>
        <v>15.183203044049282</v>
      </c>
      <c r="AI64" s="98">
        <f>'Table Format Calculations'!CR19</f>
        <v>14.322983319748673</v>
      </c>
      <c r="AJ64" s="294"/>
      <c r="AK64" s="98">
        <f>'Table Format Calculations'!CT19</f>
        <v>11.83129331148055</v>
      </c>
      <c r="AL64" s="98">
        <f>'Table Format Calculations'!CU19</f>
        <v>18.925041170451312</v>
      </c>
      <c r="AM64" s="294"/>
      <c r="AN64" s="294"/>
      <c r="AO64" s="98">
        <f>'Table Format Calculations'!CX19</f>
        <v>14.123777398502911</v>
      </c>
      <c r="AP64" s="294"/>
      <c r="AQ64" s="294"/>
      <c r="AR64" s="294"/>
      <c r="AS64" s="294"/>
      <c r="AT64" s="294"/>
      <c r="AU64" s="294"/>
      <c r="AV64" s="115">
        <f>'Table Format Calculations'!ES19</f>
        <v>0</v>
      </c>
      <c r="AW64" s="115">
        <f>'Table Format Calculations'!ET19</f>
        <v>0</v>
      </c>
      <c r="AX64" s="115">
        <f>'Table Format Calculations'!EU19</f>
        <v>0</v>
      </c>
      <c r="AY64" s="115">
        <f>'Table Format Calculations'!EV19</f>
        <v>0</v>
      </c>
      <c r="AZ64" s="115">
        <f>'Table Format Calculations'!EW19</f>
        <v>0</v>
      </c>
      <c r="BA64" s="115">
        <f>'Table Format Calculations'!EX19</f>
        <v>0</v>
      </c>
      <c r="BB64" s="115">
        <f>'Table Format Calculations'!EY19</f>
        <v>0</v>
      </c>
      <c r="BC64" s="115">
        <f>'Table Format Calculations'!EZ19</f>
        <v>0</v>
      </c>
      <c r="BD64" s="115">
        <f>'Table Format Calculations'!FA19</f>
        <v>0</v>
      </c>
      <c r="BE64" s="115">
        <f>'Table Format Calculations'!FB19</f>
        <v>0</v>
      </c>
      <c r="BF64" s="115">
        <f>'Table Format Calculations'!FC19</f>
        <v>0</v>
      </c>
      <c r="BG64" s="115">
        <f>'Table Format Calculations'!FD19</f>
        <v>0</v>
      </c>
      <c r="BH64" s="115">
        <f>'Table Format Calculations'!FE19</f>
        <v>0</v>
      </c>
      <c r="BI64" s="115">
        <f>'Table Format Calculations'!FF19</f>
        <v>0</v>
      </c>
      <c r="BJ64" s="115">
        <f>'Table Format Calculations'!FG19</f>
        <v>0</v>
      </c>
      <c r="BK64" s="115">
        <f>'Table Format Calculations'!FH19</f>
        <v>0</v>
      </c>
      <c r="BL64" s="115">
        <f>'Table Format Calculations'!FI19</f>
        <v>0</v>
      </c>
      <c r="BM64" s="115">
        <f>'Table Format Calculations'!FJ19</f>
        <v>0</v>
      </c>
      <c r="BN64" s="115">
        <f>'Table Format Calculations'!FK19</f>
        <v>0</v>
      </c>
      <c r="BO64" s="115">
        <f>'Table Format Calculations'!FL19</f>
        <v>0</v>
      </c>
      <c r="BP64" s="351">
        <f>SUM(AV64:BO64)</f>
        <v>0</v>
      </c>
    </row>
    <row r="65" spans="6:68" x14ac:dyDescent="0.25">
      <c r="F65" s="85" t="s">
        <v>75</v>
      </c>
      <c r="G65" s="55" t="s">
        <v>117</v>
      </c>
      <c r="H65" s="86">
        <f>'Table Format Calculations_Blue'!I22</f>
        <v>24</v>
      </c>
      <c r="I65" s="86">
        <f>'Table Format Calculations_Blue'!J22</f>
        <v>36</v>
      </c>
      <c r="J65" s="86">
        <f>'Table Format Calculations_Blue'!K22</f>
        <v>20</v>
      </c>
      <c r="K65" s="86">
        <f>'Table Format Calculations_Blue'!L22</f>
        <v>29</v>
      </c>
      <c r="L65" s="86">
        <f>'Table Format Calculations_Blue'!M22</f>
        <v>39</v>
      </c>
      <c r="M65" s="86">
        <f>'Table Format Calculations_Blue'!N22</f>
        <v>20</v>
      </c>
      <c r="N65" s="86">
        <f>'Table Format Calculations_Blue'!O22</f>
        <v>17</v>
      </c>
      <c r="O65" s="86">
        <f>'Table Format Calculations_Blue'!P22</f>
        <v>27</v>
      </c>
      <c r="P65" s="292"/>
      <c r="Q65" s="86">
        <f>'Table Format Calculations_Blue'!R22</f>
        <v>46</v>
      </c>
      <c r="R65" s="86">
        <f>'Table Format Calculations_Blue'!S22</f>
        <v>33</v>
      </c>
      <c r="S65" s="292"/>
      <c r="T65" s="292"/>
      <c r="U65" s="86">
        <f>'Table Format Calculations_Blue'!V22</f>
        <v>40</v>
      </c>
      <c r="V65" s="292"/>
      <c r="W65" s="292"/>
      <c r="X65" s="292"/>
      <c r="Y65" s="292"/>
      <c r="Z65" s="292"/>
      <c r="AA65" s="292"/>
      <c r="AB65" s="56">
        <f>'Table Format Calculations_Blue'!CK22</f>
        <v>24.48</v>
      </c>
      <c r="AC65" s="56">
        <f>'Table Format Calculations_Blue'!CL22</f>
        <v>36.72</v>
      </c>
      <c r="AD65" s="56">
        <f>'Table Format Calculations_Blue'!CM22</f>
        <v>20.399999999999999</v>
      </c>
      <c r="AE65" s="56">
        <f>'Table Format Calculations_Blue'!CN22</f>
        <v>29.580000000000002</v>
      </c>
      <c r="AF65" s="56">
        <f>'Table Format Calculations_Blue'!CO22</f>
        <v>39.78</v>
      </c>
      <c r="AG65" s="56">
        <f>'Table Format Calculations_Blue'!CP22</f>
        <v>20.399999999999999</v>
      </c>
      <c r="AH65" s="56">
        <f>'Table Format Calculations_Blue'!CQ22</f>
        <v>17.34</v>
      </c>
      <c r="AI65" s="56">
        <f>'Table Format Calculations_Blue'!CR22</f>
        <v>27</v>
      </c>
      <c r="AJ65" s="289"/>
      <c r="AK65" s="56">
        <f>'Table Format Calculations_Blue'!CT22</f>
        <v>46.92</v>
      </c>
      <c r="AL65" s="56">
        <f>'Table Format Calculations_Blue'!CU22</f>
        <v>33</v>
      </c>
      <c r="AM65" s="289"/>
      <c r="AN65" s="289"/>
      <c r="AO65" s="56">
        <f>'Table Format Calculations_Blue'!CX22</f>
        <v>40.799999999999997</v>
      </c>
      <c r="AP65" s="289"/>
      <c r="AQ65" s="289"/>
      <c r="AR65" s="289"/>
      <c r="AS65" s="289"/>
      <c r="AT65" s="289"/>
      <c r="AU65" s="289"/>
      <c r="AV65" s="19">
        <f>'Table Format Calculations_Blue'!ES22</f>
        <v>144515.476203453</v>
      </c>
      <c r="AW65" s="19">
        <f>'Table Format Calculations_Blue'!ET22</f>
        <v>722455.50946296495</v>
      </c>
      <c r="AX65" s="19">
        <f>'Table Format Calculations_Blue'!EU22</f>
        <v>245102.42371804232</v>
      </c>
      <c r="AY65" s="19">
        <f>'Table Format Calculations_Blue'!EV22</f>
        <v>732252.42955445603</v>
      </c>
      <c r="AZ65" s="19">
        <f>'Table Format Calculations_Blue'!EW22</f>
        <v>78842.859268962828</v>
      </c>
      <c r="BA65" s="19">
        <f>'Table Format Calculations_Blue'!EX22</f>
        <v>349303.64306036074</v>
      </c>
      <c r="BB65" s="19">
        <f>'Table Format Calculations_Blue'!EY22</f>
        <v>205793.10622100253</v>
      </c>
      <c r="BC65" s="19">
        <f>'Table Format Calculations_Blue'!EZ22</f>
        <v>0</v>
      </c>
      <c r="BD65" s="19">
        <f>'Table Format Calculations_Blue'!FA22</f>
        <v>0</v>
      </c>
      <c r="BE65" s="19">
        <f>'Table Format Calculations_Blue'!FB22</f>
        <v>2397174.1024210909</v>
      </c>
      <c r="BF65" s="19">
        <f>'Table Format Calculations_Blue'!FC22</f>
        <v>0</v>
      </c>
      <c r="BG65" s="19">
        <f>'Table Format Calculations_Blue'!FD22</f>
        <v>0</v>
      </c>
      <c r="BH65" s="19">
        <f>'Table Format Calculations_Blue'!FE22</f>
        <v>0</v>
      </c>
      <c r="BI65" s="19">
        <f>'Table Format Calculations_Blue'!FF22</f>
        <v>289771.28879352717</v>
      </c>
      <c r="BJ65" s="19">
        <f>'Table Format Calculations_Blue'!FG22</f>
        <v>0</v>
      </c>
      <c r="BK65" s="19">
        <f>'Table Format Calculations_Blue'!FH22</f>
        <v>0</v>
      </c>
      <c r="BL65" s="19">
        <f>'Table Format Calculations_Blue'!FI22</f>
        <v>0</v>
      </c>
      <c r="BM65" s="19">
        <f>'Table Format Calculations_Blue'!FJ22</f>
        <v>0</v>
      </c>
      <c r="BN65" s="19">
        <f>'Table Format Calculations_Blue'!FK22</f>
        <v>0</v>
      </c>
      <c r="BO65" s="19">
        <f>'Table Format Calculations_Blue'!FL22</f>
        <v>0</v>
      </c>
      <c r="BP65" s="16">
        <f>SUM(AV65:BO65)</f>
        <v>5165210.8387038605</v>
      </c>
    </row>
    <row r="66" spans="6:68" ht="15.75" thickBot="1" x14ac:dyDescent="0.3">
      <c r="F66" s="87" t="s">
        <v>89</v>
      </c>
      <c r="G66" s="88" t="s">
        <v>117</v>
      </c>
      <c r="H66" s="287">
        <f>'Thai input'!AA34</f>
        <v>3.7770214377778756E-2</v>
      </c>
      <c r="I66" s="287">
        <f>'Thai input'!AB34</f>
        <v>0.12369779215889336</v>
      </c>
      <c r="J66" s="287">
        <f>'Thai input'!AC34</f>
        <v>0.11462304153112879</v>
      </c>
      <c r="K66" s="287">
        <f>'Thai input'!AD34</f>
        <v>0.13489455907899689</v>
      </c>
      <c r="L66" s="287">
        <f>'Thai input'!AE34</f>
        <v>8.2007509833558728E-2</v>
      </c>
      <c r="M66" s="287">
        <f>'Thai input'!AF34</f>
        <v>6.184283662063611E-2</v>
      </c>
      <c r="N66" s="287">
        <f>'Thai input'!AG34</f>
        <v>7.2658352285372804E-2</v>
      </c>
      <c r="O66" s="287">
        <f>'Thai input'!AH34</f>
        <v>2.7561448399859235E-2</v>
      </c>
      <c r="P66" s="293"/>
      <c r="Q66" s="287">
        <f>'Thai input'!AJ34</f>
        <v>0.29713616682902</v>
      </c>
      <c r="R66" s="287">
        <f>'Thai input'!AK34</f>
        <v>2.2757812427783075E-2</v>
      </c>
      <c r="S66" s="293"/>
      <c r="T66" s="293"/>
      <c r="U66" s="287">
        <f>'Thai input'!AN34</f>
        <v>1.7707779074481352E-2</v>
      </c>
      <c r="V66" s="293"/>
      <c r="W66" s="293"/>
      <c r="X66" s="293"/>
      <c r="Y66" s="293"/>
      <c r="Z66" s="293"/>
      <c r="AA66" s="293"/>
      <c r="AB66" s="287">
        <f>'Thai input'!AA34</f>
        <v>3.7770214377778756E-2</v>
      </c>
      <c r="AC66" s="287">
        <f>'Thai input'!AB34</f>
        <v>0.12369779215889336</v>
      </c>
      <c r="AD66" s="287">
        <f>'Thai input'!AC34</f>
        <v>0.11462304153112879</v>
      </c>
      <c r="AE66" s="287">
        <f>'Thai input'!AD34</f>
        <v>0.13489455907899689</v>
      </c>
      <c r="AF66" s="287">
        <f>'Thai input'!AE34</f>
        <v>8.2007509833558728E-2</v>
      </c>
      <c r="AG66" s="287">
        <f>'Thai input'!AF34</f>
        <v>6.184283662063611E-2</v>
      </c>
      <c r="AH66" s="287">
        <f>'Thai input'!AG34</f>
        <v>7.2658352285372804E-2</v>
      </c>
      <c r="AI66" s="287">
        <f>'Thai input'!AH34</f>
        <v>2.7561448399859235E-2</v>
      </c>
      <c r="AJ66" s="293"/>
      <c r="AK66" s="287">
        <f>'Thai input'!AJ34</f>
        <v>0.29713616682902</v>
      </c>
      <c r="AL66" s="287">
        <f>'Thai input'!AK34</f>
        <v>2.2757812427783075E-2</v>
      </c>
      <c r="AM66" s="293"/>
      <c r="AN66" s="293"/>
      <c r="AO66" s="287">
        <f>'Thai input'!AN34</f>
        <v>1.7707779074481352E-2</v>
      </c>
      <c r="AP66" s="289"/>
      <c r="AQ66" s="289"/>
      <c r="AR66" s="289"/>
      <c r="AS66" s="289"/>
      <c r="AT66" s="290"/>
      <c r="AU66" s="290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6"/>
    </row>
    <row r="67" spans="6:68" ht="15.75" thickBot="1" x14ac:dyDescent="0.3">
      <c r="F67" s="486" t="s">
        <v>90</v>
      </c>
      <c r="G67" s="487"/>
      <c r="H67" s="295">
        <f>'Table Format Calculations'!H29</f>
        <v>0.16847315958333334</v>
      </c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296">
        <f>'Table Format Calculations'!Z29</f>
        <v>0.16847315958333334</v>
      </c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6">
        <f>'Table Format Calculations'!AB29</f>
        <v>0</v>
      </c>
    </row>
    <row r="68" spans="6:68" x14ac:dyDescent="0.25">
      <c r="F68" s="488" t="s">
        <v>94</v>
      </c>
      <c r="G68" s="89" t="s">
        <v>389</v>
      </c>
      <c r="H68" s="104">
        <f>'Table Format Calculations'!J64</f>
        <v>72860750</v>
      </c>
      <c r="I68" s="462" t="s">
        <v>391</v>
      </c>
      <c r="J68" s="104">
        <f>'Table Format Calculations'!J65</f>
        <v>22556750</v>
      </c>
      <c r="K68" s="289"/>
      <c r="L68" s="289"/>
      <c r="M68" s="289"/>
      <c r="N68" s="289"/>
      <c r="O68" s="289"/>
      <c r="P68" s="289"/>
      <c r="Q68" s="289"/>
      <c r="R68" s="289"/>
      <c r="S68" s="289"/>
      <c r="T68" s="289"/>
      <c r="U68" s="289"/>
      <c r="V68" s="289"/>
      <c r="W68" s="289"/>
      <c r="X68" s="289"/>
      <c r="Y68" s="289"/>
      <c r="Z68" s="289"/>
      <c r="AA68" s="89" t="s">
        <v>389</v>
      </c>
      <c r="AB68" s="305">
        <f>'Table Format Calculations'!Q64</f>
        <v>65653775</v>
      </c>
      <c r="AC68" s="462" t="s">
        <v>391</v>
      </c>
      <c r="AD68" s="305">
        <f>'Table Format Calculations'!Q65</f>
        <v>25861526.026785713</v>
      </c>
      <c r="AE68" s="289"/>
      <c r="AF68" s="289"/>
      <c r="AG68" s="289"/>
      <c r="AH68" s="289"/>
      <c r="AI68" s="289"/>
      <c r="AJ68" s="289"/>
      <c r="AK68" s="289"/>
      <c r="AL68" s="289"/>
      <c r="AM68" s="289"/>
      <c r="AN68" s="289"/>
      <c r="AO68" s="289"/>
      <c r="AP68" s="289"/>
      <c r="AQ68" s="289"/>
      <c r="AR68" s="289"/>
      <c r="AS68" s="289"/>
      <c r="AT68" s="290"/>
      <c r="AU68" s="290"/>
      <c r="AV68" s="290"/>
      <c r="AW68" s="290"/>
      <c r="AX68" s="290"/>
      <c r="AY68" s="290"/>
      <c r="AZ68" s="290"/>
      <c r="BA68" s="290"/>
      <c r="BB68" s="290"/>
      <c r="BC68" s="290"/>
      <c r="BD68" s="290"/>
      <c r="BE68" s="290"/>
      <c r="BF68" s="290"/>
      <c r="BG68" s="290"/>
      <c r="BH68" s="290"/>
      <c r="BI68" s="290"/>
      <c r="BJ68" s="290"/>
      <c r="BK68" s="290"/>
      <c r="BL68" s="290"/>
      <c r="BM68" s="290"/>
      <c r="BN68" s="290"/>
      <c r="BO68" s="290"/>
      <c r="BP68" s="352"/>
    </row>
    <row r="69" spans="6:68" x14ac:dyDescent="0.25">
      <c r="F69" s="489"/>
      <c r="G69" s="65" t="s">
        <v>390</v>
      </c>
      <c r="H69" s="86">
        <f>'Table Format Calculations'!K64</f>
        <v>4644</v>
      </c>
      <c r="I69" s="462" t="s">
        <v>392</v>
      </c>
      <c r="J69" s="86">
        <f>'Table Format Calculations'!K65</f>
        <v>1952.57</v>
      </c>
      <c r="K69" s="289"/>
      <c r="L69" s="289"/>
      <c r="M69" s="289"/>
      <c r="N69" s="289"/>
      <c r="O69" s="289"/>
      <c r="P69" s="289"/>
      <c r="Q69" s="289"/>
      <c r="R69" s="289"/>
      <c r="S69" s="289"/>
      <c r="T69" s="289"/>
      <c r="U69" s="289"/>
      <c r="V69" s="289"/>
      <c r="W69" s="289"/>
      <c r="X69" s="289"/>
      <c r="Y69" s="289"/>
      <c r="Z69" s="289"/>
      <c r="AA69" s="65" t="s">
        <v>390</v>
      </c>
      <c r="AB69" s="297">
        <f>'Table Format Calculations'!P64</f>
        <v>4189.8999999999996</v>
      </c>
      <c r="AC69" s="462" t="s">
        <v>392</v>
      </c>
      <c r="AD69" s="297">
        <f>'Table Format Calculations'!P65</f>
        <v>2325</v>
      </c>
      <c r="AE69" s="289"/>
      <c r="AF69" s="289"/>
      <c r="AG69" s="289"/>
      <c r="AH69" s="289"/>
      <c r="AI69" s="289"/>
      <c r="AJ69" s="289"/>
      <c r="AK69" s="289"/>
      <c r="AL69" s="289"/>
      <c r="AM69" s="289"/>
      <c r="AN69" s="289"/>
      <c r="AO69" s="289"/>
      <c r="AP69" s="289"/>
      <c r="AQ69" s="289"/>
      <c r="AR69" s="289"/>
      <c r="AS69" s="289"/>
      <c r="AT69" s="290"/>
      <c r="AU69" s="290"/>
      <c r="AV69" s="290"/>
      <c r="AW69" s="290"/>
      <c r="AX69" s="290"/>
      <c r="AY69" s="290"/>
      <c r="AZ69" s="290"/>
      <c r="BA69" s="290"/>
      <c r="BB69" s="290"/>
      <c r="BC69" s="290"/>
      <c r="BD69" s="290"/>
      <c r="BE69" s="290"/>
      <c r="BF69" s="290"/>
      <c r="BG69" s="290"/>
      <c r="BH69" s="290"/>
      <c r="BI69" s="290"/>
      <c r="BJ69" s="290"/>
      <c r="BK69" s="290"/>
      <c r="BL69" s="290"/>
      <c r="BM69" s="290"/>
      <c r="BN69" s="290"/>
      <c r="BO69" s="290"/>
      <c r="BP69" s="352"/>
    </row>
    <row r="70" spans="6:68" x14ac:dyDescent="0.25">
      <c r="F70" s="489"/>
      <c r="G70" s="71" t="s">
        <v>97</v>
      </c>
      <c r="H70" s="86">
        <f>'Table Format Calculations'!K54</f>
        <v>1606</v>
      </c>
      <c r="I70" s="289"/>
      <c r="J70" s="289"/>
      <c r="K70" s="289"/>
      <c r="L70" s="289"/>
      <c r="M70" s="289"/>
      <c r="N70" s="289"/>
      <c r="O70" s="289"/>
      <c r="P70" s="289"/>
      <c r="Q70" s="289"/>
      <c r="R70" s="289"/>
      <c r="S70" s="289"/>
      <c r="T70" s="289"/>
      <c r="U70" s="289"/>
      <c r="V70" s="289"/>
      <c r="W70" s="289"/>
      <c r="X70" s="289"/>
      <c r="Y70" s="289"/>
      <c r="Z70" s="289"/>
      <c r="AA70" s="289"/>
      <c r="AB70" s="297">
        <f>'Table Format Calculations'!P54</f>
        <v>1445.4</v>
      </c>
      <c r="AC70" s="289"/>
      <c r="AD70" s="289"/>
      <c r="AE70" s="289"/>
      <c r="AF70" s="289"/>
      <c r="AG70" s="289"/>
      <c r="AH70" s="289"/>
      <c r="AI70" s="289"/>
      <c r="AJ70" s="289"/>
      <c r="AK70" s="289"/>
      <c r="AL70" s="289"/>
      <c r="AM70" s="289"/>
      <c r="AN70" s="289"/>
      <c r="AO70" s="289"/>
      <c r="AP70" s="289"/>
      <c r="AQ70" s="289"/>
      <c r="AR70" s="289"/>
      <c r="AS70" s="289"/>
      <c r="AT70" s="290"/>
      <c r="AU70" s="290"/>
      <c r="AV70" s="290"/>
      <c r="AW70" s="290"/>
      <c r="AX70" s="290"/>
      <c r="AY70" s="290"/>
      <c r="AZ70" s="290"/>
      <c r="BA70" s="290"/>
      <c r="BB70" s="290"/>
      <c r="BC70" s="290"/>
      <c r="BD70" s="290"/>
      <c r="BE70" s="290"/>
      <c r="BF70" s="290"/>
      <c r="BG70" s="290"/>
      <c r="BH70" s="290"/>
      <c r="BI70" s="290"/>
      <c r="BJ70" s="290"/>
      <c r="BK70" s="290"/>
      <c r="BL70" s="290"/>
      <c r="BM70" s="290"/>
      <c r="BN70" s="290"/>
      <c r="BO70" s="290"/>
      <c r="BP70" s="352">
        <f>'Table Format Calculations'!T54</f>
        <v>-53479.799999999988</v>
      </c>
    </row>
    <row r="71" spans="6:68" x14ac:dyDescent="0.25">
      <c r="F71" s="489"/>
      <c r="G71" s="71" t="s">
        <v>98</v>
      </c>
      <c r="H71" s="86">
        <f>'Table Format Calculations'!K55</f>
        <v>791</v>
      </c>
      <c r="I71" s="289"/>
      <c r="J71" s="289"/>
      <c r="K71" s="289"/>
      <c r="L71" s="289"/>
      <c r="M71" s="289"/>
      <c r="N71" s="289"/>
      <c r="O71" s="289"/>
      <c r="P71" s="289"/>
      <c r="Q71" s="289"/>
      <c r="R71" s="289"/>
      <c r="S71" s="289"/>
      <c r="T71" s="289"/>
      <c r="U71" s="289"/>
      <c r="V71" s="289"/>
      <c r="W71" s="289"/>
      <c r="X71" s="289"/>
      <c r="Y71" s="289"/>
      <c r="Z71" s="289"/>
      <c r="AA71" s="289"/>
      <c r="AB71" s="297">
        <f>'Table Format Calculations'!P55</f>
        <v>711.9</v>
      </c>
      <c r="AC71" s="289"/>
      <c r="AD71" s="289"/>
      <c r="AE71" s="289"/>
      <c r="AF71" s="289"/>
      <c r="AG71" s="289"/>
      <c r="AH71" s="289"/>
      <c r="AI71" s="289"/>
      <c r="AJ71" s="289"/>
      <c r="AK71" s="289"/>
      <c r="AL71" s="289"/>
      <c r="AM71" s="289"/>
      <c r="AN71" s="289"/>
      <c r="AO71" s="289"/>
      <c r="AP71" s="289"/>
      <c r="AQ71" s="289"/>
      <c r="AR71" s="289"/>
      <c r="AS71" s="289"/>
      <c r="AT71" s="290"/>
      <c r="AU71" s="290"/>
      <c r="AV71" s="290"/>
      <c r="AW71" s="290"/>
      <c r="AX71" s="290"/>
      <c r="AY71" s="290"/>
      <c r="AZ71" s="290"/>
      <c r="BA71" s="290"/>
      <c r="BB71" s="290"/>
      <c r="BC71" s="290"/>
      <c r="BD71" s="290"/>
      <c r="BE71" s="290"/>
      <c r="BF71" s="290"/>
      <c r="BG71" s="290"/>
      <c r="BH71" s="290"/>
      <c r="BI71" s="290"/>
      <c r="BJ71" s="290"/>
      <c r="BK71" s="290"/>
      <c r="BL71" s="290"/>
      <c r="BM71" s="290"/>
      <c r="BN71" s="290"/>
      <c r="BO71" s="290"/>
      <c r="BP71" s="352">
        <f>'Table Format Calculations'!T55</f>
        <v>-31007.200000000012</v>
      </c>
    </row>
    <row r="72" spans="6:68" x14ac:dyDescent="0.25">
      <c r="F72" s="489"/>
      <c r="G72" s="71" t="s">
        <v>114</v>
      </c>
      <c r="H72" s="86">
        <f>'Table Format Calculations'!K57</f>
        <v>1084</v>
      </c>
      <c r="I72" s="289"/>
      <c r="J72" s="289"/>
      <c r="K72" s="289"/>
      <c r="L72" s="289"/>
      <c r="M72" s="289"/>
      <c r="N72" s="289"/>
      <c r="O72" s="289"/>
      <c r="P72" s="289"/>
      <c r="Q72" s="289"/>
      <c r="R72" s="289"/>
      <c r="S72" s="289"/>
      <c r="T72" s="289"/>
      <c r="U72" s="289"/>
      <c r="V72" s="289"/>
      <c r="W72" s="289"/>
      <c r="X72" s="289"/>
      <c r="Y72" s="289"/>
      <c r="Z72" s="289"/>
      <c r="AA72" s="289"/>
      <c r="AB72" s="297">
        <f>'Table Format Calculations'!P57</f>
        <v>975.6</v>
      </c>
      <c r="AC72" s="289"/>
      <c r="AD72" s="289"/>
      <c r="AE72" s="289"/>
      <c r="AF72" s="289"/>
      <c r="AG72" s="289"/>
      <c r="AH72" s="289"/>
      <c r="AI72" s="289"/>
      <c r="AJ72" s="289"/>
      <c r="AK72" s="289"/>
      <c r="AL72" s="289"/>
      <c r="AM72" s="289"/>
      <c r="AN72" s="289"/>
      <c r="AO72" s="289"/>
      <c r="AP72" s="289"/>
      <c r="AQ72" s="289"/>
      <c r="AR72" s="289"/>
      <c r="AS72" s="289"/>
      <c r="AT72" s="290"/>
      <c r="AU72" s="290"/>
      <c r="AV72" s="290"/>
      <c r="AW72" s="290"/>
      <c r="AX72" s="290"/>
      <c r="AY72" s="290"/>
      <c r="AZ72" s="290"/>
      <c r="BA72" s="290"/>
      <c r="BB72" s="290"/>
      <c r="BC72" s="290"/>
      <c r="BD72" s="290"/>
      <c r="BE72" s="290"/>
      <c r="BF72" s="290"/>
      <c r="BG72" s="290"/>
      <c r="BH72" s="290"/>
      <c r="BI72" s="290"/>
      <c r="BJ72" s="290"/>
      <c r="BK72" s="290"/>
      <c r="BL72" s="290"/>
      <c r="BM72" s="290"/>
      <c r="BN72" s="290"/>
      <c r="BO72" s="290"/>
      <c r="BP72" s="352">
        <f>'Table Format Calculations'!T57</f>
        <v>-45419.599999999977</v>
      </c>
    </row>
    <row r="73" spans="6:68" x14ac:dyDescent="0.25">
      <c r="F73" s="489"/>
      <c r="G73" s="71" t="s">
        <v>100</v>
      </c>
      <c r="H73" s="86">
        <f>'Table Format Calculations'!K56</f>
        <v>775</v>
      </c>
      <c r="I73" s="289"/>
      <c r="J73" s="289"/>
      <c r="K73" s="289"/>
      <c r="L73" s="289"/>
      <c r="M73" s="289"/>
      <c r="N73" s="289"/>
      <c r="O73" s="289"/>
      <c r="P73" s="289"/>
      <c r="Q73" s="289"/>
      <c r="R73" s="289"/>
      <c r="S73" s="289"/>
      <c r="T73" s="289"/>
      <c r="U73" s="289"/>
      <c r="V73" s="289"/>
      <c r="W73" s="289"/>
      <c r="X73" s="289"/>
      <c r="Y73" s="289"/>
      <c r="Z73" s="289"/>
      <c r="AA73" s="289"/>
      <c r="AB73" s="297">
        <f>'Table Format Calculations'!P56</f>
        <v>697.5</v>
      </c>
      <c r="AC73" s="289"/>
      <c r="AD73" s="289"/>
      <c r="AE73" s="289"/>
      <c r="AF73" s="289"/>
      <c r="AG73" s="289"/>
      <c r="AH73" s="289"/>
      <c r="AI73" s="289"/>
      <c r="AJ73" s="289"/>
      <c r="AK73" s="289"/>
      <c r="AL73" s="289"/>
      <c r="AM73" s="289"/>
      <c r="AN73" s="289"/>
      <c r="AO73" s="289"/>
      <c r="AP73" s="289"/>
      <c r="AQ73" s="289"/>
      <c r="AR73" s="289"/>
      <c r="AS73" s="289"/>
      <c r="AT73" s="290"/>
      <c r="AU73" s="290"/>
      <c r="AV73" s="290"/>
      <c r="AW73" s="290"/>
      <c r="AX73" s="290"/>
      <c r="AY73" s="290"/>
      <c r="AZ73" s="290"/>
      <c r="BA73" s="290"/>
      <c r="BB73" s="290"/>
      <c r="BC73" s="290"/>
      <c r="BD73" s="290"/>
      <c r="BE73" s="290"/>
      <c r="BF73" s="290"/>
      <c r="BG73" s="290"/>
      <c r="BH73" s="290"/>
      <c r="BI73" s="290"/>
      <c r="BJ73" s="290"/>
      <c r="BK73" s="290"/>
      <c r="BL73" s="290"/>
      <c r="BM73" s="290"/>
      <c r="BN73" s="290"/>
      <c r="BO73" s="290"/>
      <c r="BP73" s="352">
        <f>'Table Format Calculations'!T56</f>
        <v>-50840</v>
      </c>
    </row>
    <row r="74" spans="6:68" x14ac:dyDescent="0.25">
      <c r="F74" s="489"/>
      <c r="G74" s="71" t="s">
        <v>118</v>
      </c>
      <c r="H74" s="86">
        <f>'Table Format Calculations'!K58</f>
        <v>285</v>
      </c>
      <c r="I74" s="289"/>
      <c r="J74" s="289"/>
      <c r="K74" s="289"/>
      <c r="L74" s="289"/>
      <c r="M74" s="289"/>
      <c r="N74" s="289"/>
      <c r="O74" s="289"/>
      <c r="P74" s="289"/>
      <c r="Q74" s="289"/>
      <c r="R74" s="289"/>
      <c r="S74" s="289"/>
      <c r="T74" s="289"/>
      <c r="U74" s="289"/>
      <c r="V74" s="289"/>
      <c r="W74" s="289"/>
      <c r="X74" s="289"/>
      <c r="Y74" s="289"/>
      <c r="Z74" s="289"/>
      <c r="AA74" s="289"/>
      <c r="AB74" s="297">
        <f>'Table Format Calculations'!P58</f>
        <v>256.5</v>
      </c>
      <c r="AC74" s="289"/>
      <c r="AD74" s="289"/>
      <c r="AE74" s="289"/>
      <c r="AF74" s="289"/>
      <c r="AG74" s="289"/>
      <c r="AH74" s="289"/>
      <c r="AI74" s="289"/>
      <c r="AJ74" s="289"/>
      <c r="AK74" s="289"/>
      <c r="AL74" s="289"/>
      <c r="AM74" s="289"/>
      <c r="AN74" s="289"/>
      <c r="AO74" s="289"/>
      <c r="AP74" s="289"/>
      <c r="AQ74" s="289"/>
      <c r="AR74" s="289"/>
      <c r="AS74" s="289"/>
      <c r="AT74" s="290"/>
      <c r="AU74" s="290"/>
      <c r="AV74" s="290"/>
      <c r="AW74" s="290"/>
      <c r="AX74" s="290"/>
      <c r="AY74" s="290"/>
      <c r="AZ74" s="290"/>
      <c r="BA74" s="290"/>
      <c r="BB74" s="290"/>
      <c r="BC74" s="290"/>
      <c r="BD74" s="290"/>
      <c r="BE74" s="290"/>
      <c r="BF74" s="290"/>
      <c r="BG74" s="290"/>
      <c r="BH74" s="290"/>
      <c r="BI74" s="290"/>
      <c r="BJ74" s="290"/>
      <c r="BK74" s="290"/>
      <c r="BL74" s="290"/>
      <c r="BM74" s="290"/>
      <c r="BN74" s="290"/>
      <c r="BO74" s="290"/>
      <c r="BP74" s="352">
        <f>'Table Format Calculations'!T58</f>
        <v>-39358.5</v>
      </c>
    </row>
    <row r="75" spans="6:68" ht="15.75" thickBot="1" x14ac:dyDescent="0.3">
      <c r="F75" s="490"/>
      <c r="G75" s="73" t="s">
        <v>105</v>
      </c>
      <c r="H75" s="86">
        <f>'Table Format Calculations'!K59</f>
        <v>103</v>
      </c>
      <c r="I75" s="289"/>
      <c r="J75" s="289"/>
      <c r="K75" s="289"/>
      <c r="L75" s="289"/>
      <c r="M75" s="289"/>
      <c r="N75" s="289"/>
      <c r="O75" s="289"/>
      <c r="P75" s="289"/>
      <c r="Q75" s="289"/>
      <c r="R75" s="289"/>
      <c r="S75" s="289"/>
      <c r="T75" s="289"/>
      <c r="U75" s="289"/>
      <c r="V75" s="289"/>
      <c r="W75" s="289"/>
      <c r="X75" s="289"/>
      <c r="Y75" s="289"/>
      <c r="Z75" s="289"/>
      <c r="AA75" s="289"/>
      <c r="AB75" s="297">
        <f>'Table Format Calculations'!P59</f>
        <v>103</v>
      </c>
      <c r="AC75" s="289"/>
      <c r="AD75" s="289"/>
      <c r="AE75" s="289"/>
      <c r="AF75" s="289"/>
      <c r="AG75" s="289"/>
      <c r="AH75" s="289"/>
      <c r="AI75" s="289"/>
      <c r="AJ75" s="289"/>
      <c r="AK75" s="289"/>
      <c r="AL75" s="289"/>
      <c r="AM75" s="289"/>
      <c r="AN75" s="289"/>
      <c r="AO75" s="289"/>
      <c r="AP75" s="289"/>
      <c r="AQ75" s="289"/>
      <c r="AR75" s="289"/>
      <c r="AS75" s="289"/>
      <c r="AT75" s="290"/>
      <c r="AU75" s="290"/>
      <c r="AV75" s="290"/>
      <c r="AW75" s="290"/>
      <c r="AX75" s="290"/>
      <c r="AY75" s="290"/>
      <c r="AZ75" s="290"/>
      <c r="BA75" s="290"/>
      <c r="BB75" s="290"/>
      <c r="BC75" s="290"/>
      <c r="BD75" s="290"/>
      <c r="BE75" s="290"/>
      <c r="BF75" s="290"/>
      <c r="BG75" s="290"/>
      <c r="BH75" s="290"/>
      <c r="BI75" s="290"/>
      <c r="BJ75" s="290"/>
      <c r="BK75" s="290"/>
      <c r="BL75" s="290"/>
      <c r="BM75" s="290"/>
      <c r="BN75" s="290"/>
      <c r="BO75" s="290"/>
      <c r="BP75" s="352">
        <f>'Table Format Calculations'!T59</f>
        <v>0</v>
      </c>
    </row>
    <row r="76" spans="6:68" x14ac:dyDescent="0.25">
      <c r="F76" s="483" t="s">
        <v>107</v>
      </c>
      <c r="G76" s="89" t="s">
        <v>108</v>
      </c>
      <c r="H76" s="104">
        <f>'Table Format Calculations'!L111</f>
        <v>37920644.719999999</v>
      </c>
      <c r="I76" s="289"/>
      <c r="J76" s="289"/>
      <c r="K76" s="289"/>
      <c r="L76" s="289"/>
      <c r="M76" s="289"/>
      <c r="N76" s="289"/>
      <c r="O76" s="289"/>
      <c r="P76" s="289"/>
      <c r="Q76" s="289"/>
      <c r="R76" s="289"/>
      <c r="S76" s="289"/>
      <c r="T76" s="289"/>
      <c r="U76" s="289"/>
      <c r="V76" s="289"/>
      <c r="W76" s="289"/>
      <c r="X76" s="289"/>
      <c r="Y76" s="289"/>
      <c r="Z76" s="289"/>
      <c r="AA76" s="289"/>
      <c r="AB76" s="305">
        <f>'Table Format Calculations'!O110</f>
        <v>44054715.860698104</v>
      </c>
      <c r="AC76" s="289"/>
      <c r="AD76" s="289"/>
      <c r="AE76" s="289"/>
      <c r="AF76" s="289"/>
      <c r="AG76" s="289"/>
      <c r="AH76" s="289"/>
      <c r="AI76" s="289"/>
      <c r="AJ76" s="289"/>
      <c r="AK76" s="289"/>
      <c r="AL76" s="289"/>
      <c r="AM76" s="289"/>
      <c r="AN76" s="289"/>
      <c r="AO76" s="289"/>
      <c r="AP76" s="289"/>
      <c r="AQ76" s="289"/>
      <c r="AR76" s="289"/>
      <c r="AS76" s="289"/>
      <c r="AT76" s="290"/>
      <c r="AU76" s="290"/>
      <c r="AV76" s="290"/>
      <c r="AW76" s="290"/>
      <c r="AX76" s="290"/>
      <c r="AY76" s="290"/>
      <c r="AZ76" s="290"/>
      <c r="BA76" s="290"/>
      <c r="BB76" s="290"/>
      <c r="BC76" s="290"/>
      <c r="BD76" s="290"/>
      <c r="BE76" s="290"/>
      <c r="BF76" s="290"/>
      <c r="BG76" s="290"/>
      <c r="BH76" s="290"/>
      <c r="BI76" s="290"/>
      <c r="BJ76" s="290"/>
      <c r="BK76" s="290"/>
      <c r="BL76" s="290"/>
      <c r="BM76" s="290"/>
      <c r="BN76" s="290"/>
      <c r="BO76" s="290"/>
      <c r="BP76" s="352"/>
    </row>
    <row r="77" spans="6:68" x14ac:dyDescent="0.25">
      <c r="F77" s="484"/>
      <c r="G77" s="71" t="s">
        <v>110</v>
      </c>
      <c r="H77" s="104">
        <f>'Table Format Calculations'!L106</f>
        <v>17408673.990000002</v>
      </c>
      <c r="I77" s="289"/>
      <c r="J77" s="289"/>
      <c r="K77" s="289"/>
      <c r="L77" s="289"/>
      <c r="M77" s="289"/>
      <c r="N77" s="289"/>
      <c r="O77" s="289"/>
      <c r="P77" s="289"/>
      <c r="Q77" s="289"/>
      <c r="R77" s="289"/>
      <c r="S77" s="289"/>
      <c r="T77" s="289"/>
      <c r="U77" s="289"/>
      <c r="V77" s="289"/>
      <c r="W77" s="289"/>
      <c r="X77" s="289"/>
      <c r="Y77" s="289"/>
      <c r="Z77" s="289"/>
      <c r="AA77" s="289"/>
      <c r="AB77" s="305">
        <f>'Table Format Calculations'!O106</f>
        <v>22426672.797939125</v>
      </c>
      <c r="AC77" s="289"/>
      <c r="AD77" s="289"/>
      <c r="AE77" s="289"/>
      <c r="AF77" s="289"/>
      <c r="AG77" s="289"/>
      <c r="AH77" s="289"/>
      <c r="AI77" s="289"/>
      <c r="AJ77" s="289"/>
      <c r="AK77" s="289"/>
      <c r="AL77" s="289"/>
      <c r="AM77" s="289"/>
      <c r="AN77" s="289"/>
      <c r="AO77" s="289"/>
      <c r="AP77" s="289"/>
      <c r="AQ77" s="289"/>
      <c r="AR77" s="289"/>
      <c r="AS77" s="289"/>
      <c r="AT77" s="290"/>
      <c r="AU77" s="290"/>
      <c r="AV77" s="290"/>
      <c r="AW77" s="290"/>
      <c r="AX77" s="290"/>
      <c r="AY77" s="290"/>
      <c r="AZ77" s="290"/>
      <c r="BA77" s="290"/>
      <c r="BB77" s="290"/>
      <c r="BC77" s="290"/>
      <c r="BD77" s="290"/>
      <c r="BE77" s="290"/>
      <c r="BF77" s="290"/>
      <c r="BG77" s="290"/>
      <c r="BH77" s="290"/>
      <c r="BI77" s="290"/>
      <c r="BJ77" s="290"/>
      <c r="BK77" s="290"/>
      <c r="BL77" s="290"/>
      <c r="BM77" s="290"/>
      <c r="BN77" s="290"/>
      <c r="BO77" s="290"/>
      <c r="BP77" s="352">
        <f>'Table Format Calculations'!Q106</f>
        <v>95355.701627283721</v>
      </c>
    </row>
    <row r="78" spans="6:68" x14ac:dyDescent="0.25">
      <c r="F78" s="484"/>
      <c r="G78" s="71" t="s">
        <v>204</v>
      </c>
      <c r="H78" s="104">
        <f>'Table Format Calculations'!L107</f>
        <v>6755882.290000001</v>
      </c>
      <c r="I78" s="289"/>
      <c r="J78" s="289"/>
      <c r="K78" s="289"/>
      <c r="L78" s="289"/>
      <c r="M78" s="289"/>
      <c r="N78" s="289"/>
      <c r="O78" s="289"/>
      <c r="P78" s="289"/>
      <c r="Q78" s="289"/>
      <c r="R78" s="289"/>
      <c r="S78" s="289"/>
      <c r="T78" s="289"/>
      <c r="U78" s="289"/>
      <c r="V78" s="289"/>
      <c r="W78" s="289"/>
      <c r="X78" s="289"/>
      <c r="Y78" s="289"/>
      <c r="Z78" s="289"/>
      <c r="AA78" s="289"/>
      <c r="AB78" s="305">
        <f>'Table Format Calculations'!O107</f>
        <v>6755882.2900222782</v>
      </c>
      <c r="AC78" s="289"/>
      <c r="AD78" s="289"/>
      <c r="AE78" s="289"/>
      <c r="AF78" s="289"/>
      <c r="AG78" s="289"/>
      <c r="AH78" s="289"/>
      <c r="AI78" s="289"/>
      <c r="AJ78" s="289"/>
      <c r="AK78" s="289"/>
      <c r="AL78" s="289"/>
      <c r="AM78" s="289"/>
      <c r="AN78" s="289"/>
      <c r="AO78" s="289"/>
      <c r="AP78" s="289"/>
      <c r="AQ78" s="289"/>
      <c r="AR78" s="289"/>
      <c r="AS78" s="289"/>
      <c r="AT78" s="290"/>
      <c r="AU78" s="290"/>
      <c r="AV78" s="290"/>
      <c r="AW78" s="290"/>
      <c r="AX78" s="290"/>
      <c r="AY78" s="290"/>
      <c r="AZ78" s="290"/>
      <c r="BA78" s="290"/>
      <c r="BB78" s="290"/>
      <c r="BC78" s="290"/>
      <c r="BD78" s="290"/>
      <c r="BE78" s="290"/>
      <c r="BF78" s="290"/>
      <c r="BG78" s="290"/>
      <c r="BH78" s="290"/>
      <c r="BI78" s="290"/>
      <c r="BJ78" s="290"/>
      <c r="BK78" s="290"/>
      <c r="BL78" s="290"/>
      <c r="BM78" s="290"/>
      <c r="BN78" s="290"/>
      <c r="BO78" s="290"/>
      <c r="BP78" s="352">
        <f>'Table Format Calculations'!Q107</f>
        <v>5.3130013791520583E-7</v>
      </c>
    </row>
    <row r="79" spans="6:68" x14ac:dyDescent="0.25">
      <c r="F79" s="484"/>
      <c r="G79" s="71" t="s">
        <v>205</v>
      </c>
      <c r="H79" s="104">
        <f>'Table Format Calculations'!L108</f>
        <v>1912075.4900000002</v>
      </c>
      <c r="I79" s="289"/>
      <c r="J79" s="289"/>
      <c r="K79" s="289"/>
      <c r="L79" s="289"/>
      <c r="M79" s="289"/>
      <c r="N79" s="289"/>
      <c r="O79" s="289"/>
      <c r="P79" s="289"/>
      <c r="Q79" s="289"/>
      <c r="R79" s="289"/>
      <c r="S79" s="289"/>
      <c r="T79" s="289"/>
      <c r="U79" s="289"/>
      <c r="V79" s="289"/>
      <c r="W79" s="289"/>
      <c r="X79" s="289"/>
      <c r="Y79" s="289"/>
      <c r="Z79" s="289"/>
      <c r="AA79" s="289"/>
      <c r="AB79" s="305">
        <f>'Table Format Calculations'!O108</f>
        <v>1912075.49</v>
      </c>
      <c r="AC79" s="289"/>
      <c r="AD79" s="289"/>
      <c r="AE79" s="289"/>
      <c r="AF79" s="289"/>
      <c r="AG79" s="289"/>
      <c r="AH79" s="289"/>
      <c r="AI79" s="289"/>
      <c r="AJ79" s="289"/>
      <c r="AK79" s="289"/>
      <c r="AL79" s="289"/>
      <c r="AM79" s="289"/>
      <c r="AN79" s="289"/>
      <c r="AO79" s="289"/>
      <c r="AP79" s="289"/>
      <c r="AQ79" s="289"/>
      <c r="AR79" s="289"/>
      <c r="AS79" s="289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352">
        <f>'Table Format Calculations'!Q108</f>
        <v>0</v>
      </c>
    </row>
    <row r="80" spans="6:68" ht="15.75" thickBot="1" x14ac:dyDescent="0.3">
      <c r="F80" s="485"/>
      <c r="G80" s="344" t="s">
        <v>106</v>
      </c>
      <c r="H80" s="104">
        <f>'Table Format Calculations'!L109</f>
        <v>11844012.949999999</v>
      </c>
      <c r="I80" s="289"/>
      <c r="J80" s="289"/>
      <c r="K80" s="289"/>
      <c r="L80" s="289"/>
      <c r="M80" s="289"/>
      <c r="N80" s="289"/>
      <c r="O80" s="289"/>
      <c r="P80" s="289"/>
      <c r="Q80" s="289"/>
      <c r="R80" s="289"/>
      <c r="S80" s="289"/>
      <c r="T80" s="289"/>
      <c r="U80" s="289"/>
      <c r="V80" s="289"/>
      <c r="W80" s="289"/>
      <c r="X80" s="289"/>
      <c r="Y80" s="289"/>
      <c r="Z80" s="289"/>
      <c r="AA80" s="289"/>
      <c r="AB80" s="305">
        <f>'Table Format Calculations'!O109</f>
        <v>12960085.282736696</v>
      </c>
      <c r="AC80" s="289"/>
      <c r="AD80" s="289"/>
      <c r="AE80" s="289"/>
      <c r="AF80" s="289"/>
      <c r="AG80" s="289"/>
      <c r="AH80" s="289"/>
      <c r="AI80" s="289"/>
      <c r="AJ80" s="289"/>
      <c r="AK80" s="289"/>
      <c r="AL80" s="289"/>
      <c r="AM80" s="289"/>
      <c r="AN80" s="289"/>
      <c r="AO80" s="289"/>
      <c r="AP80" s="289"/>
      <c r="AQ80" s="289"/>
      <c r="AR80" s="289"/>
      <c r="AS80" s="289"/>
      <c r="AT80" s="290"/>
      <c r="AU80" s="290"/>
      <c r="AV80" s="290"/>
      <c r="AW80" s="290"/>
      <c r="AX80" s="290"/>
      <c r="AY80" s="290"/>
      <c r="AZ80" s="290"/>
      <c r="BA80" s="290"/>
      <c r="BB80" s="290"/>
      <c r="BC80" s="290"/>
      <c r="BD80" s="290"/>
      <c r="BE80" s="290"/>
      <c r="BF80" s="290"/>
      <c r="BG80" s="290"/>
      <c r="BH80" s="290"/>
      <c r="BI80" s="290"/>
      <c r="BJ80" s="290"/>
      <c r="BK80" s="290"/>
      <c r="BL80" s="290"/>
      <c r="BM80" s="290"/>
      <c r="BN80" s="290"/>
      <c r="BO80" s="290"/>
      <c r="BP80" s="352">
        <f>'Table Format Calculations'!Q109</f>
        <v>32540.271573491609</v>
      </c>
    </row>
    <row r="81" spans="6:68" x14ac:dyDescent="0.25">
      <c r="F81" s="589" t="s">
        <v>263</v>
      </c>
      <c r="G81" s="19" t="s">
        <v>232</v>
      </c>
      <c r="H81" s="104">
        <f>'Table Format Calculations'!J139</f>
        <v>8575566.7899999991</v>
      </c>
      <c r="I81" s="290"/>
      <c r="J81" s="290"/>
      <c r="K81" s="290"/>
      <c r="L81" s="290"/>
      <c r="M81" s="290"/>
      <c r="N81" s="290"/>
      <c r="O81" s="290"/>
      <c r="P81" s="290"/>
      <c r="Q81" s="290"/>
      <c r="R81" s="290"/>
      <c r="S81" s="290"/>
      <c r="T81" s="290"/>
      <c r="U81" s="290"/>
      <c r="V81" s="290"/>
      <c r="W81" s="290"/>
      <c r="X81" s="290"/>
      <c r="Y81" s="290"/>
      <c r="Z81" s="290"/>
      <c r="AA81" s="290"/>
      <c r="AB81" s="305">
        <f>'Table Format Calculations'!M139</f>
        <v>8575566.7899999991</v>
      </c>
      <c r="AC81" s="290"/>
      <c r="AD81" s="290"/>
      <c r="AE81" s="290"/>
      <c r="AF81" s="290"/>
      <c r="AG81" s="290"/>
      <c r="AH81" s="290"/>
      <c r="AI81" s="290"/>
      <c r="AJ81" s="290"/>
      <c r="AK81" s="290"/>
      <c r="AL81" s="290"/>
      <c r="AM81" s="290"/>
      <c r="AN81" s="290"/>
      <c r="AO81" s="290"/>
      <c r="AP81" s="290"/>
      <c r="AQ81" s="290"/>
      <c r="AR81" s="290"/>
      <c r="AS81" s="290"/>
      <c r="AT81" s="290"/>
      <c r="AU81" s="290"/>
      <c r="AV81" s="290"/>
      <c r="AW81" s="290"/>
      <c r="AX81" s="290"/>
      <c r="AY81" s="290"/>
      <c r="AZ81" s="290"/>
      <c r="BA81" s="290"/>
      <c r="BB81" s="290"/>
      <c r="BC81" s="290"/>
      <c r="BD81" s="290"/>
      <c r="BE81" s="290"/>
      <c r="BF81" s="290"/>
      <c r="BG81" s="290"/>
      <c r="BH81" s="290"/>
      <c r="BI81" s="290"/>
      <c r="BJ81" s="290"/>
      <c r="BK81" s="290"/>
      <c r="BL81" s="290"/>
      <c r="BM81" s="290"/>
      <c r="BN81" s="290"/>
      <c r="BO81" s="290"/>
      <c r="BP81" s="352">
        <f>'Table Format Calculations'!Q139</f>
        <v>0</v>
      </c>
    </row>
    <row r="82" spans="6:68" x14ac:dyDescent="0.25">
      <c r="F82" s="590"/>
      <c r="G82" s="19" t="s">
        <v>119</v>
      </c>
      <c r="H82" s="104">
        <f>'Table Format Calculations'!J140</f>
        <v>5641800</v>
      </c>
      <c r="I82" s="290"/>
      <c r="J82" s="290"/>
      <c r="K82" s="290"/>
      <c r="L82" s="290"/>
      <c r="M82" s="290"/>
      <c r="N82" s="290"/>
      <c r="O82" s="290"/>
      <c r="P82" s="290"/>
      <c r="Q82" s="290"/>
      <c r="R82" s="290"/>
      <c r="S82" s="290"/>
      <c r="T82" s="290"/>
      <c r="U82" s="290"/>
      <c r="V82" s="290"/>
      <c r="W82" s="290"/>
      <c r="X82" s="290"/>
      <c r="Y82" s="290"/>
      <c r="Z82" s="290"/>
      <c r="AA82" s="290"/>
      <c r="AB82" s="305">
        <f>'Table Format Calculations'!M140</f>
        <v>5641800</v>
      </c>
      <c r="AC82" s="290"/>
      <c r="AD82" s="290"/>
      <c r="AE82" s="290"/>
      <c r="AF82" s="290"/>
      <c r="AG82" s="290"/>
      <c r="AH82" s="290"/>
      <c r="AI82" s="290"/>
      <c r="AJ82" s="290"/>
      <c r="AK82" s="290"/>
      <c r="AL82" s="290"/>
      <c r="AM82" s="290"/>
      <c r="AN82" s="290"/>
      <c r="AO82" s="290"/>
      <c r="AP82" s="290"/>
      <c r="AQ82" s="290"/>
      <c r="AR82" s="290"/>
      <c r="AS82" s="290"/>
      <c r="AT82" s="290"/>
      <c r="AU82" s="290"/>
      <c r="AV82" s="290"/>
      <c r="AW82" s="290"/>
      <c r="AX82" s="290"/>
      <c r="AY82" s="290"/>
      <c r="AZ82" s="290"/>
      <c r="BA82" s="290"/>
      <c r="BB82" s="290"/>
      <c r="BC82" s="290"/>
      <c r="BD82" s="290"/>
      <c r="BE82" s="290"/>
      <c r="BF82" s="290"/>
      <c r="BG82" s="290"/>
      <c r="BH82" s="290"/>
      <c r="BI82" s="290"/>
      <c r="BJ82" s="290"/>
      <c r="BK82" s="290"/>
      <c r="BL82" s="290"/>
      <c r="BM82" s="290"/>
      <c r="BN82" s="290"/>
      <c r="BO82" s="290"/>
      <c r="BP82" s="352">
        <f>'Table Format Calculations'!Q140</f>
        <v>0</v>
      </c>
    </row>
    <row r="83" spans="6:68" x14ac:dyDescent="0.25">
      <c r="F83" s="590"/>
      <c r="G83" s="19" t="s">
        <v>233</v>
      </c>
      <c r="H83" s="104">
        <f>'Table Format Calculations'!J141</f>
        <v>797400</v>
      </c>
      <c r="I83" s="290"/>
      <c r="J83" s="290"/>
      <c r="K83" s="290"/>
      <c r="L83" s="290"/>
      <c r="M83" s="290"/>
      <c r="N83" s="290"/>
      <c r="O83" s="290"/>
      <c r="P83" s="290"/>
      <c r="Q83" s="290"/>
      <c r="R83" s="290"/>
      <c r="S83" s="290"/>
      <c r="T83" s="290"/>
      <c r="U83" s="290"/>
      <c r="V83" s="290"/>
      <c r="W83" s="290"/>
      <c r="X83" s="290"/>
      <c r="Y83" s="290"/>
      <c r="Z83" s="290"/>
      <c r="AA83" s="290"/>
      <c r="AB83" s="305">
        <f>'Table Format Calculations'!M141</f>
        <v>797400</v>
      </c>
      <c r="AC83" s="290"/>
      <c r="AD83" s="290"/>
      <c r="AE83" s="290"/>
      <c r="AF83" s="290"/>
      <c r="AG83" s="290"/>
      <c r="AH83" s="290"/>
      <c r="AI83" s="290"/>
      <c r="AJ83" s="290"/>
      <c r="AK83" s="290"/>
      <c r="AL83" s="290"/>
      <c r="AM83" s="290"/>
      <c r="AN83" s="290"/>
      <c r="AO83" s="290"/>
      <c r="AP83" s="290"/>
      <c r="AQ83" s="290"/>
      <c r="AR83" s="290"/>
      <c r="AS83" s="290"/>
      <c r="AT83" s="290"/>
      <c r="AU83" s="290"/>
      <c r="AV83" s="290"/>
      <c r="AW83" s="290"/>
      <c r="AX83" s="290"/>
      <c r="AY83" s="290"/>
      <c r="AZ83" s="290"/>
      <c r="BA83" s="290"/>
      <c r="BB83" s="290"/>
      <c r="BC83" s="290"/>
      <c r="BD83" s="290"/>
      <c r="BE83" s="290"/>
      <c r="BF83" s="290"/>
      <c r="BG83" s="290"/>
      <c r="BH83" s="290"/>
      <c r="BI83" s="290"/>
      <c r="BJ83" s="290"/>
      <c r="BK83" s="290"/>
      <c r="BL83" s="290"/>
      <c r="BM83" s="290"/>
      <c r="BN83" s="290"/>
      <c r="BO83" s="290"/>
      <c r="BP83" s="352">
        <f>'Table Format Calculations'!Q141</f>
        <v>0</v>
      </c>
    </row>
    <row r="84" spans="6:68" ht="15.75" thickBot="1" x14ac:dyDescent="0.3">
      <c r="F84" s="591"/>
      <c r="G84" s="19" t="s">
        <v>120</v>
      </c>
      <c r="H84" s="104">
        <f>'Table Format Calculations'!J142</f>
        <v>17309220</v>
      </c>
      <c r="I84" s="290"/>
      <c r="J84" s="290"/>
      <c r="K84" s="290"/>
      <c r="L84" s="290"/>
      <c r="M84" s="290"/>
      <c r="N84" s="290"/>
      <c r="O84" s="290"/>
      <c r="P84" s="290"/>
      <c r="Q84" s="290"/>
      <c r="R84" s="290"/>
      <c r="S84" s="290"/>
      <c r="T84" s="290"/>
      <c r="U84" s="290"/>
      <c r="V84" s="290"/>
      <c r="W84" s="290"/>
      <c r="X84" s="290"/>
      <c r="Y84" s="290"/>
      <c r="Z84" s="290"/>
      <c r="AA84" s="290"/>
      <c r="AB84" s="305">
        <f>'Table Format Calculations'!M142</f>
        <v>17309220</v>
      </c>
      <c r="AC84" s="290"/>
      <c r="AD84" s="290"/>
      <c r="AE84" s="290"/>
      <c r="AF84" s="290"/>
      <c r="AG84" s="290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352">
        <f>'Table Format Calculations'!Q142</f>
        <v>0</v>
      </c>
    </row>
    <row r="85" spans="6:68" ht="15.75" thickBot="1" x14ac:dyDescent="0.3">
      <c r="F85" s="320" t="s">
        <v>264</v>
      </c>
      <c r="G85" s="20" t="s">
        <v>252</v>
      </c>
      <c r="H85" s="104">
        <f>'Table Format Calculations'!J151</f>
        <v>75869258.460000008</v>
      </c>
      <c r="I85" s="290"/>
      <c r="J85" s="290"/>
      <c r="K85" s="290"/>
      <c r="L85" s="290"/>
      <c r="M85" s="290"/>
      <c r="N85" s="290"/>
      <c r="O85" s="290"/>
      <c r="P85" s="290"/>
      <c r="Q85" s="290"/>
      <c r="R85" s="290"/>
      <c r="S85" s="290"/>
      <c r="T85" s="290"/>
      <c r="U85" s="290"/>
      <c r="V85" s="290"/>
      <c r="W85" s="290"/>
      <c r="X85" s="290"/>
      <c r="Y85" s="290"/>
      <c r="Z85" s="290"/>
      <c r="AA85" s="290"/>
      <c r="AB85" s="305">
        <f>'Table Format Calculations'!P151</f>
        <v>75869258.460000008</v>
      </c>
      <c r="AC85" s="290"/>
      <c r="AD85" s="290"/>
      <c r="AE85" s="290"/>
      <c r="AF85" s="290"/>
      <c r="AG85" s="290"/>
      <c r="AH85" s="290"/>
      <c r="AI85" s="290"/>
      <c r="AJ85" s="290"/>
      <c r="AK85" s="290"/>
      <c r="AL85" s="290"/>
      <c r="AM85" s="290"/>
      <c r="AN85" s="290"/>
      <c r="AO85" s="290"/>
      <c r="AP85" s="290"/>
      <c r="AQ85" s="290"/>
      <c r="AR85" s="290"/>
      <c r="AS85" s="290"/>
      <c r="AT85" s="290"/>
      <c r="AU85" s="290"/>
      <c r="AV85" s="290"/>
      <c r="AW85" s="290"/>
      <c r="AX85" s="290"/>
      <c r="AY85" s="290"/>
      <c r="AZ85" s="290"/>
      <c r="BA85" s="290"/>
      <c r="BB85" s="290"/>
      <c r="BC85" s="290"/>
      <c r="BD85" s="290"/>
      <c r="BE85" s="290"/>
      <c r="BF85" s="290"/>
      <c r="BG85" s="290"/>
      <c r="BH85" s="290"/>
      <c r="BI85" s="290"/>
      <c r="BJ85" s="290"/>
      <c r="BK85" s="290"/>
      <c r="BL85" s="290"/>
      <c r="BM85" s="290"/>
      <c r="BN85" s="290"/>
      <c r="BO85" s="290"/>
      <c r="BP85" s="352">
        <f>'Table Format Calculations'!S151</f>
        <v>0</v>
      </c>
    </row>
    <row r="87" spans="6:68" ht="15.75" thickBot="1" x14ac:dyDescent="0.3"/>
    <row r="88" spans="6:68" x14ac:dyDescent="0.25">
      <c r="F88" s="493" t="s">
        <v>122</v>
      </c>
      <c r="G88" s="494"/>
      <c r="H88" s="494"/>
      <c r="I88" s="494"/>
      <c r="J88" s="494"/>
      <c r="K88" s="494"/>
      <c r="L88" s="494"/>
      <c r="M88" s="494"/>
      <c r="N88" s="494"/>
      <c r="O88" s="494"/>
      <c r="P88" s="494"/>
      <c r="Q88" s="494"/>
      <c r="R88" s="494"/>
      <c r="S88" s="494"/>
      <c r="T88" s="494"/>
      <c r="U88" s="494"/>
      <c r="V88" s="494"/>
      <c r="W88" s="494"/>
      <c r="X88" s="494"/>
      <c r="Y88" s="494"/>
      <c r="Z88" s="494"/>
      <c r="AA88" s="494"/>
      <c r="AB88" s="494"/>
      <c r="AC88" s="494"/>
      <c r="AD88" s="494"/>
      <c r="AE88" s="494"/>
      <c r="AF88" s="494"/>
      <c r="AG88" s="494"/>
      <c r="AH88" s="494"/>
      <c r="AI88" s="494"/>
      <c r="AJ88" s="494"/>
      <c r="AK88" s="494"/>
      <c r="AL88" s="494"/>
      <c r="AM88" s="494"/>
      <c r="AN88" s="494"/>
      <c r="AO88" s="494"/>
      <c r="AP88" s="494"/>
      <c r="AQ88" s="494"/>
      <c r="AR88" s="494"/>
      <c r="AS88" s="494"/>
      <c r="AT88" s="494"/>
      <c r="AU88" s="494"/>
      <c r="AV88" s="494"/>
      <c r="AW88" s="494"/>
      <c r="AX88" s="494"/>
      <c r="AY88" s="494"/>
      <c r="AZ88" s="494"/>
      <c r="BA88" s="494"/>
      <c r="BB88" s="494"/>
      <c r="BC88" s="494"/>
      <c r="BD88" s="494"/>
      <c r="BE88" s="494"/>
      <c r="BF88" s="494"/>
      <c r="BG88" s="494"/>
      <c r="BH88" s="494"/>
      <c r="BI88" s="494"/>
      <c r="BJ88" s="494"/>
      <c r="BK88" s="494"/>
      <c r="BL88" s="494"/>
      <c r="BM88" s="494"/>
      <c r="BN88" s="494"/>
      <c r="BO88" s="495"/>
      <c r="BP88" s="514" t="s">
        <v>269</v>
      </c>
    </row>
    <row r="89" spans="6:68" x14ac:dyDescent="0.25">
      <c r="F89" s="496"/>
      <c r="G89" s="497"/>
      <c r="H89" s="497"/>
      <c r="I89" s="497"/>
      <c r="J89" s="497"/>
      <c r="K89" s="497"/>
      <c r="L89" s="497"/>
      <c r="M89" s="497"/>
      <c r="N89" s="497"/>
      <c r="O89" s="497"/>
      <c r="P89" s="497"/>
      <c r="Q89" s="497"/>
      <c r="R89" s="497"/>
      <c r="S89" s="497"/>
      <c r="T89" s="497"/>
      <c r="U89" s="497"/>
      <c r="V89" s="497"/>
      <c r="W89" s="497"/>
      <c r="X89" s="497"/>
      <c r="Y89" s="497"/>
      <c r="Z89" s="497"/>
      <c r="AA89" s="497"/>
      <c r="AB89" s="497"/>
      <c r="AC89" s="497"/>
      <c r="AD89" s="497"/>
      <c r="AE89" s="497"/>
      <c r="AF89" s="497"/>
      <c r="AG89" s="497"/>
      <c r="AH89" s="497"/>
      <c r="AI89" s="497"/>
      <c r="AJ89" s="497"/>
      <c r="AK89" s="497"/>
      <c r="AL89" s="497"/>
      <c r="AM89" s="497"/>
      <c r="AN89" s="497"/>
      <c r="AO89" s="497"/>
      <c r="AP89" s="497"/>
      <c r="AQ89" s="497"/>
      <c r="AR89" s="497"/>
      <c r="AS89" s="497"/>
      <c r="AT89" s="497"/>
      <c r="AU89" s="497"/>
      <c r="AV89" s="497"/>
      <c r="AW89" s="497"/>
      <c r="AX89" s="497"/>
      <c r="AY89" s="497"/>
      <c r="AZ89" s="497"/>
      <c r="BA89" s="497"/>
      <c r="BB89" s="497"/>
      <c r="BC89" s="497"/>
      <c r="BD89" s="497"/>
      <c r="BE89" s="497"/>
      <c r="BF89" s="497"/>
      <c r="BG89" s="497"/>
      <c r="BH89" s="497"/>
      <c r="BI89" s="497"/>
      <c r="BJ89" s="497"/>
      <c r="BK89" s="497"/>
      <c r="BL89" s="497"/>
      <c r="BM89" s="497"/>
      <c r="BN89" s="497"/>
      <c r="BO89" s="498"/>
      <c r="BP89" s="515"/>
    </row>
    <row r="90" spans="6:68" ht="15.75" thickBot="1" x14ac:dyDescent="0.3">
      <c r="F90" s="499"/>
      <c r="G90" s="500"/>
      <c r="H90" s="500"/>
      <c r="I90" s="500"/>
      <c r="J90" s="500"/>
      <c r="K90" s="500"/>
      <c r="L90" s="500"/>
      <c r="M90" s="500"/>
      <c r="N90" s="500"/>
      <c r="O90" s="500"/>
      <c r="P90" s="500"/>
      <c r="Q90" s="500"/>
      <c r="R90" s="500"/>
      <c r="S90" s="500"/>
      <c r="T90" s="500"/>
      <c r="U90" s="500"/>
      <c r="V90" s="500"/>
      <c r="W90" s="500"/>
      <c r="X90" s="500"/>
      <c r="Y90" s="500"/>
      <c r="Z90" s="500"/>
      <c r="AA90" s="500"/>
      <c r="AB90" s="500"/>
      <c r="AC90" s="500"/>
      <c r="AD90" s="500"/>
      <c r="AE90" s="500"/>
      <c r="AF90" s="500"/>
      <c r="AG90" s="500"/>
      <c r="AH90" s="500"/>
      <c r="AI90" s="500"/>
      <c r="AJ90" s="500"/>
      <c r="AK90" s="500"/>
      <c r="AL90" s="500"/>
      <c r="AM90" s="500"/>
      <c r="AN90" s="500"/>
      <c r="AO90" s="500"/>
      <c r="AP90" s="500"/>
      <c r="AQ90" s="500"/>
      <c r="AR90" s="500"/>
      <c r="AS90" s="500"/>
      <c r="AT90" s="500"/>
      <c r="AU90" s="500"/>
      <c r="AV90" s="500"/>
      <c r="AW90" s="500"/>
      <c r="AX90" s="500"/>
      <c r="AY90" s="500"/>
      <c r="AZ90" s="500"/>
      <c r="BA90" s="500"/>
      <c r="BB90" s="500"/>
      <c r="BC90" s="500"/>
      <c r="BD90" s="500"/>
      <c r="BE90" s="500"/>
      <c r="BF90" s="500"/>
      <c r="BG90" s="500"/>
      <c r="BH90" s="500"/>
      <c r="BI90" s="500"/>
      <c r="BJ90" s="500"/>
      <c r="BK90" s="500"/>
      <c r="BL90" s="500"/>
      <c r="BM90" s="500"/>
      <c r="BN90" s="500"/>
      <c r="BO90" s="501"/>
      <c r="BP90" s="515"/>
    </row>
    <row r="91" spans="6:68" x14ac:dyDescent="0.25">
      <c r="F91" s="109" t="s">
        <v>115</v>
      </c>
      <c r="G91" s="101" t="s">
        <v>117</v>
      </c>
      <c r="H91" s="298"/>
      <c r="I91" s="298"/>
      <c r="J91" s="105">
        <f>'Table Format Calculations'!K20</f>
        <v>28.926823216031032</v>
      </c>
      <c r="K91" s="298"/>
      <c r="L91" s="298"/>
      <c r="M91" s="298"/>
      <c r="N91" s="298"/>
      <c r="O91" s="298"/>
      <c r="P91" s="298"/>
      <c r="Q91" s="105">
        <f>'Table Format Calculations'!R20</f>
        <v>10.077486339993728</v>
      </c>
      <c r="R91" s="105">
        <f>'Table Format Calculations'!S20</f>
        <v>18.4945796448972</v>
      </c>
      <c r="S91" s="105">
        <f>'Table Format Calculations'!T20</f>
        <v>14.13137292017319</v>
      </c>
      <c r="T91" s="105">
        <f>'Table Format Calculations'!U20</f>
        <v>15.967553528361877</v>
      </c>
      <c r="U91" s="105">
        <f>'Table Format Calculations'!V20</f>
        <v>14.626126006371658</v>
      </c>
      <c r="V91" s="105">
        <f>'Table Format Calculations'!W20</f>
        <v>10.367940728580532</v>
      </c>
      <c r="W91" s="298"/>
      <c r="X91" s="298"/>
      <c r="Y91" s="298"/>
      <c r="Z91" s="298"/>
      <c r="AA91" s="298"/>
      <c r="AB91" s="294"/>
      <c r="AC91" s="294"/>
      <c r="AD91" s="106">
        <f>'Table Format Calculations'!CM20</f>
        <v>28.926823216031032</v>
      </c>
      <c r="AE91" s="294"/>
      <c r="AF91" s="294"/>
      <c r="AG91" s="294"/>
      <c r="AH91" s="294"/>
      <c r="AI91" s="294"/>
      <c r="AJ91" s="294"/>
      <c r="AK91" s="106">
        <f>'Table Format Calculations'!CT20</f>
        <v>10.077486339993728</v>
      </c>
      <c r="AL91" s="106">
        <f>'Table Format Calculations'!CU20</f>
        <v>18.4945796448972</v>
      </c>
      <c r="AM91" s="106">
        <f>'Table Format Calculations'!CV20</f>
        <v>14.13137292017319</v>
      </c>
      <c r="AN91" s="106">
        <f>'Table Format Calculations'!CW20</f>
        <v>15.967553528361877</v>
      </c>
      <c r="AO91" s="106">
        <f>'Table Format Calculations'!CX20</f>
        <v>14.626126006371658</v>
      </c>
      <c r="AP91" s="106">
        <f>'Table Format Calculations'!CY20</f>
        <v>10.367940728580532</v>
      </c>
      <c r="AQ91" s="294"/>
      <c r="AR91" s="294"/>
      <c r="AS91" s="294"/>
      <c r="AT91" s="294"/>
      <c r="AU91" s="294"/>
      <c r="AV91" s="116">
        <f>'Table Format Calculations'!ES20</f>
        <v>0</v>
      </c>
      <c r="AW91" s="116">
        <f>'Table Format Calculations'!ET20</f>
        <v>0</v>
      </c>
      <c r="AX91" s="116">
        <f>'Table Format Calculations'!EU20</f>
        <v>0</v>
      </c>
      <c r="AY91" s="116">
        <f>'Table Format Calculations'!EV20</f>
        <v>0</v>
      </c>
      <c r="AZ91" s="116">
        <f>'Table Format Calculations'!EW20</f>
        <v>0</v>
      </c>
      <c r="BA91" s="116">
        <f>'Table Format Calculations'!EX20</f>
        <v>0</v>
      </c>
      <c r="BB91" s="116">
        <f>'Table Format Calculations'!EY20</f>
        <v>0</v>
      </c>
      <c r="BC91" s="116">
        <f>'Table Format Calculations'!EZ20</f>
        <v>0</v>
      </c>
      <c r="BD91" s="116">
        <f>'Table Format Calculations'!FA20</f>
        <v>0</v>
      </c>
      <c r="BE91" s="116">
        <f>'Table Format Calculations'!FB20</f>
        <v>0</v>
      </c>
      <c r="BF91" s="116">
        <f>'Table Format Calculations'!FC20</f>
        <v>0</v>
      </c>
      <c r="BG91" s="116">
        <f>'Table Format Calculations'!FD20</f>
        <v>0</v>
      </c>
      <c r="BH91" s="116">
        <f>'Table Format Calculations'!FE20</f>
        <v>0</v>
      </c>
      <c r="BI91" s="116">
        <f>'Table Format Calculations'!FF20</f>
        <v>0</v>
      </c>
      <c r="BJ91" s="116">
        <f>'Table Format Calculations'!FG20</f>
        <v>0</v>
      </c>
      <c r="BK91" s="116">
        <f>'Table Format Calculations'!FH20</f>
        <v>0</v>
      </c>
      <c r="BL91" s="116">
        <f>'Table Format Calculations'!FI20</f>
        <v>0</v>
      </c>
      <c r="BM91" s="116">
        <f>'Table Format Calculations'!FJ20</f>
        <v>0</v>
      </c>
      <c r="BN91" s="116">
        <f>'Table Format Calculations'!FK20</f>
        <v>0</v>
      </c>
      <c r="BO91" s="116">
        <f>'Table Format Calculations'!FL20</f>
        <v>0</v>
      </c>
      <c r="BP91" s="353">
        <f>SUM(AV91:BO91)</f>
        <v>0</v>
      </c>
    </row>
    <row r="92" spans="6:68" x14ac:dyDescent="0.25">
      <c r="F92" s="99" t="s">
        <v>75</v>
      </c>
      <c r="G92" s="102" t="s">
        <v>117</v>
      </c>
      <c r="H92" s="299"/>
      <c r="I92" s="299"/>
      <c r="J92" s="92">
        <f>'Table Format Calculations_Blue'!K23</f>
        <v>31</v>
      </c>
      <c r="K92" s="299"/>
      <c r="L92" s="299"/>
      <c r="M92" s="299"/>
      <c r="N92" s="299"/>
      <c r="O92" s="299"/>
      <c r="P92" s="299"/>
      <c r="Q92" s="92">
        <f>'Table Format Calculations_Blue'!R23</f>
        <v>7</v>
      </c>
      <c r="R92" s="92">
        <f>'Table Format Calculations_Blue'!S23</f>
        <v>32</v>
      </c>
      <c r="S92" s="92">
        <f>'Table Format Calculations_Blue'!T23</f>
        <v>19</v>
      </c>
      <c r="T92" s="92">
        <f>'Table Format Calculations_Blue'!U23</f>
        <v>16</v>
      </c>
      <c r="U92" s="92">
        <f>'Table Format Calculations_Blue'!V23</f>
        <v>30</v>
      </c>
      <c r="V92" s="92">
        <f>'Table Format Calculations_Blue'!W23</f>
        <v>2</v>
      </c>
      <c r="W92" s="299"/>
      <c r="X92" s="299"/>
      <c r="Y92" s="299"/>
      <c r="Z92" s="299"/>
      <c r="AA92" s="299"/>
      <c r="AB92" s="299"/>
      <c r="AC92" s="299"/>
      <c r="AD92" s="92">
        <f>'Table Format Calculations_Blue'!CM23</f>
        <v>34.410000000000004</v>
      </c>
      <c r="AE92" s="299"/>
      <c r="AF92" s="299"/>
      <c r="AG92" s="299"/>
      <c r="AH92" s="299"/>
      <c r="AI92" s="299"/>
      <c r="AJ92" s="299"/>
      <c r="AK92" s="92">
        <f>'Table Format Calculations_Blue'!CT23</f>
        <v>7.7700000000000005</v>
      </c>
      <c r="AL92" s="92">
        <f>'Table Format Calculations_Blue'!CU23</f>
        <v>35.520000000000003</v>
      </c>
      <c r="AM92" s="92">
        <f>'Table Format Calculations_Blue'!CV23</f>
        <v>21.090000000000003</v>
      </c>
      <c r="AN92" s="92">
        <f>'Table Format Calculations_Blue'!CW23</f>
        <v>16</v>
      </c>
      <c r="AO92" s="92">
        <f>'Table Format Calculations_Blue'!CX23</f>
        <v>33.300000000000004</v>
      </c>
      <c r="AP92" s="92">
        <f>'Table Format Calculations_Blue'!CY23</f>
        <v>2.2200000000000002</v>
      </c>
      <c r="AQ92" s="299"/>
      <c r="AR92" s="299"/>
      <c r="AS92" s="299"/>
      <c r="AT92" s="299"/>
      <c r="AU92" s="299"/>
      <c r="AV92" s="20">
        <f>'Table Format Calculations_Blue'!ES23</f>
        <v>0</v>
      </c>
      <c r="AW92" s="20">
        <f>'Table Format Calculations_Blue'!ET23</f>
        <v>0</v>
      </c>
      <c r="AX92" s="20">
        <f>'Table Format Calculations_Blue'!EU23</f>
        <v>812178.15840032103</v>
      </c>
      <c r="AY92" s="20">
        <f>'Table Format Calculations_Blue'!EV23</f>
        <v>0</v>
      </c>
      <c r="AZ92" s="20">
        <f>'Table Format Calculations_Blue'!EW23</f>
        <v>0</v>
      </c>
      <c r="BA92" s="20">
        <f>'Table Format Calculations_Blue'!EX23</f>
        <v>0</v>
      </c>
      <c r="BB92" s="20">
        <f>'Table Format Calculations_Blue'!EY23</f>
        <v>0</v>
      </c>
      <c r="BC92" s="20">
        <f>'Table Format Calculations_Blue'!EZ23</f>
        <v>0</v>
      </c>
      <c r="BD92" s="20">
        <f>'Table Format Calculations_Blue'!FA23</f>
        <v>0</v>
      </c>
      <c r="BE92" s="20">
        <f>'Table Format Calculations_Blue'!FB23</f>
        <v>71691.416454764156</v>
      </c>
      <c r="BF92" s="20">
        <f>'Table Format Calculations_Blue'!FC23</f>
        <v>158344.74799340701</v>
      </c>
      <c r="BG92" s="20">
        <f>'Table Format Calculations_Blue'!FD23</f>
        <v>105270.87957793026</v>
      </c>
      <c r="BH92" s="20">
        <f>'Table Format Calculations_Blue'!FE23</f>
        <v>0</v>
      </c>
      <c r="BI92" s="20">
        <f>'Table Format Calculations_Blue'!FF23</f>
        <v>201049.00090990949</v>
      </c>
      <c r="BJ92" s="20">
        <f>'Table Format Calculations_Blue'!FG23</f>
        <v>24370.717889755091</v>
      </c>
      <c r="BK92" s="20">
        <f>'Table Format Calculations_Blue'!FH23</f>
        <v>0</v>
      </c>
      <c r="BL92" s="20">
        <f>'Table Format Calculations_Blue'!FI23</f>
        <v>0</v>
      </c>
      <c r="BM92" s="20">
        <f>'Table Format Calculations_Blue'!FJ23</f>
        <v>0</v>
      </c>
      <c r="BN92" s="20">
        <f>'Table Format Calculations_Blue'!FK23</f>
        <v>0</v>
      </c>
      <c r="BO92" s="20">
        <f>'Table Format Calculations_Blue'!FL23</f>
        <v>0</v>
      </c>
      <c r="BP92" s="23">
        <f>SUM(AV92:BO92)</f>
        <v>1372904.921226087</v>
      </c>
    </row>
    <row r="93" spans="6:68" ht="15.75" thickBot="1" x14ac:dyDescent="0.3">
      <c r="F93" s="99" t="s">
        <v>89</v>
      </c>
      <c r="G93" s="103" t="s">
        <v>117</v>
      </c>
      <c r="H93" s="301"/>
      <c r="I93" s="301"/>
      <c r="J93" s="302">
        <v>0.47005590082062448</v>
      </c>
      <c r="K93" s="301"/>
      <c r="L93" s="301"/>
      <c r="M93" s="301"/>
      <c r="N93" s="301"/>
      <c r="O93" s="301"/>
      <c r="P93" s="301"/>
      <c r="Q93" s="302">
        <v>0.12064974320179786</v>
      </c>
      <c r="R93" s="302">
        <v>0.20498499749127483</v>
      </c>
      <c r="S93" s="302">
        <v>7.1002459990541056E-2</v>
      </c>
      <c r="T93" s="302">
        <v>3.6286798789166297E-2</v>
      </c>
      <c r="U93" s="302">
        <v>9.4757816644865309E-2</v>
      </c>
      <c r="V93" s="63">
        <v>2.2622830617301452E-3</v>
      </c>
      <c r="W93" s="301"/>
      <c r="X93" s="301"/>
      <c r="Y93" s="301"/>
      <c r="Z93" s="301"/>
      <c r="AA93" s="301"/>
      <c r="AB93" s="301"/>
      <c r="AC93" s="301"/>
      <c r="AD93" s="302">
        <v>0.47005590082062448</v>
      </c>
      <c r="AE93" s="301"/>
      <c r="AF93" s="301"/>
      <c r="AG93" s="301"/>
      <c r="AH93" s="301"/>
      <c r="AI93" s="301"/>
      <c r="AJ93" s="301"/>
      <c r="AK93" s="302">
        <v>0.12064974320179786</v>
      </c>
      <c r="AL93" s="302">
        <v>0.20498499749127483</v>
      </c>
      <c r="AM93" s="302">
        <v>7.1002459990541056E-2</v>
      </c>
      <c r="AN93" s="302">
        <v>3.6286798789166297E-2</v>
      </c>
      <c r="AO93" s="302">
        <v>9.4757816644865309E-2</v>
      </c>
      <c r="AP93" s="302">
        <v>2.2622830617301452E-3</v>
      </c>
      <c r="AQ93" s="301"/>
      <c r="AR93" s="301"/>
      <c r="AS93" s="301"/>
      <c r="AT93" s="301"/>
      <c r="AU93" s="301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3"/>
    </row>
    <row r="94" spans="6:68" ht="15.75" thickBot="1" x14ac:dyDescent="0.3">
      <c r="F94" s="504" t="s">
        <v>90</v>
      </c>
      <c r="G94" s="505"/>
      <c r="H94" s="63">
        <f>'Table Format Calculations'!H30</f>
        <v>0.16677894466666668</v>
      </c>
      <c r="I94" s="303"/>
      <c r="J94" s="303"/>
      <c r="K94" s="299"/>
      <c r="L94" s="299"/>
      <c r="M94" s="299"/>
      <c r="N94" s="299"/>
      <c r="O94" s="299"/>
      <c r="P94" s="299"/>
      <c r="Q94" s="299"/>
      <c r="R94" s="299"/>
      <c r="S94" s="299"/>
      <c r="T94" s="299"/>
      <c r="U94" s="299"/>
      <c r="V94" s="299"/>
      <c r="W94" s="299"/>
      <c r="X94" s="299"/>
      <c r="Y94" s="299"/>
      <c r="Z94" s="299"/>
      <c r="AA94" s="299"/>
      <c r="AB94" s="63">
        <f>'Table Format Calculations'!Z30</f>
        <v>0.18</v>
      </c>
      <c r="AC94" s="299"/>
      <c r="AD94" s="299"/>
      <c r="AE94" s="299"/>
      <c r="AF94" s="299"/>
      <c r="AG94" s="299"/>
      <c r="AH94" s="299"/>
      <c r="AI94" s="299"/>
      <c r="AJ94" s="299"/>
      <c r="AK94" s="299"/>
      <c r="AL94" s="299"/>
      <c r="AM94" s="299"/>
      <c r="AN94" s="299"/>
      <c r="AO94" s="299"/>
      <c r="AP94" s="290"/>
      <c r="AQ94" s="290"/>
      <c r="AR94" s="290"/>
      <c r="AS94" s="290"/>
      <c r="AT94" s="290"/>
      <c r="AU94" s="290"/>
      <c r="AV94" s="290"/>
      <c r="AW94" s="290"/>
      <c r="AX94" s="290"/>
      <c r="AY94" s="290"/>
      <c r="AZ94" s="290"/>
      <c r="BA94" s="290"/>
      <c r="BB94" s="290"/>
      <c r="BC94" s="290"/>
      <c r="BD94" s="290"/>
      <c r="BE94" s="290"/>
      <c r="BF94" s="290"/>
      <c r="BG94" s="290"/>
      <c r="BH94" s="290"/>
      <c r="BI94" s="290"/>
      <c r="BJ94" s="290"/>
      <c r="BK94" s="290"/>
      <c r="BL94" s="290"/>
      <c r="BM94" s="290"/>
      <c r="BN94" s="290"/>
      <c r="BO94" s="290"/>
      <c r="BP94" s="352">
        <f>'Table Format Calculations'!AB30</f>
        <v>60767.931604963393</v>
      </c>
    </row>
    <row r="95" spans="6:68" x14ac:dyDescent="0.25">
      <c r="F95" s="502" t="s">
        <v>94</v>
      </c>
      <c r="G95" s="68" t="s">
        <v>95</v>
      </c>
      <c r="H95" s="104">
        <f>'Table Format Calculations'!J78</f>
        <v>22556750</v>
      </c>
      <c r="I95" s="462" t="s">
        <v>391</v>
      </c>
      <c r="J95" s="104">
        <f>'Table Format Calculations'!J79</f>
        <v>72860750</v>
      </c>
      <c r="K95" s="299"/>
      <c r="L95" s="299"/>
      <c r="M95" s="299"/>
      <c r="N95" s="299"/>
      <c r="O95" s="299"/>
      <c r="P95" s="299"/>
      <c r="Q95" s="299"/>
      <c r="R95" s="299"/>
      <c r="S95" s="299"/>
      <c r="T95" s="299"/>
      <c r="U95" s="299"/>
      <c r="V95" s="299"/>
      <c r="W95" s="299"/>
      <c r="X95" s="299"/>
      <c r="Y95" s="299"/>
      <c r="Z95" s="299"/>
      <c r="AA95" s="89" t="s">
        <v>389</v>
      </c>
      <c r="AB95" s="305">
        <f>'Table Format Calculations'!Q78</f>
        <v>25861526.026785713</v>
      </c>
      <c r="AC95" s="462" t="s">
        <v>391</v>
      </c>
      <c r="AD95" s="305">
        <f>'Table Format Calculations'!Q79</f>
        <v>65653775</v>
      </c>
      <c r="AE95" s="299"/>
      <c r="AF95" s="299"/>
      <c r="AG95" s="299"/>
      <c r="AH95" s="299"/>
      <c r="AI95" s="299"/>
      <c r="AJ95" s="299"/>
      <c r="AK95" s="299"/>
      <c r="AL95" s="299"/>
      <c r="AM95" s="299"/>
      <c r="AN95" s="299"/>
      <c r="AO95" s="299"/>
      <c r="AP95" s="290"/>
      <c r="AQ95" s="290"/>
      <c r="AR95" s="290"/>
      <c r="AS95" s="290"/>
      <c r="AT95" s="290"/>
      <c r="AU95" s="290"/>
      <c r="AV95" s="290"/>
      <c r="AW95" s="290"/>
      <c r="AX95" s="290"/>
      <c r="AY95" s="290"/>
      <c r="AZ95" s="290"/>
      <c r="BA95" s="290"/>
      <c r="BB95" s="290"/>
      <c r="BC95" s="290"/>
      <c r="BD95" s="290"/>
      <c r="BE95" s="290"/>
      <c r="BF95" s="290"/>
      <c r="BG95" s="290"/>
      <c r="BH95" s="290"/>
      <c r="BI95" s="290"/>
      <c r="BJ95" s="290"/>
      <c r="BK95" s="290"/>
      <c r="BL95" s="290"/>
      <c r="BM95" s="290"/>
      <c r="BN95" s="290"/>
      <c r="BO95" s="290"/>
      <c r="BP95" s="352"/>
    </row>
    <row r="96" spans="6:68" x14ac:dyDescent="0.25">
      <c r="F96" s="503"/>
      <c r="G96" s="68" t="s">
        <v>96</v>
      </c>
      <c r="H96" s="57">
        <f>'Table Format Calculations'!K78</f>
        <v>1952.57</v>
      </c>
      <c r="I96" s="462" t="s">
        <v>392</v>
      </c>
      <c r="J96" s="86">
        <f>'Table Format Calculations'!K79</f>
        <v>4644</v>
      </c>
      <c r="K96" s="299"/>
      <c r="L96" s="299"/>
      <c r="M96" s="299"/>
      <c r="N96" s="299"/>
      <c r="O96" s="299"/>
      <c r="P96" s="299"/>
      <c r="Q96" s="299"/>
      <c r="R96" s="299"/>
      <c r="S96" s="299"/>
      <c r="T96" s="299"/>
      <c r="U96" s="299"/>
      <c r="V96" s="299"/>
      <c r="W96" s="299"/>
      <c r="X96" s="299"/>
      <c r="Y96" s="299"/>
      <c r="Z96" s="299"/>
      <c r="AA96" s="65" t="s">
        <v>390</v>
      </c>
      <c r="AB96" s="297">
        <f>'Table Format Calculations'!P78</f>
        <v>2325.0000000000005</v>
      </c>
      <c r="AC96" s="462" t="s">
        <v>392</v>
      </c>
      <c r="AD96" s="297">
        <f>'Table Format Calculations'!P79</f>
        <v>4189.8999999999996</v>
      </c>
      <c r="AE96" s="299"/>
      <c r="AF96" s="299"/>
      <c r="AG96" s="299"/>
      <c r="AH96" s="299"/>
      <c r="AI96" s="299"/>
      <c r="AJ96" s="299"/>
      <c r="AK96" s="299"/>
      <c r="AL96" s="299"/>
      <c r="AM96" s="299"/>
      <c r="AN96" s="299"/>
      <c r="AO96" s="299"/>
      <c r="AP96" s="290"/>
      <c r="AQ96" s="290"/>
      <c r="AR96" s="290"/>
      <c r="AS96" s="290"/>
      <c r="AT96" s="290"/>
      <c r="AU96" s="290"/>
      <c r="AV96" s="290"/>
      <c r="AW96" s="290"/>
      <c r="AX96" s="290"/>
      <c r="AY96" s="290"/>
      <c r="AZ96" s="290"/>
      <c r="BA96" s="290"/>
      <c r="BB96" s="290"/>
      <c r="BC96" s="290"/>
      <c r="BD96" s="290"/>
      <c r="BE96" s="290"/>
      <c r="BF96" s="290"/>
      <c r="BG96" s="290"/>
      <c r="BH96" s="290"/>
      <c r="BI96" s="290"/>
      <c r="BJ96" s="290"/>
      <c r="BK96" s="290"/>
      <c r="BL96" s="290"/>
      <c r="BM96" s="290"/>
      <c r="BN96" s="290"/>
      <c r="BO96" s="290"/>
      <c r="BP96" s="352"/>
    </row>
    <row r="97" spans="6:68" x14ac:dyDescent="0.25">
      <c r="F97" s="503"/>
      <c r="G97" s="69" t="s">
        <v>97</v>
      </c>
      <c r="H97" s="57">
        <f>'Table Format Calculations'!K68</f>
        <v>538</v>
      </c>
      <c r="I97" s="299"/>
      <c r="J97" s="299"/>
      <c r="K97" s="299"/>
      <c r="L97" s="299"/>
      <c r="M97" s="299"/>
      <c r="N97" s="299"/>
      <c r="O97" s="299"/>
      <c r="P97" s="299"/>
      <c r="Q97" s="299"/>
      <c r="R97" s="299"/>
      <c r="S97" s="299"/>
      <c r="T97" s="299"/>
      <c r="U97" s="299"/>
      <c r="V97" s="299"/>
      <c r="W97" s="299"/>
      <c r="X97" s="299"/>
      <c r="Y97" s="299"/>
      <c r="Z97" s="299"/>
      <c r="AA97" s="299"/>
      <c r="AB97" s="297">
        <f>'Table Format Calculations'!P68</f>
        <v>484.2</v>
      </c>
      <c r="AC97" s="299"/>
      <c r="AD97" s="299"/>
      <c r="AE97" s="299"/>
      <c r="AF97" s="299"/>
      <c r="AG97" s="299"/>
      <c r="AH97" s="299"/>
      <c r="AI97" s="299"/>
      <c r="AJ97" s="299"/>
      <c r="AK97" s="299"/>
      <c r="AL97" s="299"/>
      <c r="AM97" s="299"/>
      <c r="AN97" s="299"/>
      <c r="AO97" s="299"/>
      <c r="AP97" s="290"/>
      <c r="AQ97" s="290"/>
      <c r="AR97" s="290"/>
      <c r="AS97" s="290"/>
      <c r="AT97" s="290"/>
      <c r="AU97" s="290"/>
      <c r="AV97" s="290"/>
      <c r="AW97" s="290"/>
      <c r="AX97" s="290"/>
      <c r="AY97" s="290"/>
      <c r="AZ97" s="290"/>
      <c r="BA97" s="290"/>
      <c r="BB97" s="290"/>
      <c r="BC97" s="290"/>
      <c r="BD97" s="290"/>
      <c r="BE97" s="290"/>
      <c r="BF97" s="290"/>
      <c r="BG97" s="290"/>
      <c r="BH97" s="290"/>
      <c r="BI97" s="290"/>
      <c r="BJ97" s="290"/>
      <c r="BK97" s="290"/>
      <c r="BL97" s="290"/>
      <c r="BM97" s="290"/>
      <c r="BN97" s="290"/>
      <c r="BO97" s="290"/>
      <c r="BP97" s="352">
        <f>'Table Format Calculations'!T68</f>
        <v>-4250.2000000000044</v>
      </c>
    </row>
    <row r="98" spans="6:68" x14ac:dyDescent="0.25">
      <c r="F98" s="503"/>
      <c r="G98" s="69" t="s">
        <v>98</v>
      </c>
      <c r="H98" s="57">
        <f>'Table Format Calculations'!K69</f>
        <v>316</v>
      </c>
      <c r="I98" s="299"/>
      <c r="J98" s="299"/>
      <c r="K98" s="299"/>
      <c r="L98" s="299"/>
      <c r="M98" s="299"/>
      <c r="N98" s="299"/>
      <c r="O98" s="299"/>
      <c r="P98" s="299"/>
      <c r="Q98" s="299"/>
      <c r="R98" s="299"/>
      <c r="S98" s="299"/>
      <c r="T98" s="299"/>
      <c r="U98" s="299"/>
      <c r="V98" s="299"/>
      <c r="W98" s="299"/>
      <c r="X98" s="299"/>
      <c r="Y98" s="299"/>
      <c r="Z98" s="299"/>
      <c r="AA98" s="299"/>
      <c r="AB98" s="297">
        <f>'Table Format Calculations'!P69</f>
        <v>284.40000000000003</v>
      </c>
      <c r="AC98" s="299"/>
      <c r="AD98" s="299"/>
      <c r="AE98" s="299"/>
      <c r="AF98" s="299"/>
      <c r="AG98" s="299"/>
      <c r="AH98" s="299"/>
      <c r="AI98" s="299"/>
      <c r="AJ98" s="299"/>
      <c r="AK98" s="299"/>
      <c r="AL98" s="299"/>
      <c r="AM98" s="299"/>
      <c r="AN98" s="299"/>
      <c r="AO98" s="299"/>
      <c r="AP98" s="290"/>
      <c r="AQ98" s="290"/>
      <c r="AR98" s="290"/>
      <c r="AS98" s="290"/>
      <c r="AT98" s="290"/>
      <c r="AU98" s="290"/>
      <c r="AV98" s="290"/>
      <c r="AW98" s="290"/>
      <c r="AX98" s="290"/>
      <c r="AY98" s="290"/>
      <c r="AZ98" s="290"/>
      <c r="BA98" s="290"/>
      <c r="BB98" s="290"/>
      <c r="BC98" s="290"/>
      <c r="BD98" s="290"/>
      <c r="BE98" s="290"/>
      <c r="BF98" s="290"/>
      <c r="BG98" s="290"/>
      <c r="BH98" s="290"/>
      <c r="BI98" s="290"/>
      <c r="BJ98" s="290"/>
      <c r="BK98" s="290"/>
      <c r="BL98" s="290"/>
      <c r="BM98" s="290"/>
      <c r="BN98" s="290"/>
      <c r="BO98" s="290"/>
      <c r="BP98" s="352">
        <f>'Table Format Calculations'!T69</f>
        <v>-3602.3999999999978</v>
      </c>
    </row>
    <row r="99" spans="6:68" x14ac:dyDescent="0.25">
      <c r="F99" s="503"/>
      <c r="G99" s="69" t="s">
        <v>114</v>
      </c>
      <c r="H99" s="57">
        <f>'Table Format Calculations'!K71</f>
        <v>614</v>
      </c>
      <c r="I99" s="299"/>
      <c r="J99" s="299"/>
      <c r="K99" s="299"/>
      <c r="L99" s="299"/>
      <c r="M99" s="299"/>
      <c r="N99" s="299"/>
      <c r="O99" s="299"/>
      <c r="P99" s="299"/>
      <c r="Q99" s="299"/>
      <c r="R99" s="299"/>
      <c r="S99" s="299"/>
      <c r="T99" s="299"/>
      <c r="U99" s="299"/>
      <c r="V99" s="299"/>
      <c r="W99" s="299"/>
      <c r="X99" s="299"/>
      <c r="Y99" s="299"/>
      <c r="Z99" s="299"/>
      <c r="AA99" s="299"/>
      <c r="AB99" s="297">
        <f>'Table Format Calculations'!P71</f>
        <v>552.6</v>
      </c>
      <c r="AC99" s="299"/>
      <c r="AD99" s="299"/>
      <c r="AE99" s="299"/>
      <c r="AF99" s="299"/>
      <c r="AG99" s="299"/>
      <c r="AH99" s="299"/>
      <c r="AI99" s="299"/>
      <c r="AJ99" s="299"/>
      <c r="AK99" s="299"/>
      <c r="AL99" s="299"/>
      <c r="AM99" s="299"/>
      <c r="AN99" s="299"/>
      <c r="AO99" s="299"/>
      <c r="AP99" s="290"/>
      <c r="AQ99" s="290"/>
      <c r="AR99" s="290"/>
      <c r="AS99" s="290"/>
      <c r="AT99" s="290"/>
      <c r="AU99" s="290"/>
      <c r="AV99" s="290"/>
      <c r="AW99" s="290"/>
      <c r="AX99" s="290"/>
      <c r="AY99" s="290"/>
      <c r="AZ99" s="290"/>
      <c r="BA99" s="290"/>
      <c r="BB99" s="290"/>
      <c r="BC99" s="290"/>
      <c r="BD99" s="290"/>
      <c r="BE99" s="290"/>
      <c r="BF99" s="290"/>
      <c r="BG99" s="290"/>
      <c r="BH99" s="290"/>
      <c r="BI99" s="290"/>
      <c r="BJ99" s="290"/>
      <c r="BK99" s="290"/>
      <c r="BL99" s="290"/>
      <c r="BM99" s="290"/>
      <c r="BN99" s="290"/>
      <c r="BO99" s="290"/>
      <c r="BP99" s="352">
        <f>'Table Format Calculations'!T71</f>
        <v>-4236.5999999999985</v>
      </c>
    </row>
    <row r="100" spans="6:68" x14ac:dyDescent="0.25">
      <c r="F100" s="503"/>
      <c r="G100" s="69" t="s">
        <v>100</v>
      </c>
      <c r="H100" s="57">
        <f>'Table Format Calculations'!K70</f>
        <v>259</v>
      </c>
      <c r="I100" s="299"/>
      <c r="J100" s="299"/>
      <c r="K100" s="299"/>
      <c r="L100" s="299"/>
      <c r="M100" s="299"/>
      <c r="N100" s="299"/>
      <c r="O100" s="299"/>
      <c r="P100" s="299"/>
      <c r="Q100" s="299"/>
      <c r="R100" s="299"/>
      <c r="S100" s="299"/>
      <c r="T100" s="299"/>
      <c r="U100" s="299"/>
      <c r="V100" s="299"/>
      <c r="W100" s="299"/>
      <c r="X100" s="299"/>
      <c r="Y100" s="299"/>
      <c r="Z100" s="299"/>
      <c r="AA100" s="299"/>
      <c r="AB100" s="297">
        <f>'Table Format Calculations'!P70</f>
        <v>233.1</v>
      </c>
      <c r="AC100" s="299"/>
      <c r="AD100" s="299"/>
      <c r="AE100" s="299"/>
      <c r="AF100" s="299"/>
      <c r="AG100" s="299"/>
      <c r="AH100" s="299"/>
      <c r="AI100" s="299"/>
      <c r="AJ100" s="299"/>
      <c r="AK100" s="299"/>
      <c r="AL100" s="299"/>
      <c r="AM100" s="299"/>
      <c r="AN100" s="299"/>
      <c r="AO100" s="299"/>
      <c r="AP100" s="290"/>
      <c r="AQ100" s="290"/>
      <c r="AR100" s="290"/>
      <c r="AS100" s="290"/>
      <c r="AT100" s="290"/>
      <c r="AU100" s="290"/>
      <c r="AV100" s="290"/>
      <c r="AW100" s="290"/>
      <c r="AX100" s="290"/>
      <c r="AY100" s="290"/>
      <c r="AZ100" s="290"/>
      <c r="BA100" s="290"/>
      <c r="BB100" s="290"/>
      <c r="BC100" s="290"/>
      <c r="BD100" s="290"/>
      <c r="BE100" s="290"/>
      <c r="BF100" s="290"/>
      <c r="BG100" s="290"/>
      <c r="BH100" s="290"/>
      <c r="BI100" s="290"/>
      <c r="BJ100" s="290"/>
      <c r="BK100" s="290"/>
      <c r="BL100" s="290"/>
      <c r="BM100" s="290"/>
      <c r="BN100" s="290"/>
      <c r="BO100" s="290"/>
      <c r="BP100" s="352">
        <f>'Table Format Calculations'!T70</f>
        <v>-4351.2000000000044</v>
      </c>
    </row>
    <row r="101" spans="6:68" x14ac:dyDescent="0.25">
      <c r="F101" s="503"/>
      <c r="G101" s="69" t="s">
        <v>102</v>
      </c>
      <c r="H101" s="57">
        <f>'Table Format Calculations'!K72</f>
        <v>168</v>
      </c>
      <c r="I101" s="299"/>
      <c r="J101" s="299"/>
      <c r="K101" s="299"/>
      <c r="L101" s="299"/>
      <c r="M101" s="299"/>
      <c r="N101" s="299"/>
      <c r="O101" s="299"/>
      <c r="P101" s="299"/>
      <c r="Q101" s="299"/>
      <c r="R101" s="299"/>
      <c r="S101" s="299"/>
      <c r="T101" s="299"/>
      <c r="U101" s="299"/>
      <c r="V101" s="299"/>
      <c r="W101" s="299"/>
      <c r="X101" s="299"/>
      <c r="Y101" s="299"/>
      <c r="Z101" s="299"/>
      <c r="AA101" s="299"/>
      <c r="AB101" s="297">
        <f>'Table Format Calculations'!P72</f>
        <v>713.12999999999988</v>
      </c>
      <c r="AC101" s="299"/>
      <c r="AD101" s="299"/>
      <c r="AE101" s="299"/>
      <c r="AF101" s="299"/>
      <c r="AG101" s="299"/>
      <c r="AH101" s="299"/>
      <c r="AI101" s="299"/>
      <c r="AJ101" s="299"/>
      <c r="AK101" s="299"/>
      <c r="AL101" s="299"/>
      <c r="AM101" s="299"/>
      <c r="AN101" s="299"/>
      <c r="AO101" s="299"/>
      <c r="AP101" s="290"/>
      <c r="AQ101" s="290"/>
      <c r="AR101" s="290"/>
      <c r="AS101" s="290"/>
      <c r="AT101" s="290"/>
      <c r="AU101" s="290"/>
      <c r="AV101" s="290"/>
      <c r="AW101" s="290"/>
      <c r="AX101" s="290"/>
      <c r="AY101" s="290"/>
      <c r="AZ101" s="290"/>
      <c r="BA101" s="290"/>
      <c r="BB101" s="290"/>
      <c r="BC101" s="290"/>
      <c r="BD101" s="290"/>
      <c r="BE101" s="290"/>
      <c r="BF101" s="290"/>
      <c r="BG101" s="290"/>
      <c r="BH101" s="290"/>
      <c r="BI101" s="290"/>
      <c r="BJ101" s="290"/>
      <c r="BK101" s="290"/>
      <c r="BL101" s="290"/>
      <c r="BM101" s="290"/>
      <c r="BN101" s="290"/>
      <c r="BO101" s="290"/>
      <c r="BP101" s="352">
        <f>'Table Format Calculations'!T72</f>
        <v>119928.59999999998</v>
      </c>
    </row>
    <row r="102" spans="6:68" ht="15.75" thickBot="1" x14ac:dyDescent="0.3">
      <c r="F102" s="503"/>
      <c r="G102" s="69" t="s">
        <v>105</v>
      </c>
      <c r="H102" s="57">
        <f>'Table Format Calculations'!K73</f>
        <v>57.569999999999993</v>
      </c>
      <c r="I102" s="299"/>
      <c r="J102" s="299"/>
      <c r="K102" s="299"/>
      <c r="L102" s="299"/>
      <c r="M102" s="299"/>
      <c r="N102" s="299"/>
      <c r="O102" s="299"/>
      <c r="P102" s="299"/>
      <c r="Q102" s="299"/>
      <c r="R102" s="299"/>
      <c r="S102" s="299"/>
      <c r="T102" s="299"/>
      <c r="U102" s="299"/>
      <c r="V102" s="299"/>
      <c r="W102" s="299"/>
      <c r="X102" s="299"/>
      <c r="Y102" s="299"/>
      <c r="Z102" s="299"/>
      <c r="AA102" s="299"/>
      <c r="AB102" s="297">
        <f>'Table Format Calculations'!P73</f>
        <v>57.569999999999993</v>
      </c>
      <c r="AC102" s="299"/>
      <c r="AD102" s="299"/>
      <c r="AE102" s="299"/>
      <c r="AF102" s="299"/>
      <c r="AG102" s="299"/>
      <c r="AH102" s="299"/>
      <c r="AI102" s="299"/>
      <c r="AJ102" s="299"/>
      <c r="AK102" s="299"/>
      <c r="AL102" s="299"/>
      <c r="AM102" s="299"/>
      <c r="AN102" s="299"/>
      <c r="AO102" s="299"/>
      <c r="AP102" s="290"/>
      <c r="AQ102" s="290"/>
      <c r="AR102" s="290"/>
      <c r="AS102" s="290"/>
      <c r="AT102" s="290"/>
      <c r="AU102" s="290"/>
      <c r="AV102" s="290"/>
      <c r="AW102" s="290"/>
      <c r="AX102" s="290"/>
      <c r="AY102" s="290"/>
      <c r="AZ102" s="290"/>
      <c r="BA102" s="290"/>
      <c r="BB102" s="290"/>
      <c r="BC102" s="290"/>
      <c r="BD102" s="290"/>
      <c r="BE102" s="290"/>
      <c r="BF102" s="290"/>
      <c r="BG102" s="290"/>
      <c r="BH102" s="290"/>
      <c r="BI102" s="290"/>
      <c r="BJ102" s="290"/>
      <c r="BK102" s="290"/>
      <c r="BL102" s="290"/>
      <c r="BM102" s="290"/>
      <c r="BN102" s="290"/>
      <c r="BO102" s="290"/>
      <c r="BP102" s="352">
        <f>'Table Format Calculations'!T73</f>
        <v>0</v>
      </c>
    </row>
    <row r="103" spans="6:68" x14ac:dyDescent="0.25">
      <c r="F103" s="477" t="s">
        <v>107</v>
      </c>
      <c r="G103" s="345" t="s">
        <v>108</v>
      </c>
      <c r="H103" s="104">
        <f>'Table Format Calculations'!L123</f>
        <v>4868429.6000000006</v>
      </c>
      <c r="I103" s="299"/>
      <c r="J103" s="299"/>
      <c r="K103" s="299"/>
      <c r="L103" s="299"/>
      <c r="M103" s="299"/>
      <c r="N103" s="299"/>
      <c r="O103" s="299"/>
      <c r="P103" s="299"/>
      <c r="Q103" s="299"/>
      <c r="R103" s="304"/>
      <c r="S103" s="299"/>
      <c r="T103" s="299"/>
      <c r="U103" s="299"/>
      <c r="V103" s="299"/>
      <c r="W103" s="299"/>
      <c r="X103" s="299"/>
      <c r="Y103" s="299"/>
      <c r="Z103" s="299"/>
      <c r="AA103" s="299"/>
      <c r="AB103" s="305">
        <f>'Table Format Calculations'!O122</f>
        <v>6328958.4800000982</v>
      </c>
      <c r="AC103" s="304"/>
      <c r="AD103" s="304"/>
      <c r="AE103" s="304"/>
      <c r="AF103" s="304"/>
      <c r="AG103" s="304"/>
      <c r="AH103" s="304"/>
      <c r="AI103" s="304"/>
      <c r="AJ103" s="304"/>
      <c r="AK103" s="289"/>
      <c r="AL103" s="290"/>
      <c r="AM103" s="290"/>
      <c r="AN103" s="290"/>
      <c r="AO103" s="290"/>
      <c r="AP103" s="290"/>
      <c r="AQ103" s="290"/>
      <c r="AR103" s="290"/>
      <c r="AS103" s="290"/>
      <c r="AT103" s="290"/>
      <c r="AU103" s="290"/>
      <c r="AV103" s="290"/>
      <c r="AW103" s="290"/>
      <c r="AX103" s="290"/>
      <c r="AY103" s="290"/>
      <c r="AZ103" s="290"/>
      <c r="BA103" s="290"/>
      <c r="BB103" s="290"/>
      <c r="BC103" s="290"/>
      <c r="BD103" s="290"/>
      <c r="BE103" s="290"/>
      <c r="BF103" s="290"/>
      <c r="BG103" s="290"/>
      <c r="BH103" s="290"/>
      <c r="BI103" s="290"/>
      <c r="BJ103" s="290"/>
      <c r="BK103" s="290"/>
      <c r="BL103" s="290"/>
      <c r="BM103" s="290"/>
      <c r="BN103" s="290"/>
      <c r="BO103" s="290"/>
      <c r="BP103" s="352"/>
    </row>
    <row r="104" spans="6:68" x14ac:dyDescent="0.25">
      <c r="F104" s="478"/>
      <c r="G104" s="345" t="s">
        <v>211</v>
      </c>
      <c r="H104" s="104">
        <f>'Table Format Calculations'!L118</f>
        <v>731420.4</v>
      </c>
      <c r="I104" s="299"/>
      <c r="J104" s="299"/>
      <c r="K104" s="299"/>
      <c r="L104" s="299"/>
      <c r="M104" s="299"/>
      <c r="N104" s="299"/>
      <c r="O104" s="299"/>
      <c r="P104" s="299"/>
      <c r="Q104" s="299"/>
      <c r="R104" s="304"/>
      <c r="S104" s="299"/>
      <c r="T104" s="299"/>
      <c r="U104" s="299"/>
      <c r="V104" s="299"/>
      <c r="W104" s="299"/>
      <c r="X104" s="299"/>
      <c r="Y104" s="299"/>
      <c r="Z104" s="299"/>
      <c r="AA104" s="299"/>
      <c r="AB104" s="305">
        <f>'Table Format Calculations'!O118</f>
        <v>731420.4</v>
      </c>
      <c r="AC104" s="304"/>
      <c r="AD104" s="304"/>
      <c r="AE104" s="304"/>
      <c r="AF104" s="304"/>
      <c r="AG104" s="304"/>
      <c r="AH104" s="304"/>
      <c r="AI104" s="304"/>
      <c r="AJ104" s="304"/>
      <c r="AK104" s="289"/>
      <c r="AL104" s="290"/>
      <c r="AM104" s="290"/>
      <c r="AN104" s="290"/>
      <c r="AO104" s="290"/>
      <c r="AP104" s="290"/>
      <c r="AQ104" s="290"/>
      <c r="AR104" s="290"/>
      <c r="AS104" s="290"/>
      <c r="AT104" s="290"/>
      <c r="AU104" s="290"/>
      <c r="AV104" s="290"/>
      <c r="AW104" s="290"/>
      <c r="AX104" s="290"/>
      <c r="AY104" s="290"/>
      <c r="AZ104" s="290"/>
      <c r="BA104" s="290"/>
      <c r="BB104" s="290"/>
      <c r="BC104" s="290"/>
      <c r="BD104" s="290"/>
      <c r="BE104" s="290"/>
      <c r="BF104" s="290"/>
      <c r="BG104" s="290"/>
      <c r="BH104" s="290"/>
      <c r="BI104" s="290"/>
      <c r="BJ104" s="290"/>
      <c r="BK104" s="290"/>
      <c r="BL104" s="290"/>
      <c r="BM104" s="290"/>
      <c r="BN104" s="290"/>
      <c r="BO104" s="290"/>
      <c r="BP104" s="352">
        <f>'Table Format Calculations'!Q118</f>
        <v>0</v>
      </c>
    </row>
    <row r="105" spans="6:68" x14ac:dyDescent="0.25">
      <c r="F105" s="478"/>
      <c r="G105" s="345" t="s">
        <v>110</v>
      </c>
      <c r="H105" s="104">
        <f>'Table Format Calculations'!L119</f>
        <v>2367586</v>
      </c>
      <c r="I105" s="299"/>
      <c r="J105" s="299"/>
      <c r="K105" s="299"/>
      <c r="L105" s="299"/>
      <c r="M105" s="299"/>
      <c r="N105" s="299"/>
      <c r="O105" s="299"/>
      <c r="P105" s="299"/>
      <c r="Q105" s="299"/>
      <c r="R105" s="304"/>
      <c r="S105" s="299"/>
      <c r="T105" s="299"/>
      <c r="U105" s="299"/>
      <c r="V105" s="299"/>
      <c r="W105" s="299"/>
      <c r="X105" s="299"/>
      <c r="Y105" s="299"/>
      <c r="Z105" s="299"/>
      <c r="AA105" s="299"/>
      <c r="AB105" s="305">
        <f>'Table Format Calculations'!O119</f>
        <v>3828114.8800000981</v>
      </c>
      <c r="AC105" s="304"/>
      <c r="AD105" s="304"/>
      <c r="AE105" s="304"/>
      <c r="AF105" s="304"/>
      <c r="AG105" s="304"/>
      <c r="AH105" s="304"/>
      <c r="AI105" s="304"/>
      <c r="AJ105" s="304"/>
      <c r="AK105" s="289"/>
      <c r="AL105" s="290"/>
      <c r="AM105" s="290"/>
      <c r="AN105" s="290"/>
      <c r="AO105" s="290"/>
      <c r="AP105" s="290"/>
      <c r="AQ105" s="290"/>
      <c r="AR105" s="290"/>
      <c r="AS105" s="290"/>
      <c r="AT105" s="290"/>
      <c r="AU105" s="290"/>
      <c r="AV105" s="290"/>
      <c r="AW105" s="290"/>
      <c r="AX105" s="290"/>
      <c r="AY105" s="290"/>
      <c r="AZ105" s="290"/>
      <c r="BA105" s="290"/>
      <c r="BB105" s="290"/>
      <c r="BC105" s="290"/>
      <c r="BD105" s="290"/>
      <c r="BE105" s="290"/>
      <c r="BF105" s="290"/>
      <c r="BG105" s="290"/>
      <c r="BH105" s="290"/>
      <c r="BI105" s="290"/>
      <c r="BJ105" s="290"/>
      <c r="BK105" s="290"/>
      <c r="BL105" s="290"/>
      <c r="BM105" s="290"/>
      <c r="BN105" s="290"/>
      <c r="BO105" s="290"/>
      <c r="BP105" s="352">
        <f>'Table Format Calculations'!Q119</f>
        <v>42501.647964645468</v>
      </c>
    </row>
    <row r="106" spans="6:68" x14ac:dyDescent="0.25">
      <c r="F106" s="478"/>
      <c r="G106" s="345" t="s">
        <v>212</v>
      </c>
      <c r="H106" s="104">
        <f>'Table Format Calculations'!L120</f>
        <v>969664.3</v>
      </c>
      <c r="I106" s="299"/>
      <c r="J106" s="299"/>
      <c r="K106" s="299"/>
      <c r="L106" s="299"/>
      <c r="M106" s="299"/>
      <c r="N106" s="299"/>
      <c r="O106" s="299"/>
      <c r="P106" s="299"/>
      <c r="Q106" s="299"/>
      <c r="R106" s="304"/>
      <c r="S106" s="299"/>
      <c r="T106" s="299"/>
      <c r="U106" s="299"/>
      <c r="V106" s="299"/>
      <c r="W106" s="299"/>
      <c r="X106" s="299"/>
      <c r="Y106" s="299"/>
      <c r="Z106" s="299"/>
      <c r="AA106" s="299"/>
      <c r="AB106" s="305">
        <f>'Table Format Calculations'!O120</f>
        <v>969664.3</v>
      </c>
      <c r="AC106" s="304"/>
      <c r="AD106" s="304"/>
      <c r="AE106" s="304"/>
      <c r="AF106" s="304"/>
      <c r="AG106" s="304"/>
      <c r="AH106" s="304"/>
      <c r="AI106" s="304"/>
      <c r="AJ106" s="304"/>
      <c r="AK106" s="289"/>
      <c r="AL106" s="290"/>
      <c r="AM106" s="290"/>
      <c r="AN106" s="290"/>
      <c r="AO106" s="290"/>
      <c r="AP106" s="290"/>
      <c r="AQ106" s="290"/>
      <c r="AR106" s="290"/>
      <c r="AS106" s="290"/>
      <c r="AT106" s="290"/>
      <c r="AU106" s="290"/>
      <c r="AV106" s="290"/>
      <c r="AW106" s="290"/>
      <c r="AX106" s="290"/>
      <c r="AY106" s="290"/>
      <c r="AZ106" s="290"/>
      <c r="BA106" s="290"/>
      <c r="BB106" s="290"/>
      <c r="BC106" s="290"/>
      <c r="BD106" s="290"/>
      <c r="BE106" s="290"/>
      <c r="BF106" s="290"/>
      <c r="BG106" s="290"/>
      <c r="BH106" s="290"/>
      <c r="BI106" s="290"/>
      <c r="BJ106" s="290"/>
      <c r="BK106" s="290"/>
      <c r="BL106" s="290"/>
      <c r="BM106" s="290"/>
      <c r="BN106" s="290"/>
      <c r="BO106" s="290"/>
      <c r="BP106" s="352">
        <f>'Table Format Calculations'!Q120</f>
        <v>0</v>
      </c>
    </row>
    <row r="107" spans="6:68" ht="15.75" thickBot="1" x14ac:dyDescent="0.3">
      <c r="F107" s="479"/>
      <c r="G107" s="345" t="s">
        <v>106</v>
      </c>
      <c r="H107" s="104">
        <f>'Table Format Calculations'!L121</f>
        <v>799758.9</v>
      </c>
      <c r="I107" s="299"/>
      <c r="J107" s="299"/>
      <c r="K107" s="299"/>
      <c r="L107" s="299"/>
      <c r="M107" s="299"/>
      <c r="N107" s="299"/>
      <c r="O107" s="299"/>
      <c r="P107" s="299"/>
      <c r="Q107" s="299"/>
      <c r="R107" s="304"/>
      <c r="S107" s="299"/>
      <c r="T107" s="299"/>
      <c r="U107" s="299"/>
      <c r="V107" s="299"/>
      <c r="W107" s="299"/>
      <c r="X107" s="299"/>
      <c r="Y107" s="299"/>
      <c r="Z107" s="299"/>
      <c r="AA107" s="299"/>
      <c r="AB107" s="305">
        <f>'Table Format Calculations'!O121</f>
        <v>799758.9</v>
      </c>
      <c r="AC107" s="304"/>
      <c r="AD107" s="304"/>
      <c r="AE107" s="304"/>
      <c r="AF107" s="304"/>
      <c r="AG107" s="304"/>
      <c r="AH107" s="304"/>
      <c r="AI107" s="304"/>
      <c r="AJ107" s="304"/>
      <c r="AK107" s="289"/>
      <c r="AL107" s="290"/>
      <c r="AM107" s="290"/>
      <c r="AN107" s="290"/>
      <c r="AO107" s="290"/>
      <c r="AP107" s="290"/>
      <c r="AQ107" s="290"/>
      <c r="AR107" s="290"/>
      <c r="AS107" s="290"/>
      <c r="AT107" s="290"/>
      <c r="AU107" s="290"/>
      <c r="AV107" s="290"/>
      <c r="AW107" s="290"/>
      <c r="AX107" s="290"/>
      <c r="AY107" s="290"/>
      <c r="AZ107" s="290"/>
      <c r="BA107" s="290"/>
      <c r="BB107" s="290"/>
      <c r="BC107" s="290"/>
      <c r="BD107" s="290"/>
      <c r="BE107" s="290"/>
      <c r="BF107" s="290"/>
      <c r="BG107" s="290"/>
      <c r="BH107" s="290"/>
      <c r="BI107" s="290"/>
      <c r="BJ107" s="290"/>
      <c r="BK107" s="290"/>
      <c r="BL107" s="290"/>
      <c r="BM107" s="290"/>
      <c r="BN107" s="290"/>
      <c r="BO107" s="290"/>
      <c r="BP107" s="352">
        <f>'Table Format Calculations'!Q121</f>
        <v>0</v>
      </c>
    </row>
    <row r="108" spans="6:68" ht="15.75" thickBot="1" x14ac:dyDescent="0.3">
      <c r="F108" s="347" t="s">
        <v>264</v>
      </c>
      <c r="G108" s="349" t="s">
        <v>252</v>
      </c>
      <c r="H108" s="104">
        <f>'Table Format Calculations'!J157</f>
        <v>5652800</v>
      </c>
      <c r="I108" s="299"/>
      <c r="J108" s="299"/>
      <c r="K108" s="299"/>
      <c r="L108" s="299"/>
      <c r="M108" s="299"/>
      <c r="N108" s="299"/>
      <c r="O108" s="299"/>
      <c r="P108" s="299"/>
      <c r="Q108" s="299"/>
      <c r="R108" s="304"/>
      <c r="S108" s="299"/>
      <c r="T108" s="299"/>
      <c r="U108" s="299"/>
      <c r="V108" s="299"/>
      <c r="W108" s="299"/>
      <c r="X108" s="299"/>
      <c r="Y108" s="299"/>
      <c r="Z108" s="299"/>
      <c r="AA108" s="299"/>
      <c r="AB108" s="305">
        <f>'Table Format Calculations'!P157</f>
        <v>5652800</v>
      </c>
      <c r="AC108" s="304"/>
      <c r="AD108" s="304"/>
      <c r="AE108" s="304"/>
      <c r="AF108" s="304"/>
      <c r="AG108" s="304"/>
      <c r="AH108" s="304"/>
      <c r="AI108" s="304"/>
      <c r="AJ108" s="304"/>
      <c r="AK108" s="289"/>
      <c r="AL108" s="290"/>
      <c r="AM108" s="290"/>
      <c r="AN108" s="290"/>
      <c r="AO108" s="290"/>
      <c r="AP108" s="290"/>
      <c r="AQ108" s="290"/>
      <c r="AR108" s="290"/>
      <c r="AS108" s="290"/>
      <c r="AT108" s="290"/>
      <c r="AU108" s="290"/>
      <c r="AV108" s="290"/>
      <c r="AW108" s="290"/>
      <c r="AX108" s="290"/>
      <c r="AY108" s="290"/>
      <c r="AZ108" s="290"/>
      <c r="BA108" s="290"/>
      <c r="BB108" s="290"/>
      <c r="BC108" s="290"/>
      <c r="BD108" s="290"/>
      <c r="BE108" s="290"/>
      <c r="BF108" s="290"/>
      <c r="BG108" s="290"/>
      <c r="BH108" s="290"/>
      <c r="BI108" s="290"/>
      <c r="BJ108" s="290"/>
      <c r="BK108" s="290"/>
      <c r="BL108" s="290"/>
      <c r="BM108" s="290"/>
      <c r="BN108" s="290"/>
      <c r="BO108" s="290"/>
      <c r="BP108" s="352">
        <f>'Table Format Calculations'!S157</f>
        <v>0</v>
      </c>
    </row>
    <row r="109" spans="6:68" x14ac:dyDescent="0.25">
      <c r="H109" s="118"/>
      <c r="I109" s="118"/>
      <c r="J109" s="118"/>
      <c r="K109" s="118"/>
      <c r="L109" s="118"/>
      <c r="M109" s="118"/>
      <c r="N109" s="118"/>
      <c r="O109" s="118"/>
      <c r="P109" s="118"/>
      <c r="Q109" s="118"/>
      <c r="R109" s="119"/>
      <c r="S109" s="118"/>
      <c r="T109" s="118"/>
      <c r="U109" s="118"/>
      <c r="V109" s="118"/>
      <c r="W109" s="118"/>
      <c r="X109" s="118"/>
      <c r="Y109" s="118"/>
      <c r="Z109" s="118"/>
      <c r="AA109" s="118"/>
      <c r="AB109" s="119"/>
      <c r="AC109" s="119"/>
      <c r="AD109" s="119"/>
      <c r="AE109" s="119"/>
      <c r="AF109" s="119"/>
      <c r="AG109" s="119"/>
      <c r="AH109" s="119"/>
      <c r="AI109" s="119"/>
      <c r="AJ109" s="119"/>
      <c r="AK109" s="120"/>
      <c r="AL109" s="72"/>
      <c r="AM109" s="72"/>
      <c r="AN109" s="72"/>
      <c r="AO109" s="72"/>
      <c r="AP109" s="72"/>
      <c r="AQ109" s="72"/>
      <c r="AR109" s="72"/>
      <c r="AS109" s="72"/>
      <c r="AT109" s="72"/>
      <c r="AU109" s="72"/>
      <c r="AV109" s="72"/>
      <c r="AW109" s="72"/>
      <c r="AX109" s="72"/>
      <c r="AY109" s="72"/>
      <c r="AZ109" s="72"/>
      <c r="BA109" s="72"/>
      <c r="BB109" s="72"/>
      <c r="BC109" s="72"/>
      <c r="BD109" s="72"/>
      <c r="BE109" s="72"/>
      <c r="BF109" s="72"/>
      <c r="BG109" s="72"/>
      <c r="BH109" s="72"/>
      <c r="BI109" s="72"/>
      <c r="BJ109" s="72"/>
      <c r="BK109" s="72"/>
      <c r="BL109" s="72"/>
      <c r="BM109" s="72"/>
      <c r="BN109" s="72"/>
      <c r="BO109" s="72"/>
      <c r="BP109" s="90"/>
    </row>
    <row r="110" spans="6:68" x14ac:dyDescent="0.25">
      <c r="G110" s="117"/>
      <c r="H110" s="118"/>
      <c r="I110" s="118"/>
      <c r="J110" s="118"/>
      <c r="K110" s="118"/>
      <c r="L110" s="118"/>
      <c r="M110" s="118"/>
      <c r="N110" s="118"/>
      <c r="O110" s="118"/>
      <c r="P110" s="118"/>
      <c r="Q110" s="118"/>
      <c r="R110" s="119"/>
      <c r="S110" s="118"/>
      <c r="T110" s="118"/>
      <c r="U110" s="118"/>
      <c r="V110" s="118"/>
      <c r="W110" s="118"/>
      <c r="X110" s="118"/>
      <c r="Y110" s="118"/>
      <c r="Z110" s="118"/>
      <c r="AA110" s="118"/>
      <c r="AB110" s="119"/>
      <c r="AC110" s="119"/>
      <c r="AD110" s="119"/>
      <c r="AE110" s="119"/>
      <c r="AF110" s="119"/>
      <c r="AG110" s="119"/>
      <c r="AH110" s="119"/>
      <c r="AI110" s="119"/>
      <c r="AJ110" s="119"/>
      <c r="AK110" s="120"/>
      <c r="AL110" s="72"/>
      <c r="AM110" s="72"/>
      <c r="AN110" s="72"/>
      <c r="AO110" s="72"/>
      <c r="AP110" s="72"/>
      <c r="AQ110" s="72"/>
      <c r="AR110" s="72"/>
      <c r="AS110" s="72"/>
      <c r="AT110" s="72"/>
      <c r="AU110" s="72"/>
      <c r="AV110" s="72"/>
      <c r="AW110" s="72"/>
      <c r="AX110" s="72"/>
      <c r="AY110" s="72"/>
      <c r="AZ110" s="72"/>
      <c r="BA110" s="72"/>
      <c r="BB110" s="72"/>
      <c r="BC110" s="72"/>
      <c r="BD110" s="72"/>
      <c r="BE110" s="72"/>
      <c r="BF110" s="72"/>
      <c r="BG110" s="72"/>
      <c r="BH110" s="72"/>
      <c r="BI110" s="72"/>
      <c r="BJ110" s="72"/>
      <c r="BK110" s="72"/>
      <c r="BL110" s="72"/>
      <c r="BM110" s="72"/>
      <c r="BN110" s="72"/>
      <c r="BO110" s="72"/>
      <c r="BP110" s="90"/>
    </row>
    <row r="111" spans="6:68" ht="15.75" thickBot="1" x14ac:dyDescent="0.3">
      <c r="G111" s="117"/>
      <c r="H111" s="118"/>
      <c r="I111" s="118"/>
      <c r="J111" s="118"/>
      <c r="K111" s="118"/>
      <c r="L111" s="118"/>
      <c r="M111" s="118"/>
      <c r="N111" s="118"/>
      <c r="O111" s="118"/>
      <c r="P111" s="118"/>
      <c r="Q111" s="118"/>
      <c r="R111" s="119"/>
      <c r="S111" s="118"/>
      <c r="T111" s="118"/>
      <c r="U111" s="118"/>
      <c r="V111" s="118"/>
      <c r="W111" s="118"/>
      <c r="X111" s="118"/>
      <c r="Y111" s="118"/>
      <c r="Z111" s="118"/>
      <c r="AA111" s="118"/>
      <c r="AB111" s="119"/>
      <c r="AC111" s="119"/>
      <c r="AD111" s="119"/>
      <c r="AE111" s="119"/>
      <c r="AF111" s="119"/>
      <c r="AG111" s="119"/>
      <c r="AH111" s="119"/>
      <c r="AI111" s="119"/>
      <c r="AJ111" s="119"/>
      <c r="AK111" s="120"/>
      <c r="AL111" s="72"/>
      <c r="AM111" s="72"/>
      <c r="AN111" s="72"/>
      <c r="AO111" s="72"/>
      <c r="AP111" s="72"/>
      <c r="AQ111" s="72"/>
      <c r="AR111" s="72"/>
      <c r="AS111" s="72"/>
      <c r="AT111" s="72"/>
      <c r="AU111" s="72"/>
      <c r="AV111" s="72"/>
      <c r="AW111" s="72"/>
      <c r="AX111" s="72"/>
      <c r="AY111" s="72"/>
      <c r="AZ111" s="72"/>
      <c r="BA111" s="72"/>
      <c r="BB111" s="72"/>
      <c r="BC111" s="72"/>
      <c r="BD111" s="72"/>
      <c r="BE111" s="72"/>
      <c r="BF111" s="72"/>
      <c r="BG111" s="72"/>
      <c r="BH111" s="72"/>
      <c r="BI111" s="72"/>
      <c r="BJ111" s="72"/>
      <c r="BK111" s="72"/>
      <c r="BL111" s="72"/>
      <c r="BM111" s="72"/>
      <c r="BN111" s="72"/>
      <c r="BO111" s="72"/>
      <c r="BP111" s="90"/>
    </row>
    <row r="112" spans="6:68" x14ac:dyDescent="0.25">
      <c r="F112" s="493" t="s">
        <v>123</v>
      </c>
      <c r="G112" s="494"/>
      <c r="H112" s="494"/>
      <c r="I112" s="494"/>
      <c r="J112" s="494"/>
      <c r="K112" s="494"/>
      <c r="L112" s="494"/>
      <c r="M112" s="494"/>
      <c r="N112" s="494"/>
      <c r="O112" s="494"/>
      <c r="P112" s="494"/>
      <c r="Q112" s="494"/>
      <c r="R112" s="494"/>
      <c r="S112" s="494"/>
      <c r="T112" s="494"/>
      <c r="U112" s="494"/>
      <c r="V112" s="494"/>
      <c r="W112" s="494"/>
      <c r="X112" s="494"/>
      <c r="Y112" s="494"/>
      <c r="Z112" s="494"/>
      <c r="AA112" s="494"/>
      <c r="AB112" s="494"/>
      <c r="AC112" s="494"/>
      <c r="AD112" s="494"/>
      <c r="AE112" s="494"/>
      <c r="AF112" s="494"/>
      <c r="AG112" s="494"/>
      <c r="AH112" s="494"/>
      <c r="AI112" s="494"/>
      <c r="AJ112" s="494"/>
      <c r="AK112" s="494"/>
      <c r="AL112" s="494"/>
      <c r="AM112" s="494"/>
      <c r="AN112" s="494"/>
      <c r="AO112" s="494"/>
      <c r="AP112" s="494"/>
      <c r="AQ112" s="494"/>
      <c r="AR112" s="494"/>
      <c r="AS112" s="494"/>
      <c r="AT112" s="494"/>
      <c r="AU112" s="494"/>
      <c r="AV112" s="494"/>
      <c r="AW112" s="494"/>
      <c r="AX112" s="494"/>
      <c r="AY112" s="494"/>
      <c r="AZ112" s="494"/>
      <c r="BA112" s="494"/>
      <c r="BB112" s="494"/>
      <c r="BC112" s="494"/>
      <c r="BD112" s="494"/>
      <c r="BE112" s="494"/>
      <c r="BF112" s="494"/>
      <c r="BG112" s="494"/>
      <c r="BH112" s="494"/>
      <c r="BI112" s="494"/>
      <c r="BJ112" s="494"/>
      <c r="BK112" s="494"/>
      <c r="BL112" s="494"/>
      <c r="BM112" s="494"/>
      <c r="BN112" s="494"/>
      <c r="BO112" s="495"/>
      <c r="BP112" s="514" t="s">
        <v>269</v>
      </c>
    </row>
    <row r="113" spans="6:68" x14ac:dyDescent="0.25">
      <c r="F113" s="496"/>
      <c r="G113" s="497"/>
      <c r="H113" s="497"/>
      <c r="I113" s="497"/>
      <c r="J113" s="497"/>
      <c r="K113" s="497"/>
      <c r="L113" s="497"/>
      <c r="M113" s="497"/>
      <c r="N113" s="497"/>
      <c r="O113" s="497"/>
      <c r="P113" s="497"/>
      <c r="Q113" s="497"/>
      <c r="R113" s="497"/>
      <c r="S113" s="497"/>
      <c r="T113" s="497"/>
      <c r="U113" s="497"/>
      <c r="V113" s="497"/>
      <c r="W113" s="497"/>
      <c r="X113" s="497"/>
      <c r="Y113" s="497"/>
      <c r="Z113" s="497"/>
      <c r="AA113" s="497"/>
      <c r="AB113" s="497"/>
      <c r="AC113" s="497"/>
      <c r="AD113" s="497"/>
      <c r="AE113" s="497"/>
      <c r="AF113" s="497"/>
      <c r="AG113" s="497"/>
      <c r="AH113" s="497"/>
      <c r="AI113" s="497"/>
      <c r="AJ113" s="497"/>
      <c r="AK113" s="497"/>
      <c r="AL113" s="497"/>
      <c r="AM113" s="497"/>
      <c r="AN113" s="497"/>
      <c r="AO113" s="497"/>
      <c r="AP113" s="497"/>
      <c r="AQ113" s="497"/>
      <c r="AR113" s="497"/>
      <c r="AS113" s="497"/>
      <c r="AT113" s="497"/>
      <c r="AU113" s="497"/>
      <c r="AV113" s="497"/>
      <c r="AW113" s="497"/>
      <c r="AX113" s="497"/>
      <c r="AY113" s="497"/>
      <c r="AZ113" s="497"/>
      <c r="BA113" s="497"/>
      <c r="BB113" s="497"/>
      <c r="BC113" s="497"/>
      <c r="BD113" s="497"/>
      <c r="BE113" s="497"/>
      <c r="BF113" s="497"/>
      <c r="BG113" s="497"/>
      <c r="BH113" s="497"/>
      <c r="BI113" s="497"/>
      <c r="BJ113" s="497"/>
      <c r="BK113" s="497"/>
      <c r="BL113" s="497"/>
      <c r="BM113" s="497"/>
      <c r="BN113" s="497"/>
      <c r="BO113" s="498"/>
      <c r="BP113" s="515"/>
    </row>
    <row r="114" spans="6:68" ht="15.75" thickBot="1" x14ac:dyDescent="0.3">
      <c r="F114" s="499"/>
      <c r="G114" s="500"/>
      <c r="H114" s="500"/>
      <c r="I114" s="500"/>
      <c r="J114" s="500"/>
      <c r="K114" s="500"/>
      <c r="L114" s="500"/>
      <c r="M114" s="500"/>
      <c r="N114" s="500"/>
      <c r="O114" s="500"/>
      <c r="P114" s="500"/>
      <c r="Q114" s="500"/>
      <c r="R114" s="500"/>
      <c r="S114" s="500"/>
      <c r="T114" s="500"/>
      <c r="U114" s="500"/>
      <c r="V114" s="500"/>
      <c r="W114" s="500"/>
      <c r="X114" s="500"/>
      <c r="Y114" s="500"/>
      <c r="Z114" s="500"/>
      <c r="AA114" s="500"/>
      <c r="AB114" s="500"/>
      <c r="AC114" s="500"/>
      <c r="AD114" s="500"/>
      <c r="AE114" s="500"/>
      <c r="AF114" s="500"/>
      <c r="AG114" s="500"/>
      <c r="AH114" s="500"/>
      <c r="AI114" s="500"/>
      <c r="AJ114" s="500"/>
      <c r="AK114" s="500"/>
      <c r="AL114" s="500"/>
      <c r="AM114" s="500"/>
      <c r="AN114" s="500"/>
      <c r="AO114" s="500"/>
      <c r="AP114" s="500"/>
      <c r="AQ114" s="500"/>
      <c r="AR114" s="500"/>
      <c r="AS114" s="500"/>
      <c r="AT114" s="500"/>
      <c r="AU114" s="500"/>
      <c r="AV114" s="500"/>
      <c r="AW114" s="500"/>
      <c r="AX114" s="500"/>
      <c r="AY114" s="500"/>
      <c r="AZ114" s="500"/>
      <c r="BA114" s="500"/>
      <c r="BB114" s="500"/>
      <c r="BC114" s="500"/>
      <c r="BD114" s="500"/>
      <c r="BE114" s="500"/>
      <c r="BF114" s="500"/>
      <c r="BG114" s="500"/>
      <c r="BH114" s="500"/>
      <c r="BI114" s="500"/>
      <c r="BJ114" s="500"/>
      <c r="BK114" s="500"/>
      <c r="BL114" s="500"/>
      <c r="BM114" s="500"/>
      <c r="BN114" s="500"/>
      <c r="BO114" s="501"/>
      <c r="BP114" s="515"/>
    </row>
    <row r="115" spans="6:68" x14ac:dyDescent="0.25">
      <c r="F115" s="95" t="s">
        <v>115</v>
      </c>
      <c r="G115" s="96" t="s">
        <v>117</v>
      </c>
      <c r="H115" s="306"/>
      <c r="I115" s="306"/>
      <c r="J115" s="107">
        <f>'Table Format Calculations'!K21</f>
        <v>29.479149059948661</v>
      </c>
      <c r="K115" s="107">
        <f>'Table Format Calculations'!L21</f>
        <v>29.542317471848889</v>
      </c>
      <c r="L115" s="306"/>
      <c r="M115" s="306"/>
      <c r="N115" s="306"/>
      <c r="O115" s="306"/>
      <c r="P115" s="306"/>
      <c r="Q115" s="306"/>
      <c r="R115" s="306"/>
      <c r="S115" s="306"/>
      <c r="T115" s="306"/>
      <c r="U115" s="107">
        <f>'Table Format Calculations'!V21</f>
        <v>12.524858109043448</v>
      </c>
      <c r="V115" s="306"/>
      <c r="W115" s="306"/>
      <c r="X115" s="107">
        <f>'Table Format Calculations'!Y21</f>
        <v>14.302068492427839</v>
      </c>
      <c r="Y115" s="107">
        <f>'Table Format Calculations'!Z21</f>
        <v>14.132208560096787</v>
      </c>
      <c r="Z115" s="107">
        <f>'Table Format Calculations'!AA21</f>
        <v>10.486109047737465</v>
      </c>
      <c r="AA115" s="107">
        <f>'Table Format Calculations'!AB21</f>
        <v>10.029355963188261</v>
      </c>
      <c r="AB115" s="294"/>
      <c r="AC115" s="294"/>
      <c r="AD115" s="106">
        <f>'Table Format Calculations'!CM21</f>
        <v>29.479149059948661</v>
      </c>
      <c r="AE115" s="106">
        <f>'Table Format Calculations'!CN21</f>
        <v>29.542317471848889</v>
      </c>
      <c r="AF115" s="294"/>
      <c r="AG115" s="294"/>
      <c r="AH115" s="294"/>
      <c r="AI115" s="294"/>
      <c r="AJ115" s="294"/>
      <c r="AK115" s="294"/>
      <c r="AL115" s="294"/>
      <c r="AM115" s="294"/>
      <c r="AN115" s="294"/>
      <c r="AO115" s="106">
        <f>'Table Format Calculations'!CX21</f>
        <v>12.524858109043448</v>
      </c>
      <c r="AP115" s="294"/>
      <c r="AQ115" s="294"/>
      <c r="AR115" s="106">
        <f>'Table Format Calculations'!DA21</f>
        <v>14.302068492427839</v>
      </c>
      <c r="AS115" s="106">
        <f>'Table Format Calculations'!DB21</f>
        <v>14.132208560096787</v>
      </c>
      <c r="AT115" s="106">
        <f>'Table Format Calculations'!DC21</f>
        <v>10.486109047737465</v>
      </c>
      <c r="AU115" s="106">
        <f>'Table Format Calculations'!DD21</f>
        <v>10.029355963188261</v>
      </c>
      <c r="AV115" s="116">
        <f>'Table Format Calculations'!ES21</f>
        <v>0</v>
      </c>
      <c r="AW115" s="116">
        <f>'Table Format Calculations'!ET21</f>
        <v>0</v>
      </c>
      <c r="AX115" s="116">
        <f>'Table Format Calculations'!EU21</f>
        <v>0</v>
      </c>
      <c r="AY115" s="116">
        <f>'Table Format Calculations'!EV21</f>
        <v>0</v>
      </c>
      <c r="AZ115" s="116">
        <f>'Table Format Calculations'!EW21</f>
        <v>0</v>
      </c>
      <c r="BA115" s="116">
        <f>'Table Format Calculations'!EX21</f>
        <v>0</v>
      </c>
      <c r="BB115" s="116">
        <f>'Table Format Calculations'!EY21</f>
        <v>0</v>
      </c>
      <c r="BC115" s="116">
        <f>'Table Format Calculations'!EZ21</f>
        <v>0</v>
      </c>
      <c r="BD115" s="116">
        <f>'Table Format Calculations'!FA21</f>
        <v>0</v>
      </c>
      <c r="BE115" s="116">
        <f>'Table Format Calculations'!FB21</f>
        <v>0</v>
      </c>
      <c r="BF115" s="116">
        <f>'Table Format Calculations'!FC21</f>
        <v>0</v>
      </c>
      <c r="BG115" s="116">
        <f>'Table Format Calculations'!FD21</f>
        <v>0</v>
      </c>
      <c r="BH115" s="116">
        <f>'Table Format Calculations'!FE21</f>
        <v>0</v>
      </c>
      <c r="BI115" s="116">
        <f>'Table Format Calculations'!FF21</f>
        <v>0</v>
      </c>
      <c r="BJ115" s="116">
        <f>'Table Format Calculations'!FG21</f>
        <v>0</v>
      </c>
      <c r="BK115" s="116">
        <f>'Table Format Calculations'!FH21</f>
        <v>0</v>
      </c>
      <c r="BL115" s="116">
        <f>'Table Format Calculations'!FI21</f>
        <v>0</v>
      </c>
      <c r="BM115" s="116">
        <f>'Table Format Calculations'!FJ21</f>
        <v>0</v>
      </c>
      <c r="BN115" s="116">
        <f>'Table Format Calculations'!FK21</f>
        <v>0</v>
      </c>
      <c r="BO115" s="116">
        <f>'Table Format Calculations'!FL21</f>
        <v>0</v>
      </c>
      <c r="BP115" s="353">
        <f>SUM(AV115:BO115)</f>
        <v>0</v>
      </c>
    </row>
    <row r="116" spans="6:68" x14ac:dyDescent="0.25">
      <c r="F116" s="85" t="s">
        <v>85</v>
      </c>
      <c r="G116" s="55" t="s">
        <v>117</v>
      </c>
      <c r="H116" s="307"/>
      <c r="I116" s="307"/>
      <c r="J116" s="94">
        <f>'Table Format Calculations_Blue'!K24</f>
        <v>12</v>
      </c>
      <c r="K116" s="94">
        <f>'Table Format Calculations_Blue'!L24</f>
        <v>0</v>
      </c>
      <c r="L116" s="307"/>
      <c r="M116" s="307"/>
      <c r="N116" s="307"/>
      <c r="O116" s="307"/>
      <c r="P116" s="307"/>
      <c r="Q116" s="307"/>
      <c r="R116" s="307"/>
      <c r="S116" s="307"/>
      <c r="T116" s="307"/>
      <c r="U116" s="94">
        <f>'Table Format Calculations_Blue'!V24</f>
        <v>3</v>
      </c>
      <c r="V116" s="307"/>
      <c r="W116" s="307"/>
      <c r="X116" s="94">
        <f>'Table Format Calculations_Blue'!Y24</f>
        <v>1</v>
      </c>
      <c r="Y116" s="94">
        <f>'Table Format Calculations_Blue'!Z24</f>
        <v>21</v>
      </c>
      <c r="Z116" s="94">
        <f>'Table Format Calculations_Blue'!AA24</f>
        <v>22</v>
      </c>
      <c r="AA116" s="94">
        <f>'Table Format Calculations_Blue'!AB24</f>
        <v>5</v>
      </c>
      <c r="AB116" s="289"/>
      <c r="AC116" s="289"/>
      <c r="AD116" s="91">
        <f>'Table Format Calculations_Blue'!CM24</f>
        <v>15.36</v>
      </c>
      <c r="AE116" s="91">
        <f>'Table Format Calculations_Blue'!CN24</f>
        <v>0</v>
      </c>
      <c r="AF116" s="289"/>
      <c r="AG116" s="289"/>
      <c r="AH116" s="289"/>
      <c r="AI116" s="289"/>
      <c r="AJ116" s="289"/>
      <c r="AK116" s="289"/>
      <c r="AL116" s="289"/>
      <c r="AM116" s="289"/>
      <c r="AN116" s="289"/>
      <c r="AO116" s="91">
        <f>'Table Format Calculations_Blue'!CX24</f>
        <v>3</v>
      </c>
      <c r="AP116" s="289"/>
      <c r="AQ116" s="289"/>
      <c r="AR116" s="91">
        <f>'Table Format Calculations_Blue'!DA24</f>
        <v>1.28</v>
      </c>
      <c r="AS116" s="91">
        <f>'Table Format Calculations_Blue'!DB24</f>
        <v>26.88</v>
      </c>
      <c r="AT116" s="91">
        <f>'Table Format Calculations_Blue'!DC24</f>
        <v>28.16</v>
      </c>
      <c r="AU116" s="91">
        <f>'Table Format Calculations_Blue'!DD24</f>
        <v>6.4</v>
      </c>
      <c r="AV116" s="20">
        <f>'Table Format Calculations_Blue'!ES24</f>
        <v>0</v>
      </c>
      <c r="AW116" s="20">
        <f>'Table Format Calculations_Blue'!ET24</f>
        <v>0</v>
      </c>
      <c r="AX116" s="20">
        <f>'Table Format Calculations_Blue'!EU24</f>
        <v>342287.03363107354</v>
      </c>
      <c r="AY116" s="20">
        <f>'Table Format Calculations_Blue'!EV24</f>
        <v>0</v>
      </c>
      <c r="AZ116" s="20">
        <f>'Table Format Calculations_Blue'!EW24</f>
        <v>0</v>
      </c>
      <c r="BA116" s="20">
        <f>'Table Format Calculations_Blue'!EX24</f>
        <v>0</v>
      </c>
      <c r="BB116" s="20">
        <f>'Table Format Calculations_Blue'!EY24</f>
        <v>0</v>
      </c>
      <c r="BC116" s="20">
        <f>'Table Format Calculations_Blue'!EZ24</f>
        <v>0</v>
      </c>
      <c r="BD116" s="20">
        <f>'Table Format Calculations_Blue'!FA24</f>
        <v>0</v>
      </c>
      <c r="BE116" s="20">
        <f>'Table Format Calculations_Blue'!FB24</f>
        <v>0</v>
      </c>
      <c r="BF116" s="20">
        <f>'Table Format Calculations_Blue'!FC24</f>
        <v>0</v>
      </c>
      <c r="BG116" s="20">
        <f>'Table Format Calculations_Blue'!FD24</f>
        <v>0</v>
      </c>
      <c r="BH116" s="20">
        <f>'Table Format Calculations_Blue'!FE24</f>
        <v>0</v>
      </c>
      <c r="BI116" s="20">
        <f>'Table Format Calculations_Blue'!FF24</f>
        <v>0</v>
      </c>
      <c r="BJ116" s="20">
        <f>'Table Format Calculations_Blue'!FG24</f>
        <v>0</v>
      </c>
      <c r="BK116" s="20">
        <f>'Table Format Calculations_Blue'!FH24</f>
        <v>0</v>
      </c>
      <c r="BL116" s="20">
        <f>'Table Format Calculations_Blue'!FI24</f>
        <v>55235.607650734317</v>
      </c>
      <c r="BM116" s="20">
        <f>'Table Format Calculations_Blue'!FJ24</f>
        <v>311670.65224344778</v>
      </c>
      <c r="BN116" s="20">
        <f>'Table Format Calculations_Blue'!FK24</f>
        <v>1929133.6596172375</v>
      </c>
      <c r="BO116" s="20">
        <f>'Table Format Calculations_Blue'!FL24</f>
        <v>480388.35959755263</v>
      </c>
      <c r="BP116" s="23">
        <f>SUM(AV116:BO116)</f>
        <v>3118715.3127400456</v>
      </c>
    </row>
    <row r="117" spans="6:68" ht="15.75" thickBot="1" x14ac:dyDescent="0.3">
      <c r="F117" s="87" t="s">
        <v>89</v>
      </c>
      <c r="G117" s="88" t="s">
        <v>117</v>
      </c>
      <c r="H117" s="307"/>
      <c r="I117" s="300"/>
      <c r="J117" s="61">
        <v>0.20780605666360774</v>
      </c>
      <c r="K117" s="61">
        <v>0</v>
      </c>
      <c r="L117" s="299"/>
      <c r="M117" s="299"/>
      <c r="N117" s="299"/>
      <c r="O117" s="299"/>
      <c r="P117" s="299"/>
      <c r="Q117" s="299"/>
      <c r="R117" s="299"/>
      <c r="S117" s="300"/>
      <c r="T117" s="300"/>
      <c r="U117" s="61">
        <v>0</v>
      </c>
      <c r="V117" s="301"/>
      <c r="W117" s="301"/>
      <c r="X117" s="302">
        <v>9.2919953070730778E-3</v>
      </c>
      <c r="Y117" s="302">
        <v>6.9279217535748713E-2</v>
      </c>
      <c r="Z117" s="302">
        <v>0.67222135746396083</v>
      </c>
      <c r="AA117" s="302">
        <v>2.1192049903005099E-2</v>
      </c>
      <c r="AB117" s="301"/>
      <c r="AC117" s="301"/>
      <c r="AD117" s="302">
        <v>0.20780605666360774</v>
      </c>
      <c r="AE117" s="302">
        <v>0</v>
      </c>
      <c r="AF117" s="301"/>
      <c r="AG117" s="301"/>
      <c r="AH117" s="301"/>
      <c r="AI117" s="301"/>
      <c r="AJ117" s="301"/>
      <c r="AK117" s="301"/>
      <c r="AL117" s="301"/>
      <c r="AM117" s="301"/>
      <c r="AN117" s="301"/>
      <c r="AO117" s="302">
        <v>0</v>
      </c>
      <c r="AP117" s="301"/>
      <c r="AQ117" s="301"/>
      <c r="AR117" s="302">
        <v>9.2919953070730778E-3</v>
      </c>
      <c r="AS117" s="302">
        <v>6.9279217535748713E-2</v>
      </c>
      <c r="AT117" s="302">
        <v>0.67222135746396083</v>
      </c>
      <c r="AU117" s="302">
        <v>2.1192049903005099E-2</v>
      </c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3"/>
    </row>
    <row r="118" spans="6:68" ht="15.75" thickBot="1" x14ac:dyDescent="0.3">
      <c r="F118" s="486" t="s">
        <v>90</v>
      </c>
      <c r="G118" s="487"/>
      <c r="H118" s="100">
        <f>'Table Format Calculations_Blue'!H31</f>
        <v>0.16734845875000001</v>
      </c>
      <c r="I118" s="303"/>
      <c r="J118" s="303"/>
      <c r="K118" s="303"/>
      <c r="L118" s="299"/>
      <c r="M118" s="299"/>
      <c r="N118" s="299"/>
      <c r="O118" s="299"/>
      <c r="P118" s="299"/>
      <c r="Q118" s="299"/>
      <c r="R118" s="303"/>
      <c r="S118" s="303"/>
      <c r="T118" s="303"/>
      <c r="U118" s="303"/>
      <c r="V118" s="299"/>
      <c r="W118" s="299"/>
      <c r="X118" s="299"/>
      <c r="Y118" s="299"/>
      <c r="Z118" s="299"/>
      <c r="AA118" s="299"/>
      <c r="AB118" s="63">
        <f>'Table Format Calculations'!Z31</f>
        <v>0.2</v>
      </c>
      <c r="AC118" s="299"/>
      <c r="AD118" s="299"/>
      <c r="AE118" s="299"/>
      <c r="AF118" s="299"/>
      <c r="AG118" s="299"/>
      <c r="AH118" s="299"/>
      <c r="AI118" s="299"/>
      <c r="AJ118" s="299"/>
      <c r="AK118" s="289"/>
      <c r="AL118" s="290"/>
      <c r="AM118" s="290"/>
      <c r="AN118" s="290"/>
      <c r="AO118" s="290"/>
      <c r="AP118" s="290"/>
      <c r="AQ118" s="290"/>
      <c r="AR118" s="290"/>
      <c r="AS118" s="290"/>
      <c r="AT118" s="290"/>
      <c r="AU118" s="290"/>
      <c r="AV118" s="290"/>
      <c r="AW118" s="290"/>
      <c r="AX118" s="290"/>
      <c r="AY118" s="290"/>
      <c r="AZ118" s="290"/>
      <c r="BA118" s="290"/>
      <c r="BB118" s="290"/>
      <c r="BC118" s="290"/>
      <c r="BD118" s="290"/>
      <c r="BE118" s="290"/>
      <c r="BF118" s="290"/>
      <c r="BG118" s="290"/>
      <c r="BH118" s="290"/>
      <c r="BI118" s="290"/>
      <c r="BJ118" s="290"/>
      <c r="BK118" s="290"/>
      <c r="BL118" s="290"/>
      <c r="BM118" s="290"/>
      <c r="BN118" s="290"/>
      <c r="BO118" s="290"/>
      <c r="BP118" s="352">
        <f>'Table Format Calculations'!AB31</f>
        <v>93807.565445468761</v>
      </c>
    </row>
    <row r="119" spans="6:68" x14ac:dyDescent="0.25">
      <c r="F119" s="488" t="s">
        <v>94</v>
      </c>
      <c r="G119" s="89" t="s">
        <v>95</v>
      </c>
      <c r="H119" s="82">
        <f>'Table Format Calculations'!J89</f>
        <v>16660625</v>
      </c>
      <c r="I119" s="299"/>
      <c r="J119" s="299"/>
      <c r="K119" s="299"/>
      <c r="L119" s="299"/>
      <c r="M119" s="299"/>
      <c r="N119" s="299"/>
      <c r="O119" s="299"/>
      <c r="P119" s="299"/>
      <c r="Q119" s="299"/>
      <c r="R119" s="308"/>
      <c r="S119" s="299"/>
      <c r="T119" s="299"/>
      <c r="U119" s="299"/>
      <c r="V119" s="299"/>
      <c r="W119" s="299"/>
      <c r="X119" s="299"/>
      <c r="Y119" s="299"/>
      <c r="Z119" s="299"/>
      <c r="AA119" s="299"/>
      <c r="AB119" s="305">
        <f>'Table Format Calculations'!Q89</f>
        <v>22543575.833333336</v>
      </c>
      <c r="AC119" s="304"/>
      <c r="AD119" s="304"/>
      <c r="AE119" s="304"/>
      <c r="AF119" s="304"/>
      <c r="AG119" s="304"/>
      <c r="AH119" s="304"/>
      <c r="AI119" s="304"/>
      <c r="AJ119" s="304"/>
      <c r="AK119" s="304"/>
      <c r="AL119" s="290"/>
      <c r="AM119" s="290"/>
      <c r="AN119" s="290"/>
      <c r="AO119" s="290"/>
      <c r="AP119" s="290"/>
      <c r="AQ119" s="290"/>
      <c r="AR119" s="290"/>
      <c r="AS119" s="290"/>
      <c r="AT119" s="290"/>
      <c r="AU119" s="290"/>
      <c r="AV119" s="290"/>
      <c r="AW119" s="290"/>
      <c r="AX119" s="290"/>
      <c r="AY119" s="290"/>
      <c r="AZ119" s="290"/>
      <c r="BA119" s="290"/>
      <c r="BB119" s="290"/>
      <c r="BC119" s="290"/>
      <c r="BD119" s="290"/>
      <c r="BE119" s="290"/>
      <c r="BF119" s="290"/>
      <c r="BG119" s="290"/>
      <c r="BH119" s="290"/>
      <c r="BI119" s="290"/>
      <c r="BJ119" s="290"/>
      <c r="BK119" s="290"/>
      <c r="BL119" s="290"/>
      <c r="BM119" s="290"/>
      <c r="BN119" s="290"/>
      <c r="BO119" s="290"/>
      <c r="BP119" s="352"/>
    </row>
    <row r="120" spans="6:68" x14ac:dyDescent="0.25">
      <c r="F120" s="489"/>
      <c r="G120" s="65" t="s">
        <v>96</v>
      </c>
      <c r="H120" s="93">
        <f>'Table Format Calculations'!K89</f>
        <v>1248.56</v>
      </c>
      <c r="I120" s="299"/>
      <c r="J120" s="299"/>
      <c r="K120" s="299"/>
      <c r="L120" s="299"/>
      <c r="M120" s="299"/>
      <c r="N120" s="299"/>
      <c r="O120" s="299"/>
      <c r="P120" s="299"/>
      <c r="Q120" s="299"/>
      <c r="R120" s="304"/>
      <c r="S120" s="299"/>
      <c r="T120" s="299"/>
      <c r="U120" s="299"/>
      <c r="V120" s="299"/>
      <c r="W120" s="299"/>
      <c r="X120" s="299"/>
      <c r="Y120" s="299"/>
      <c r="Z120" s="299"/>
      <c r="AA120" s="299"/>
      <c r="AB120" s="297">
        <f>'Table Format Calculations'!P89</f>
        <v>1800</v>
      </c>
      <c r="AC120" s="304"/>
      <c r="AD120" s="304"/>
      <c r="AE120" s="304"/>
      <c r="AF120" s="304"/>
      <c r="AG120" s="304"/>
      <c r="AH120" s="304"/>
      <c r="AI120" s="304"/>
      <c r="AJ120" s="304"/>
      <c r="AK120" s="289"/>
      <c r="AL120" s="290"/>
      <c r="AM120" s="290"/>
      <c r="AN120" s="290"/>
      <c r="AO120" s="290"/>
      <c r="AP120" s="290"/>
      <c r="AQ120" s="290"/>
      <c r="AR120" s="290"/>
      <c r="AS120" s="290"/>
      <c r="AT120" s="290"/>
      <c r="AU120" s="290"/>
      <c r="AV120" s="290"/>
      <c r="AW120" s="290"/>
      <c r="AX120" s="290"/>
      <c r="AY120" s="290"/>
      <c r="AZ120" s="290"/>
      <c r="BA120" s="290"/>
      <c r="BB120" s="290"/>
      <c r="BC120" s="290"/>
      <c r="BD120" s="290"/>
      <c r="BE120" s="290"/>
      <c r="BF120" s="290"/>
      <c r="BG120" s="290"/>
      <c r="BH120" s="290"/>
      <c r="BI120" s="290"/>
      <c r="BJ120" s="290"/>
      <c r="BK120" s="290"/>
      <c r="BL120" s="290"/>
      <c r="BM120" s="290"/>
      <c r="BN120" s="290"/>
      <c r="BO120" s="290"/>
      <c r="BP120" s="352"/>
    </row>
    <row r="121" spans="6:68" x14ac:dyDescent="0.25">
      <c r="F121" s="489"/>
      <c r="G121" s="71" t="s">
        <v>97</v>
      </c>
      <c r="H121" s="93">
        <f>'Table Format Calculations'!K83</f>
        <v>453</v>
      </c>
      <c r="I121" s="299"/>
      <c r="J121" s="299"/>
      <c r="K121" s="299"/>
      <c r="L121" s="299"/>
      <c r="M121" s="299"/>
      <c r="N121" s="299"/>
      <c r="O121" s="299"/>
      <c r="P121" s="299"/>
      <c r="Q121" s="299"/>
      <c r="R121" s="304"/>
      <c r="S121" s="299"/>
      <c r="T121" s="299"/>
      <c r="U121" s="299"/>
      <c r="V121" s="299"/>
      <c r="W121" s="299"/>
      <c r="X121" s="299"/>
      <c r="Y121" s="299"/>
      <c r="Z121" s="299"/>
      <c r="AA121" s="299"/>
      <c r="AB121" s="297">
        <f>'Table Format Calculations'!P83</f>
        <v>407.7</v>
      </c>
      <c r="AC121" s="304"/>
      <c r="AD121" s="304"/>
      <c r="AE121" s="304"/>
      <c r="AF121" s="304"/>
      <c r="AG121" s="304"/>
      <c r="AH121" s="304"/>
      <c r="AI121" s="304"/>
      <c r="AJ121" s="304"/>
      <c r="AK121" s="289"/>
      <c r="AL121" s="290"/>
      <c r="AM121" s="290"/>
      <c r="AN121" s="290"/>
      <c r="AO121" s="290"/>
      <c r="AP121" s="290"/>
      <c r="AQ121" s="290"/>
      <c r="AR121" s="290"/>
      <c r="AS121" s="290"/>
      <c r="AT121" s="290"/>
      <c r="AU121" s="290"/>
      <c r="AV121" s="290"/>
      <c r="AW121" s="290"/>
      <c r="AX121" s="290"/>
      <c r="AY121" s="290"/>
      <c r="AZ121" s="290"/>
      <c r="BA121" s="290"/>
      <c r="BB121" s="290"/>
      <c r="BC121" s="290"/>
      <c r="BD121" s="290"/>
      <c r="BE121" s="290"/>
      <c r="BF121" s="290"/>
      <c r="BG121" s="290"/>
      <c r="BH121" s="290"/>
      <c r="BI121" s="290"/>
      <c r="BJ121" s="290"/>
      <c r="BK121" s="290"/>
      <c r="BL121" s="290"/>
      <c r="BM121" s="290"/>
      <c r="BN121" s="290"/>
      <c r="BO121" s="290"/>
      <c r="BP121" s="352">
        <f>'Table Format Calculations'!T83</f>
        <v>-679.5</v>
      </c>
    </row>
    <row r="122" spans="6:68" x14ac:dyDescent="0.25">
      <c r="F122" s="489"/>
      <c r="G122" s="71" t="s">
        <v>98</v>
      </c>
      <c r="H122" s="93">
        <f>'Table Format Calculations'!K84</f>
        <v>193</v>
      </c>
      <c r="I122" s="299"/>
      <c r="J122" s="299"/>
      <c r="K122" s="299"/>
      <c r="L122" s="299"/>
      <c r="M122" s="299"/>
      <c r="N122" s="299"/>
      <c r="O122" s="299"/>
      <c r="P122" s="299"/>
      <c r="Q122" s="299"/>
      <c r="R122" s="304"/>
      <c r="S122" s="299"/>
      <c r="T122" s="299"/>
      <c r="U122" s="299"/>
      <c r="V122" s="299"/>
      <c r="W122" s="299"/>
      <c r="X122" s="299"/>
      <c r="Y122" s="299"/>
      <c r="Z122" s="299"/>
      <c r="AA122" s="299"/>
      <c r="AB122" s="297">
        <f>'Table Format Calculations'!P84</f>
        <v>173.70000000000002</v>
      </c>
      <c r="AC122" s="304"/>
      <c r="AD122" s="304"/>
      <c r="AE122" s="304"/>
      <c r="AF122" s="304"/>
      <c r="AG122" s="304"/>
      <c r="AH122" s="304"/>
      <c r="AI122" s="304"/>
      <c r="AJ122" s="304"/>
      <c r="AK122" s="289"/>
      <c r="AL122" s="290"/>
      <c r="AM122" s="290"/>
      <c r="AN122" s="290"/>
      <c r="AO122" s="290"/>
      <c r="AP122" s="290"/>
      <c r="AQ122" s="290"/>
      <c r="AR122" s="290"/>
      <c r="AS122" s="290"/>
      <c r="AT122" s="290"/>
      <c r="AU122" s="290"/>
      <c r="AV122" s="290"/>
      <c r="AW122" s="290"/>
      <c r="AX122" s="290"/>
      <c r="AY122" s="290"/>
      <c r="AZ122" s="290"/>
      <c r="BA122" s="290"/>
      <c r="BB122" s="290"/>
      <c r="BC122" s="290"/>
      <c r="BD122" s="290"/>
      <c r="BE122" s="290"/>
      <c r="BF122" s="290"/>
      <c r="BG122" s="290"/>
      <c r="BH122" s="290"/>
      <c r="BI122" s="290"/>
      <c r="BJ122" s="290"/>
      <c r="BK122" s="290"/>
      <c r="BL122" s="290"/>
      <c r="BM122" s="290"/>
      <c r="BN122" s="290"/>
      <c r="BO122" s="290"/>
      <c r="BP122" s="352">
        <f>'Table Format Calculations'!T84</f>
        <v>-501.79999999999927</v>
      </c>
    </row>
    <row r="123" spans="6:68" x14ac:dyDescent="0.25">
      <c r="F123" s="489"/>
      <c r="G123" s="71" t="s">
        <v>114</v>
      </c>
      <c r="H123" s="93">
        <f>'Table Format Calculations'!K86</f>
        <v>333</v>
      </c>
      <c r="I123" s="299"/>
      <c r="J123" s="299"/>
      <c r="K123" s="299"/>
      <c r="L123" s="299"/>
      <c r="M123" s="299"/>
      <c r="N123" s="299"/>
      <c r="O123" s="299"/>
      <c r="P123" s="299"/>
      <c r="Q123" s="299"/>
      <c r="R123" s="304"/>
      <c r="S123" s="299"/>
      <c r="T123" s="299"/>
      <c r="U123" s="299"/>
      <c r="V123" s="299"/>
      <c r="W123" s="299"/>
      <c r="X123" s="299"/>
      <c r="Y123" s="299"/>
      <c r="Z123" s="299"/>
      <c r="AA123" s="299"/>
      <c r="AB123" s="297">
        <f>'Table Format Calculations'!P86</f>
        <v>299.7</v>
      </c>
      <c r="AC123" s="304"/>
      <c r="AD123" s="304"/>
      <c r="AE123" s="304"/>
      <c r="AF123" s="304"/>
      <c r="AG123" s="304"/>
      <c r="AH123" s="304"/>
      <c r="AI123" s="304"/>
      <c r="AJ123" s="304"/>
      <c r="AK123" s="289"/>
      <c r="AL123" s="290"/>
      <c r="AM123" s="290"/>
      <c r="AN123" s="290"/>
      <c r="AO123" s="290"/>
      <c r="AP123" s="290"/>
      <c r="AQ123" s="290"/>
      <c r="AR123" s="290"/>
      <c r="AS123" s="290"/>
      <c r="AT123" s="290"/>
      <c r="AU123" s="290"/>
      <c r="AV123" s="290"/>
      <c r="AW123" s="290"/>
      <c r="AX123" s="290"/>
      <c r="AY123" s="290"/>
      <c r="AZ123" s="290"/>
      <c r="BA123" s="290"/>
      <c r="BB123" s="290"/>
      <c r="BC123" s="290"/>
      <c r="BD123" s="290"/>
      <c r="BE123" s="290"/>
      <c r="BF123" s="290"/>
      <c r="BG123" s="290"/>
      <c r="BH123" s="290"/>
      <c r="BI123" s="290"/>
      <c r="BJ123" s="290"/>
      <c r="BK123" s="290"/>
      <c r="BL123" s="290"/>
      <c r="BM123" s="290"/>
      <c r="BN123" s="290"/>
      <c r="BO123" s="290"/>
      <c r="BP123" s="352">
        <f>'Table Format Calculations'!T86</f>
        <v>-666</v>
      </c>
    </row>
    <row r="124" spans="6:68" x14ac:dyDescent="0.25">
      <c r="F124" s="489"/>
      <c r="G124" s="71" t="s">
        <v>100</v>
      </c>
      <c r="H124" s="93">
        <f>'Table Format Calculations'!K85</f>
        <v>171</v>
      </c>
      <c r="I124" s="299"/>
      <c r="J124" s="299"/>
      <c r="K124" s="299"/>
      <c r="L124" s="299"/>
      <c r="M124" s="299"/>
      <c r="N124" s="299"/>
      <c r="O124" s="299"/>
      <c r="P124" s="299"/>
      <c r="Q124" s="299"/>
      <c r="R124" s="304"/>
      <c r="S124" s="299"/>
      <c r="T124" s="299"/>
      <c r="U124" s="299"/>
      <c r="V124" s="299"/>
      <c r="W124" s="299"/>
      <c r="X124" s="299"/>
      <c r="Y124" s="299"/>
      <c r="Z124" s="299"/>
      <c r="AA124" s="299"/>
      <c r="AB124" s="297">
        <f>'Table Format Calculations'!P85</f>
        <v>153.9</v>
      </c>
      <c r="AC124" s="304"/>
      <c r="AD124" s="304"/>
      <c r="AE124" s="304"/>
      <c r="AF124" s="304"/>
      <c r="AG124" s="304"/>
      <c r="AH124" s="304"/>
      <c r="AI124" s="304"/>
      <c r="AJ124" s="304"/>
      <c r="AK124" s="289"/>
      <c r="AL124" s="290"/>
      <c r="AM124" s="290"/>
      <c r="AN124" s="290"/>
      <c r="AO124" s="290"/>
      <c r="AP124" s="290"/>
      <c r="AQ124" s="290"/>
      <c r="AR124" s="290"/>
      <c r="AS124" s="290"/>
      <c r="AT124" s="290"/>
      <c r="AU124" s="290"/>
      <c r="AV124" s="290"/>
      <c r="AW124" s="290"/>
      <c r="AX124" s="290"/>
      <c r="AY124" s="290"/>
      <c r="AZ124" s="290"/>
      <c r="BA124" s="290"/>
      <c r="BB124" s="290"/>
      <c r="BC124" s="290"/>
      <c r="BD124" s="290"/>
      <c r="BE124" s="290"/>
      <c r="BF124" s="290"/>
      <c r="BG124" s="290"/>
      <c r="BH124" s="290"/>
      <c r="BI124" s="290"/>
      <c r="BJ124" s="290"/>
      <c r="BK124" s="290"/>
      <c r="BL124" s="290"/>
      <c r="BM124" s="290"/>
      <c r="BN124" s="290"/>
      <c r="BO124" s="290"/>
      <c r="BP124" s="352">
        <f>'Table Format Calculations'!T85</f>
        <v>-786.59999999999945</v>
      </c>
    </row>
    <row r="125" spans="6:68" x14ac:dyDescent="0.25">
      <c r="F125" s="489"/>
      <c r="G125" s="71" t="s">
        <v>118</v>
      </c>
      <c r="H125" s="93">
        <f>'Table Format Calculations'!K87</f>
        <v>93</v>
      </c>
      <c r="I125" s="299"/>
      <c r="J125" s="299"/>
      <c r="K125" s="299"/>
      <c r="L125" s="299"/>
      <c r="M125" s="299"/>
      <c r="N125" s="299"/>
      <c r="O125" s="299"/>
      <c r="P125" s="299"/>
      <c r="Q125" s="299"/>
      <c r="R125" s="304"/>
      <c r="S125" s="299"/>
      <c r="T125" s="299"/>
      <c r="U125" s="299"/>
      <c r="V125" s="299"/>
      <c r="W125" s="299"/>
      <c r="X125" s="299"/>
      <c r="Y125" s="299"/>
      <c r="Z125" s="299"/>
      <c r="AA125" s="299"/>
      <c r="AB125" s="297">
        <f>'Table Format Calculations'!P87</f>
        <v>759.44</v>
      </c>
      <c r="AC125" s="304"/>
      <c r="AD125" s="304"/>
      <c r="AE125" s="304"/>
      <c r="AF125" s="304"/>
      <c r="AG125" s="304"/>
      <c r="AH125" s="304"/>
      <c r="AI125" s="304"/>
      <c r="AJ125" s="304"/>
      <c r="AK125" s="289"/>
      <c r="AL125" s="290"/>
      <c r="AM125" s="290"/>
      <c r="AN125" s="290"/>
      <c r="AO125" s="290"/>
      <c r="AP125" s="290"/>
      <c r="AQ125" s="290"/>
      <c r="AR125" s="290"/>
      <c r="AS125" s="290"/>
      <c r="AT125" s="290"/>
      <c r="AU125" s="290"/>
      <c r="AV125" s="290"/>
      <c r="AW125" s="290"/>
      <c r="AX125" s="290"/>
      <c r="AY125" s="290"/>
      <c r="AZ125" s="290"/>
      <c r="BA125" s="290"/>
      <c r="BB125" s="290"/>
      <c r="BC125" s="290"/>
      <c r="BD125" s="290"/>
      <c r="BE125" s="290"/>
      <c r="BF125" s="290"/>
      <c r="BG125" s="290"/>
      <c r="BH125" s="290"/>
      <c r="BI125" s="290"/>
      <c r="BJ125" s="290"/>
      <c r="BK125" s="290"/>
      <c r="BL125" s="290"/>
      <c r="BM125" s="290"/>
      <c r="BN125" s="290"/>
      <c r="BO125" s="290"/>
      <c r="BP125" s="352">
        <f>'Table Format Calculations'!T87</f>
        <v>32655.560000000005</v>
      </c>
    </row>
    <row r="126" spans="6:68" ht="15.75" thickBot="1" x14ac:dyDescent="0.3">
      <c r="F126" s="490"/>
      <c r="G126" s="73" t="s">
        <v>105</v>
      </c>
      <c r="H126" s="93">
        <f>'Table Format Calculations'!K88</f>
        <v>5.56</v>
      </c>
      <c r="I126" s="290"/>
      <c r="J126" s="290"/>
      <c r="K126" s="290"/>
      <c r="L126" s="290"/>
      <c r="M126" s="290"/>
      <c r="N126" s="290"/>
      <c r="O126" s="290"/>
      <c r="P126" s="290"/>
      <c r="Q126" s="290"/>
      <c r="R126" s="290"/>
      <c r="S126" s="290"/>
      <c r="T126" s="290"/>
      <c r="U126" s="290"/>
      <c r="V126" s="290"/>
      <c r="W126" s="290"/>
      <c r="X126" s="290"/>
      <c r="Y126" s="290"/>
      <c r="Z126" s="290"/>
      <c r="AA126" s="290"/>
      <c r="AB126" s="297">
        <f>'Table Format Calculations'!P88</f>
        <v>5.56</v>
      </c>
      <c r="AC126" s="290"/>
      <c r="AD126" s="290"/>
      <c r="AE126" s="290"/>
      <c r="AF126" s="290"/>
      <c r="AG126" s="290"/>
      <c r="AH126" s="290"/>
      <c r="AI126" s="290"/>
      <c r="AJ126" s="290"/>
      <c r="AK126" s="290"/>
      <c r="AL126" s="290"/>
      <c r="AM126" s="290"/>
      <c r="AN126" s="290"/>
      <c r="AO126" s="290"/>
      <c r="AP126" s="290"/>
      <c r="AQ126" s="290"/>
      <c r="AR126" s="290"/>
      <c r="AS126" s="290"/>
      <c r="AT126" s="290"/>
      <c r="AU126" s="290"/>
      <c r="AV126" s="290"/>
      <c r="AW126" s="290"/>
      <c r="AX126" s="290"/>
      <c r="AY126" s="290"/>
      <c r="AZ126" s="290"/>
      <c r="BA126" s="290"/>
      <c r="BB126" s="290"/>
      <c r="BC126" s="290"/>
      <c r="BD126" s="290"/>
      <c r="BE126" s="290"/>
      <c r="BF126" s="290"/>
      <c r="BG126" s="290"/>
      <c r="BH126" s="290"/>
      <c r="BI126" s="290"/>
      <c r="BJ126" s="290"/>
      <c r="BK126" s="290"/>
      <c r="BL126" s="290"/>
      <c r="BM126" s="290"/>
      <c r="BN126" s="290"/>
      <c r="BO126" s="290"/>
      <c r="BP126" s="352">
        <f>'Table Format Calculations'!T88</f>
        <v>0</v>
      </c>
    </row>
    <row r="127" spans="6:68" x14ac:dyDescent="0.25">
      <c r="F127" s="483" t="s">
        <v>107</v>
      </c>
      <c r="G127" s="89" t="s">
        <v>108</v>
      </c>
      <c r="H127" s="104">
        <f>'Table Format Calculations'!L135</f>
        <v>26497535.899999999</v>
      </c>
      <c r="I127" s="290"/>
      <c r="J127" s="290"/>
      <c r="K127" s="290"/>
      <c r="L127" s="290"/>
      <c r="M127" s="290"/>
      <c r="N127" s="290"/>
      <c r="O127" s="290"/>
      <c r="P127" s="290"/>
      <c r="Q127" s="290"/>
      <c r="R127" s="290"/>
      <c r="S127" s="290"/>
      <c r="T127" s="290"/>
      <c r="U127" s="290"/>
      <c r="V127" s="290"/>
      <c r="W127" s="290"/>
      <c r="X127" s="290"/>
      <c r="Y127" s="290"/>
      <c r="Z127" s="290"/>
      <c r="AA127" s="290"/>
      <c r="AB127" s="305">
        <f>'Table Format Calculations'!O134</f>
        <v>39746303.849999994</v>
      </c>
      <c r="AC127" s="290"/>
      <c r="AD127" s="290"/>
      <c r="AE127" s="290"/>
      <c r="AF127" s="290"/>
      <c r="AG127" s="290"/>
      <c r="AH127" s="290"/>
      <c r="AI127" s="290"/>
      <c r="AJ127" s="290"/>
      <c r="AK127" s="290"/>
      <c r="AL127" s="290"/>
      <c r="AM127" s="290"/>
      <c r="AN127" s="290"/>
      <c r="AO127" s="290"/>
      <c r="AP127" s="290"/>
      <c r="AQ127" s="290"/>
      <c r="AR127" s="290"/>
      <c r="AS127" s="290"/>
      <c r="AT127" s="290"/>
      <c r="AU127" s="290"/>
      <c r="AV127" s="290"/>
      <c r="AW127" s="290"/>
      <c r="AX127" s="290"/>
      <c r="AY127" s="290"/>
      <c r="AZ127" s="290"/>
      <c r="BA127" s="290"/>
      <c r="BB127" s="290"/>
      <c r="BC127" s="290"/>
      <c r="BD127" s="290"/>
      <c r="BE127" s="290"/>
      <c r="BF127" s="290"/>
      <c r="BG127" s="290"/>
      <c r="BH127" s="290"/>
      <c r="BI127" s="290"/>
      <c r="BJ127" s="290"/>
      <c r="BK127" s="290"/>
      <c r="BL127" s="290"/>
      <c r="BM127" s="290"/>
      <c r="BN127" s="290"/>
      <c r="BO127" s="290"/>
      <c r="BP127" s="352"/>
    </row>
    <row r="128" spans="6:68" x14ac:dyDescent="0.25">
      <c r="F128" s="484"/>
      <c r="G128" s="71" t="s">
        <v>121</v>
      </c>
      <c r="H128" s="104">
        <f>'Table Format Calculations'!L129</f>
        <v>1581466</v>
      </c>
      <c r="I128" s="290"/>
      <c r="J128" s="290"/>
      <c r="K128" s="290"/>
      <c r="L128" s="290"/>
      <c r="M128" s="290"/>
      <c r="N128" s="290"/>
      <c r="O128" s="290"/>
      <c r="P128" s="290"/>
      <c r="Q128" s="290"/>
      <c r="R128" s="290"/>
      <c r="S128" s="290"/>
      <c r="T128" s="290"/>
      <c r="U128" s="290"/>
      <c r="V128" s="290"/>
      <c r="W128" s="290"/>
      <c r="X128" s="290"/>
      <c r="Y128" s="290"/>
      <c r="Z128" s="290"/>
      <c r="AA128" s="290"/>
      <c r="AB128" s="305">
        <f>'Table Format Calculations'!O129</f>
        <v>1581465.9999999739</v>
      </c>
      <c r="AC128" s="290"/>
      <c r="AD128" s="290"/>
      <c r="AE128" s="290"/>
      <c r="AF128" s="290"/>
      <c r="AG128" s="290"/>
      <c r="AH128" s="290"/>
      <c r="AI128" s="290"/>
      <c r="AJ128" s="290"/>
      <c r="AK128" s="290"/>
      <c r="AL128" s="290"/>
      <c r="AM128" s="290"/>
      <c r="AN128" s="290"/>
      <c r="AO128" s="290"/>
      <c r="AP128" s="290"/>
      <c r="AQ128" s="290"/>
      <c r="AR128" s="290"/>
      <c r="AS128" s="290"/>
      <c r="AT128" s="290"/>
      <c r="AU128" s="290"/>
      <c r="AV128" s="290"/>
      <c r="AW128" s="290"/>
      <c r="AX128" s="290"/>
      <c r="AY128" s="290"/>
      <c r="AZ128" s="290"/>
      <c r="BA128" s="290"/>
      <c r="BB128" s="290"/>
      <c r="BC128" s="290"/>
      <c r="BD128" s="290"/>
      <c r="BE128" s="290"/>
      <c r="BF128" s="290"/>
      <c r="BG128" s="290"/>
      <c r="BH128" s="290"/>
      <c r="BI128" s="290"/>
      <c r="BJ128" s="290"/>
      <c r="BK128" s="290"/>
      <c r="BL128" s="290"/>
      <c r="BM128" s="290"/>
      <c r="BN128" s="290"/>
      <c r="BO128" s="290"/>
      <c r="BP128" s="352">
        <f>'Table Format Calculations'!Q129</f>
        <v>-1.7233732220128214E-10</v>
      </c>
    </row>
    <row r="129" spans="1:68" x14ac:dyDescent="0.25">
      <c r="F129" s="484"/>
      <c r="G129" s="71" t="s">
        <v>110</v>
      </c>
      <c r="H129" s="104">
        <f>'Table Format Calculations'!L130</f>
        <v>10713001</v>
      </c>
      <c r="I129" s="290"/>
      <c r="J129" s="290"/>
      <c r="K129" s="290"/>
      <c r="L129" s="290"/>
      <c r="M129" s="290"/>
      <c r="N129" s="290"/>
      <c r="O129" s="290"/>
      <c r="P129" s="290"/>
      <c r="Q129" s="290"/>
      <c r="R129" s="290"/>
      <c r="S129" s="290"/>
      <c r="T129" s="290"/>
      <c r="U129" s="290"/>
      <c r="V129" s="290"/>
      <c r="W129" s="290"/>
      <c r="X129" s="290"/>
      <c r="Y129" s="290"/>
      <c r="Z129" s="290"/>
      <c r="AA129" s="290"/>
      <c r="AB129" s="305">
        <f>'Table Format Calculations'!O130</f>
        <v>15809065.181377295</v>
      </c>
      <c r="AC129" s="290"/>
      <c r="AD129" s="290"/>
      <c r="AE129" s="290"/>
      <c r="AF129" s="290"/>
      <c r="AG129" s="290"/>
      <c r="AH129" s="290"/>
      <c r="AI129" s="290"/>
      <c r="AJ129" s="290"/>
      <c r="AK129" s="290"/>
      <c r="AL129" s="290"/>
      <c r="AM129" s="290"/>
      <c r="AN129" s="290"/>
      <c r="AO129" s="290"/>
      <c r="AP129" s="290"/>
      <c r="AQ129" s="290"/>
      <c r="AR129" s="290"/>
      <c r="AS129" s="290"/>
      <c r="AT129" s="290"/>
      <c r="AU129" s="290"/>
      <c r="AV129" s="290"/>
      <c r="AW129" s="290"/>
      <c r="AX129" s="290"/>
      <c r="AY129" s="290"/>
      <c r="AZ129" s="290"/>
      <c r="BA129" s="290"/>
      <c r="BB129" s="290"/>
      <c r="BC129" s="290"/>
      <c r="BD129" s="290"/>
      <c r="BE129" s="290"/>
      <c r="BF129" s="290"/>
      <c r="BG129" s="290"/>
      <c r="BH129" s="290"/>
      <c r="BI129" s="290"/>
      <c r="BJ129" s="290"/>
      <c r="BK129" s="290"/>
      <c r="BL129" s="290"/>
      <c r="BM129" s="290"/>
      <c r="BN129" s="290"/>
      <c r="BO129" s="290"/>
      <c r="BP129" s="352">
        <f>'Table Format Calculations'!Q130</f>
        <v>41475.108632684904</v>
      </c>
    </row>
    <row r="130" spans="1:68" x14ac:dyDescent="0.25">
      <c r="F130" s="484"/>
      <c r="G130" s="71" t="s">
        <v>212</v>
      </c>
      <c r="H130" s="104">
        <f>'Table Format Calculations'!L131</f>
        <v>1248949</v>
      </c>
      <c r="I130" s="290"/>
      <c r="J130" s="290"/>
      <c r="K130" s="290"/>
      <c r="L130" s="290"/>
      <c r="M130" s="290"/>
      <c r="N130" s="290"/>
      <c r="O130" s="290"/>
      <c r="P130" s="290"/>
      <c r="Q130" s="290"/>
      <c r="R130" s="290"/>
      <c r="S130" s="290"/>
      <c r="T130" s="290"/>
      <c r="U130" s="290"/>
      <c r="V130" s="290"/>
      <c r="W130" s="290"/>
      <c r="X130" s="290"/>
      <c r="Y130" s="290"/>
      <c r="Z130" s="290"/>
      <c r="AA130" s="290"/>
      <c r="AB130" s="305">
        <f>'Table Format Calculations'!O131</f>
        <v>1248949</v>
      </c>
      <c r="AC130" s="290"/>
      <c r="AD130" s="290"/>
      <c r="AE130" s="290"/>
      <c r="AF130" s="290"/>
      <c r="AG130" s="290"/>
      <c r="AH130" s="290"/>
      <c r="AI130" s="290"/>
      <c r="AJ130" s="290"/>
      <c r="AK130" s="290"/>
      <c r="AL130" s="290"/>
      <c r="AM130" s="290"/>
      <c r="AN130" s="290"/>
      <c r="AO130" s="290"/>
      <c r="AP130" s="290"/>
      <c r="AQ130" s="290"/>
      <c r="AR130" s="290"/>
      <c r="AS130" s="290"/>
      <c r="AT130" s="290"/>
      <c r="AU130" s="290"/>
      <c r="AV130" s="290"/>
      <c r="AW130" s="290"/>
      <c r="AX130" s="290"/>
      <c r="AY130" s="290"/>
      <c r="AZ130" s="290"/>
      <c r="BA130" s="290"/>
      <c r="BB130" s="290"/>
      <c r="BC130" s="290"/>
      <c r="BD130" s="290"/>
      <c r="BE130" s="290"/>
      <c r="BF130" s="290"/>
      <c r="BG130" s="290"/>
      <c r="BH130" s="290"/>
      <c r="BI130" s="290"/>
      <c r="BJ130" s="290"/>
      <c r="BK130" s="290"/>
      <c r="BL130" s="290"/>
      <c r="BM130" s="290"/>
      <c r="BN130" s="290"/>
      <c r="BO130" s="290"/>
      <c r="BP130" s="352">
        <f>'Table Format Calculations'!Q131</f>
        <v>0</v>
      </c>
    </row>
    <row r="131" spans="1:68" x14ac:dyDescent="0.25">
      <c r="F131" s="484"/>
      <c r="G131" s="71" t="s">
        <v>106</v>
      </c>
      <c r="H131" s="104">
        <f>'Table Format Calculations'!L132</f>
        <v>578495.69999999995</v>
      </c>
      <c r="I131" s="290"/>
      <c r="J131" s="290"/>
      <c r="K131" s="290"/>
      <c r="L131" s="290"/>
      <c r="M131" s="290"/>
      <c r="N131" s="290"/>
      <c r="O131" s="290"/>
      <c r="P131" s="290"/>
      <c r="Q131" s="290"/>
      <c r="R131" s="290"/>
      <c r="S131" s="290"/>
      <c r="T131" s="290"/>
      <c r="U131" s="290"/>
      <c r="V131" s="290"/>
      <c r="W131" s="290"/>
      <c r="X131" s="290"/>
      <c r="Y131" s="290"/>
      <c r="Z131" s="290"/>
      <c r="AA131" s="290"/>
      <c r="AB131" s="305">
        <f>'Table Format Calculations'!O132</f>
        <v>8731199.4686227199</v>
      </c>
      <c r="AC131" s="290"/>
      <c r="AD131" s="290"/>
      <c r="AE131" s="290"/>
      <c r="AF131" s="290"/>
      <c r="AG131" s="290"/>
      <c r="AH131" s="290"/>
      <c r="AI131" s="290"/>
      <c r="AJ131" s="290"/>
      <c r="AK131" s="290"/>
      <c r="AL131" s="290"/>
      <c r="AM131" s="290"/>
      <c r="AN131" s="290"/>
      <c r="AO131" s="290"/>
      <c r="AP131" s="290"/>
      <c r="AQ131" s="290"/>
      <c r="AR131" s="290"/>
      <c r="AS131" s="290"/>
      <c r="AT131" s="290"/>
      <c r="AU131" s="290"/>
      <c r="AV131" s="290"/>
      <c r="AW131" s="290"/>
      <c r="AX131" s="290"/>
      <c r="AY131" s="290"/>
      <c r="AZ131" s="290"/>
      <c r="BA131" s="290"/>
      <c r="BB131" s="290"/>
      <c r="BC131" s="290"/>
      <c r="BD131" s="290"/>
      <c r="BE131" s="290"/>
      <c r="BF131" s="290"/>
      <c r="BG131" s="290"/>
      <c r="BH131" s="290"/>
      <c r="BI131" s="290"/>
      <c r="BJ131" s="290"/>
      <c r="BK131" s="290"/>
      <c r="BL131" s="290"/>
      <c r="BM131" s="290"/>
      <c r="BN131" s="290"/>
      <c r="BO131" s="290"/>
      <c r="BP131" s="352">
        <f>'Table Format Calculations'!Q132</f>
        <v>218887.08072551744</v>
      </c>
    </row>
    <row r="132" spans="1:68" ht="15.75" thickBot="1" x14ac:dyDescent="0.3">
      <c r="F132" s="485"/>
      <c r="G132" s="73" t="s">
        <v>111</v>
      </c>
      <c r="H132" s="104">
        <f>'Table Format Calculations'!L133</f>
        <v>12375624.199999999</v>
      </c>
      <c r="I132" s="290"/>
      <c r="J132" s="290"/>
      <c r="K132" s="290"/>
      <c r="L132" s="290"/>
      <c r="M132" s="290"/>
      <c r="N132" s="290"/>
      <c r="O132" s="290"/>
      <c r="P132" s="290"/>
      <c r="Q132" s="290"/>
      <c r="R132" s="290"/>
      <c r="S132" s="290"/>
      <c r="T132" s="290"/>
      <c r="U132" s="290"/>
      <c r="V132" s="290"/>
      <c r="W132" s="290"/>
      <c r="X132" s="290"/>
      <c r="Y132" s="290"/>
      <c r="Z132" s="290"/>
      <c r="AA132" s="290"/>
      <c r="AB132" s="305">
        <f>'Table Format Calculations'!O133</f>
        <v>12375624.199999999</v>
      </c>
      <c r="AC132" s="290"/>
      <c r="AD132" s="290"/>
      <c r="AE132" s="290"/>
      <c r="AF132" s="290"/>
      <c r="AG132" s="290"/>
      <c r="AH132" s="290"/>
      <c r="AI132" s="290"/>
      <c r="AJ132" s="290"/>
      <c r="AK132" s="290"/>
      <c r="AL132" s="290"/>
      <c r="AM132" s="290"/>
      <c r="AN132" s="290"/>
      <c r="AO132" s="290"/>
      <c r="AP132" s="290"/>
      <c r="AQ132" s="290"/>
      <c r="AR132" s="290"/>
      <c r="AS132" s="290"/>
      <c r="AT132" s="290"/>
      <c r="AU132" s="290"/>
      <c r="AV132" s="290"/>
      <c r="AW132" s="290"/>
      <c r="AX132" s="290"/>
      <c r="AY132" s="290"/>
      <c r="AZ132" s="290"/>
      <c r="BA132" s="290"/>
      <c r="BB132" s="290"/>
      <c r="BC132" s="290"/>
      <c r="BD132" s="290"/>
      <c r="BE132" s="290"/>
      <c r="BF132" s="290"/>
      <c r="BG132" s="290"/>
      <c r="BH132" s="290"/>
      <c r="BI132" s="290"/>
      <c r="BJ132" s="290"/>
      <c r="BK132" s="290"/>
      <c r="BL132" s="290"/>
      <c r="BM132" s="290"/>
      <c r="BN132" s="290"/>
      <c r="BO132" s="290"/>
      <c r="BP132" s="352">
        <f>'Table Format Calculations'!Q133</f>
        <v>0</v>
      </c>
    </row>
    <row r="133" spans="1:68" ht="15.75" thickBot="1" x14ac:dyDescent="0.3">
      <c r="F133" s="347" t="s">
        <v>263</v>
      </c>
      <c r="G133" s="349" t="s">
        <v>253</v>
      </c>
      <c r="H133" s="104">
        <f>'Table Format Calculations'!J147</f>
        <v>4296500</v>
      </c>
      <c r="I133" s="299"/>
      <c r="J133" s="299"/>
      <c r="K133" s="299"/>
      <c r="L133" s="299"/>
      <c r="M133" s="299"/>
      <c r="N133" s="299"/>
      <c r="O133" s="299"/>
      <c r="P133" s="299"/>
      <c r="Q133" s="299"/>
      <c r="R133" s="304"/>
      <c r="S133" s="299"/>
      <c r="T133" s="299"/>
      <c r="U133" s="299"/>
      <c r="V133" s="299"/>
      <c r="W133" s="299"/>
      <c r="X133" s="299"/>
      <c r="Y133" s="299"/>
      <c r="Z133" s="299"/>
      <c r="AA133" s="299"/>
      <c r="AB133" s="305">
        <f>'Table Format Calculations'!M147</f>
        <v>4296500</v>
      </c>
      <c r="AC133" s="304"/>
      <c r="AD133" s="304"/>
      <c r="AE133" s="304"/>
      <c r="AF133" s="304"/>
      <c r="AG133" s="304"/>
      <c r="AH133" s="304"/>
      <c r="AI133" s="304"/>
      <c r="AJ133" s="304"/>
      <c r="AK133" s="289"/>
      <c r="AL133" s="290"/>
      <c r="AM133" s="290"/>
      <c r="AN133" s="290"/>
      <c r="AO133" s="290"/>
      <c r="AP133" s="290"/>
      <c r="AQ133" s="290"/>
      <c r="AR133" s="290"/>
      <c r="AS133" s="290"/>
      <c r="AT133" s="290"/>
      <c r="AU133" s="290"/>
      <c r="AV133" s="290"/>
      <c r="AW133" s="290"/>
      <c r="AX133" s="290"/>
      <c r="AY133" s="290"/>
      <c r="AZ133" s="290"/>
      <c r="BA133" s="290"/>
      <c r="BB133" s="290"/>
      <c r="BC133" s="290"/>
      <c r="BD133" s="290"/>
      <c r="BE133" s="290"/>
      <c r="BF133" s="290"/>
      <c r="BG133" s="290"/>
      <c r="BH133" s="290"/>
      <c r="BI133" s="290"/>
      <c r="BJ133" s="290"/>
      <c r="BK133" s="290"/>
      <c r="BL133" s="290"/>
      <c r="BM133" s="290"/>
      <c r="BN133" s="290"/>
      <c r="BO133" s="290"/>
      <c r="BP133" s="352">
        <f>'Table Format Calculations'!Q147</f>
        <v>0</v>
      </c>
    </row>
    <row r="140" spans="1:68" x14ac:dyDescent="0.25">
      <c r="A140" s="355" t="s">
        <v>270</v>
      </c>
    </row>
    <row r="141" spans="1:68" x14ac:dyDescent="0.25">
      <c r="A141" s="356">
        <f>ROUND(B141,2)</f>
        <v>0</v>
      </c>
      <c r="B141">
        <f>(Simulator2!D10-Simulator2!G10)*100</f>
        <v>5.1019397040441561E-10</v>
      </c>
      <c r="C141">
        <f>B141*100</f>
        <v>5.1019397040441561E-8</v>
      </c>
      <c r="D141" s="277"/>
      <c r="E141" s="277"/>
      <c r="F141" s="277"/>
    </row>
    <row r="142" spans="1:68" x14ac:dyDescent="0.25">
      <c r="A142" s="356">
        <f>ROUND(B142,2)</f>
        <v>0</v>
      </c>
      <c r="B142">
        <f>(Simulator2!D11-Simulator2!G11)*100</f>
        <v>-4.3287345929954313E-9</v>
      </c>
      <c r="C142">
        <f>B142*100</f>
        <v>-4.3287345929954313E-7</v>
      </c>
      <c r="D142" s="277"/>
      <c r="E142" s="277"/>
      <c r="F142" s="277"/>
    </row>
    <row r="143" spans="1:68" x14ac:dyDescent="0.25">
      <c r="A143" s="356">
        <f>ROUND(B143,2)</f>
        <v>0</v>
      </c>
      <c r="B143">
        <f>(Simulator2!D12-Simulator2!G12)*100</f>
        <v>-6.7228459521562201E-5</v>
      </c>
      <c r="C143">
        <f>B143*100</f>
        <v>-6.7228459521562201E-3</v>
      </c>
      <c r="D143" s="277"/>
      <c r="E143" s="277"/>
      <c r="F143" s="277"/>
    </row>
    <row r="144" spans="1:68" x14ac:dyDescent="0.25">
      <c r="A144" s="356"/>
      <c r="D144" s="277"/>
      <c r="E144" s="277"/>
      <c r="F144" s="203"/>
    </row>
    <row r="145" spans="1:16" x14ac:dyDescent="0.25">
      <c r="D145" s="277" t="s">
        <v>271</v>
      </c>
      <c r="E145" s="277"/>
      <c r="F145" s="277"/>
    </row>
    <row r="146" spans="1:16" x14ac:dyDescent="0.25">
      <c r="A146" t="s">
        <v>272</v>
      </c>
      <c r="D146" s="277">
        <v>214740.74561379175</v>
      </c>
      <c r="E146" s="277"/>
      <c r="F146" s="277"/>
    </row>
    <row r="147" spans="1:16" x14ac:dyDescent="0.25">
      <c r="A147" s="19" t="s">
        <v>274</v>
      </c>
      <c r="B147" s="19" t="str">
        <f>IF(A141=0,"Pepsi Blue","")</f>
        <v>Pepsi Blue</v>
      </c>
      <c r="C147" s="19">
        <f>IF(LEN(B147)&gt;0,1,0)</f>
        <v>1</v>
      </c>
      <c r="D147" s="19" t="str">
        <f>IF(C147&gt;0,CHAR(10)&amp;"- "&amp;B147,"")</f>
        <v xml:space="preserve">
- Pepsi Blue</v>
      </c>
    </row>
    <row r="148" spans="1:16" x14ac:dyDescent="0.25">
      <c r="A148" s="19" t="s">
        <v>275</v>
      </c>
      <c r="B148" s="19" t="str">
        <f>IF(A142=0,"Pepsi Black","")</f>
        <v>Pepsi Black</v>
      </c>
      <c r="C148" s="19">
        <f>IF(LEN(B148)&gt;0,1,0)+C147</f>
        <v>2</v>
      </c>
      <c r="D148" s="19" t="str">
        <f>IF(C148&lt;&gt;C147,D147&amp;CHAR(10)&amp;"- "&amp;B148,D147)</f>
        <v xml:space="preserve">
- Pepsi Blue
- Pepsi Black</v>
      </c>
    </row>
    <row r="149" spans="1:16" x14ac:dyDescent="0.25">
      <c r="A149" s="19" t="s">
        <v>276</v>
      </c>
      <c r="B149" s="19" t="str">
        <f>IF(A143=0,"Mirinda","")</f>
        <v>Mirinda</v>
      </c>
      <c r="C149" s="19">
        <f>IF(LEN(B149)&gt;0,1,0)+C148</f>
        <v>3</v>
      </c>
      <c r="D149" s="19" t="str">
        <f>IF(C149&lt;&gt;C148,D148&amp;CHAR(10)&amp;"- "&amp;B149,D148)</f>
        <v xml:space="preserve">
- Pepsi Blue
- Pepsi Black
- Mirinda</v>
      </c>
    </row>
    <row r="150" spans="1:16" ht="180" x14ac:dyDescent="0.25">
      <c r="A150" s="19"/>
      <c r="B150" s="19"/>
      <c r="C150" s="19"/>
      <c r="D150" s="19"/>
      <c r="E150" s="357" t="str">
        <f>IF(LEN(D149)&gt;0,"Growth Achived for: "&amp;D149,"")</f>
        <v>Growth Achived for: 
- Pepsi Blue
- Pepsi Black
- Mirinda</v>
      </c>
      <c r="F150" s="357" t="str">
        <f>IF(SUM(A141:A144)=0,"Growth Achieved for All the Brands."&amp;CHAR(10)&amp;CHAR(10)&amp;"Please update the values in case the highlighted cells are not as expected."&amp;CHAR(10)&amp;"Click OK to continue.","")</f>
        <v>Growth Achieved for All the Brands.
Please update the values in case the highlighted cells are not as expected.
Click OK to continue.</v>
      </c>
    </row>
    <row r="151" spans="1:16" x14ac:dyDescent="0.25">
      <c r="A151" s="358" t="s">
        <v>273</v>
      </c>
    </row>
    <row r="152" spans="1:16" x14ac:dyDescent="0.25">
      <c r="A152" s="19" t="s">
        <v>277</v>
      </c>
      <c r="B152" s="19" t="str">
        <f>IF(A141&lt;&gt;0,"Pepsi Blue","")</f>
        <v/>
      </c>
      <c r="C152" s="19">
        <f>IF(LEN(B152)&gt;0,1,0)</f>
        <v>0</v>
      </c>
      <c r="D152" s="19" t="str">
        <f>IF(C152&gt;0,CHAR(10)&amp;"- "&amp;B152&amp;" by "&amp;A141&amp;"%","")</f>
        <v/>
      </c>
    </row>
    <row r="153" spans="1:16" x14ac:dyDescent="0.25">
      <c r="A153" s="19" t="s">
        <v>278</v>
      </c>
      <c r="B153" s="19" t="str">
        <f>IF(A142&lt;&gt;0,"Pepsi Black","")</f>
        <v/>
      </c>
      <c r="C153" s="19">
        <f>IF(LEN(B153)&gt;0,1,0)+C152</f>
        <v>0</v>
      </c>
      <c r="D153" s="19" t="str">
        <f>IF(C153&lt;&gt;C152,D152&amp;CHAR(10)&amp;"- "&amp;B153&amp;" by "&amp;A142&amp;"%",D152)</f>
        <v/>
      </c>
    </row>
    <row r="154" spans="1:16" x14ac:dyDescent="0.25">
      <c r="A154" s="19" t="s">
        <v>279</v>
      </c>
      <c r="B154" s="19" t="str">
        <f>IF(A143&lt;&gt;0,"Mirinda","")</f>
        <v/>
      </c>
      <c r="C154" s="19">
        <f>IF(LEN(B154)&gt;0,1,0)+C153</f>
        <v>0</v>
      </c>
      <c r="D154" s="19" t="str">
        <f>IF(C154&lt;&gt;C153,D153&amp;CHAR(10)&amp;"- "&amp;B154&amp;" by "&amp;A143&amp;"%",D153)</f>
        <v/>
      </c>
      <c r="E154" s="357" t="str">
        <f>IF(LEN(D154)&gt;0,"Missed growth target for: "&amp;D154,"")</f>
        <v/>
      </c>
    </row>
    <row r="155" spans="1:16" x14ac:dyDescent="0.25">
      <c r="A155" s="19"/>
      <c r="B155" s="19"/>
      <c r="C155" s="19"/>
      <c r="D155" s="19"/>
    </row>
    <row r="157" spans="1:16" x14ac:dyDescent="0.25">
      <c r="H157" t="s">
        <v>339</v>
      </c>
    </row>
    <row r="158" spans="1:16" x14ac:dyDescent="0.25">
      <c r="I158" t="s">
        <v>311</v>
      </c>
      <c r="J158">
        <v>2020</v>
      </c>
      <c r="K158">
        <v>2021</v>
      </c>
      <c r="L158" t="s">
        <v>312</v>
      </c>
      <c r="M158" t="s">
        <v>313</v>
      </c>
    </row>
    <row r="159" spans="1:16" x14ac:dyDescent="0.25">
      <c r="H159" t="s">
        <v>314</v>
      </c>
      <c r="I159">
        <v>151.5</v>
      </c>
      <c r="J159">
        <v>152.80000000000001</v>
      </c>
      <c r="K159">
        <v>159.4</v>
      </c>
      <c r="L159" s="233">
        <v>5.1999999999999998E-2</v>
      </c>
      <c r="M159" s="233">
        <v>4.2999999999999997E-2</v>
      </c>
      <c r="O159" s="204"/>
      <c r="P159" s="204"/>
    </row>
    <row r="160" spans="1:16" x14ac:dyDescent="0.25">
      <c r="H160" t="s">
        <v>38</v>
      </c>
      <c r="I160">
        <v>8</v>
      </c>
      <c r="J160">
        <v>9.6</v>
      </c>
      <c r="K160">
        <v>12.1</v>
      </c>
      <c r="L160" s="233">
        <v>0.51100000000000001</v>
      </c>
      <c r="M160" s="233">
        <v>0.252</v>
      </c>
      <c r="O160" s="204"/>
      <c r="P160" s="204"/>
    </row>
    <row r="162" spans="8:16" x14ac:dyDescent="0.25">
      <c r="H162" t="s">
        <v>340</v>
      </c>
    </row>
    <row r="163" spans="8:16" x14ac:dyDescent="0.25">
      <c r="H163" t="s">
        <v>315</v>
      </c>
      <c r="I163">
        <v>2019</v>
      </c>
      <c r="J163">
        <v>2020</v>
      </c>
      <c r="K163">
        <v>2021</v>
      </c>
      <c r="M163" t="s">
        <v>316</v>
      </c>
      <c r="N163" t="s">
        <v>313</v>
      </c>
      <c r="O163" t="s">
        <v>312</v>
      </c>
    </row>
    <row r="164" spans="8:16" x14ac:dyDescent="0.25">
      <c r="H164" t="s">
        <v>314</v>
      </c>
      <c r="I164" s="433">
        <v>151.53827899999999</v>
      </c>
      <c r="J164" s="433">
        <f>K164/(M159+1)</f>
        <v>152.84589598082454</v>
      </c>
      <c r="K164" s="433">
        <v>159.41826950799998</v>
      </c>
      <c r="M164" s="204">
        <f>J164/I164-1</f>
        <v>8.6289549376799002E-3</v>
      </c>
      <c r="N164" s="204">
        <f>K164/J164-1</f>
        <v>4.2999999999999927E-2</v>
      </c>
      <c r="O164" s="204">
        <f>K164/I164-1</f>
        <v>5.2000000000000046E-2</v>
      </c>
    </row>
    <row r="165" spans="8:16" x14ac:dyDescent="0.25">
      <c r="H165" t="s">
        <v>38</v>
      </c>
      <c r="I165" s="433">
        <v>7.9821020000000003</v>
      </c>
      <c r="J165" s="433">
        <f>K165/(M160+1)</f>
        <v>9.6333515351437704</v>
      </c>
      <c r="K165" s="433">
        <v>12.060956122</v>
      </c>
      <c r="M165" s="204">
        <f>J165/I165-1</f>
        <v>0.20686900958466459</v>
      </c>
      <c r="N165" s="204">
        <f>K165/J165-1</f>
        <v>0.252</v>
      </c>
      <c r="O165" s="204">
        <f>K165/I165-1</f>
        <v>0.5109999999999999</v>
      </c>
    </row>
    <row r="167" spans="8:16" x14ac:dyDescent="0.25">
      <c r="H167" t="s">
        <v>317</v>
      </c>
      <c r="I167">
        <v>2019</v>
      </c>
      <c r="J167">
        <v>2020</v>
      </c>
      <c r="K167">
        <v>2021</v>
      </c>
      <c r="M167" t="s">
        <v>316</v>
      </c>
      <c r="N167" t="s">
        <v>313</v>
      </c>
    </row>
    <row r="168" spans="8:16" x14ac:dyDescent="0.25">
      <c r="H168" t="s">
        <v>314</v>
      </c>
      <c r="I168" s="4">
        <v>142299266</v>
      </c>
      <c r="J168" s="194">
        <f>I168+(I168*M164)</f>
        <v>143527159.95397893</v>
      </c>
      <c r="K168" s="194">
        <f>J168+(J168*N164)</f>
        <v>149698827.83200002</v>
      </c>
      <c r="M168" s="204">
        <f>J168/I168-1</f>
        <v>8.6289549376799002E-3</v>
      </c>
      <c r="N168" s="204">
        <f>K168/J168-1</f>
        <v>4.2999999999999927E-2</v>
      </c>
    </row>
    <row r="169" spans="8:16" x14ac:dyDescent="0.25">
      <c r="H169" t="s">
        <v>38</v>
      </c>
      <c r="I169" s="4">
        <v>6868436</v>
      </c>
      <c r="J169" s="194">
        <f>I169+(I169*M165)</f>
        <v>8289302.5527156554</v>
      </c>
      <c r="K169" s="194">
        <f>J169+(J169*N165)</f>
        <v>10378206.796</v>
      </c>
      <c r="M169" s="204">
        <f>J169/I169-1</f>
        <v>0.20686900958466459</v>
      </c>
      <c r="N169" s="204">
        <f>K169/J169-1</f>
        <v>0.252</v>
      </c>
    </row>
    <row r="171" spans="8:16" x14ac:dyDescent="0.25">
      <c r="I171">
        <v>2019</v>
      </c>
      <c r="K171">
        <v>2020</v>
      </c>
      <c r="L171">
        <v>2021</v>
      </c>
      <c r="N171" t="s">
        <v>316</v>
      </c>
      <c r="O171" t="s">
        <v>313</v>
      </c>
      <c r="P171" t="s">
        <v>312</v>
      </c>
    </row>
    <row r="172" spans="8:16" x14ac:dyDescent="0.25">
      <c r="H172" t="s">
        <v>12</v>
      </c>
      <c r="I172" s="4">
        <v>134633606</v>
      </c>
      <c r="J172" s="203">
        <f>I172/$I$168</f>
        <v>0.94613001025599108</v>
      </c>
      <c r="K172" s="194">
        <f>J172*$J$168</f>
        <v>135795353.31927136</v>
      </c>
      <c r="L172" s="194">
        <f>J172*$K$168</f>
        <v>141634553.51200002</v>
      </c>
      <c r="N172" s="204">
        <f>K172/I172-1</f>
        <v>8.6289549376799002E-3</v>
      </c>
      <c r="O172" s="204">
        <f>L172/K172-1</f>
        <v>4.2999999999999927E-2</v>
      </c>
      <c r="P172" s="204">
        <f>L172/I172-1</f>
        <v>5.2000000000000268E-2</v>
      </c>
    </row>
    <row r="173" spans="8:16" x14ac:dyDescent="0.25">
      <c r="H173" t="s">
        <v>30</v>
      </c>
      <c r="I173" s="4">
        <v>7665660</v>
      </c>
      <c r="J173" s="203">
        <f>I173/$I$168</f>
        <v>5.3869989744008938E-2</v>
      </c>
      <c r="K173" s="194">
        <f>J173*$J$168</f>
        <v>7731806.6347075747</v>
      </c>
      <c r="L173" s="194">
        <f>J173*$K$168</f>
        <v>8064274.3200000003</v>
      </c>
      <c r="N173" s="204">
        <f t="shared" ref="N173:N174" si="49">K173/I173-1</f>
        <v>8.6289549376799002E-3</v>
      </c>
      <c r="O173" s="204">
        <f t="shared" ref="O173:O174" si="50">L173/K173-1</f>
        <v>4.2999999999999927E-2</v>
      </c>
      <c r="P173" s="204">
        <f t="shared" ref="P173:P174" si="51">L173/I173-1</f>
        <v>5.2000000000000046E-2</v>
      </c>
    </row>
    <row r="174" spans="8:16" x14ac:dyDescent="0.25">
      <c r="H174" t="s">
        <v>38</v>
      </c>
      <c r="I174" s="4">
        <v>6868436</v>
      </c>
      <c r="K174" s="194">
        <f>J169</f>
        <v>8289302.5527156554</v>
      </c>
      <c r="L174" s="194">
        <f>K169</f>
        <v>10378206.796</v>
      </c>
      <c r="N174" s="204">
        <f t="shared" si="49"/>
        <v>0.20686900958466459</v>
      </c>
      <c r="O174" s="204">
        <f t="shared" si="50"/>
        <v>0.252</v>
      </c>
      <c r="P174" s="204">
        <f t="shared" si="51"/>
        <v>0.51100000000000012</v>
      </c>
    </row>
    <row r="176" spans="8:16" x14ac:dyDescent="0.25">
      <c r="I176">
        <v>2019</v>
      </c>
      <c r="L176">
        <v>2021</v>
      </c>
      <c r="O176" t="s">
        <v>312</v>
      </c>
    </row>
    <row r="177" spans="8:15" x14ac:dyDescent="0.25">
      <c r="H177" t="s">
        <v>347</v>
      </c>
      <c r="I177" s="194">
        <f>SUM(I178:I179)</f>
        <v>142299266</v>
      </c>
      <c r="K177" s="194"/>
      <c r="L177" s="194">
        <f>SUM(L178:L179)</f>
        <v>149681558.28799999</v>
      </c>
      <c r="N177" s="204"/>
      <c r="O177" s="204">
        <f>L177/I177-1</f>
        <v>5.187863926156866E-2</v>
      </c>
    </row>
    <row r="178" spans="8:15" x14ac:dyDescent="0.25">
      <c r="H178" t="s">
        <v>12</v>
      </c>
      <c r="I178" s="4">
        <v>134633606</v>
      </c>
      <c r="K178" s="194"/>
      <c r="L178" s="194">
        <f>(I178*O178)+I178</f>
        <v>141096019.088</v>
      </c>
      <c r="N178" s="204"/>
      <c r="O178" s="204">
        <v>4.8000000000000001E-2</v>
      </c>
    </row>
    <row r="179" spans="8:15" x14ac:dyDescent="0.25">
      <c r="H179" t="s">
        <v>30</v>
      </c>
      <c r="I179" s="4">
        <v>7665660</v>
      </c>
      <c r="K179" s="194"/>
      <c r="L179" s="194">
        <f>(I179*O179)+I179</f>
        <v>8585539.1999999993</v>
      </c>
      <c r="N179" s="204"/>
      <c r="O179" s="204">
        <v>0.12</v>
      </c>
    </row>
    <row r="182" spans="8:15" x14ac:dyDescent="0.25">
      <c r="I182">
        <v>2019</v>
      </c>
      <c r="L182">
        <v>2021</v>
      </c>
      <c r="O182" t="s">
        <v>312</v>
      </c>
    </row>
    <row r="183" spans="8:15" x14ac:dyDescent="0.25">
      <c r="H183" t="s">
        <v>347</v>
      </c>
      <c r="I183" s="194">
        <f>SUM(I184:I185)</f>
        <v>142299266</v>
      </c>
      <c r="K183" s="194"/>
      <c r="L183" s="194">
        <f>SUM(L184:L185)</f>
        <v>149682968.338</v>
      </c>
      <c r="N183" s="204"/>
      <c r="O183" s="204">
        <f>L183/I183-1</f>
        <v>5.1888548307761573E-2</v>
      </c>
    </row>
    <row r="184" spans="8:15" x14ac:dyDescent="0.25">
      <c r="H184" t="s">
        <v>12</v>
      </c>
      <c r="I184" s="4">
        <v>134633606</v>
      </c>
      <c r="K184" s="194"/>
      <c r="L184" s="194">
        <f>(I184*O184)+I184</f>
        <v>140422851.058</v>
      </c>
      <c r="N184" s="204"/>
      <c r="O184" s="204">
        <f>Simulator2!D10</f>
        <v>4.2999999999999997E-2</v>
      </c>
    </row>
    <row r="185" spans="8:15" x14ac:dyDescent="0.25">
      <c r="H185" t="s">
        <v>30</v>
      </c>
      <c r="I185" s="4">
        <v>7665660</v>
      </c>
      <c r="K185" s="194"/>
      <c r="L185" s="194">
        <f>(I185*O185)+I185</f>
        <v>9260117.2799999993</v>
      </c>
      <c r="N185" s="204"/>
      <c r="O185" s="204">
        <f>Simulator2!D11</f>
        <v>0.20799999999999999</v>
      </c>
    </row>
  </sheetData>
  <mergeCells count="35">
    <mergeCell ref="AU32:BN32"/>
    <mergeCell ref="J2:K2"/>
    <mergeCell ref="D46:E46"/>
    <mergeCell ref="D45:E45"/>
    <mergeCell ref="G49:Z49"/>
    <mergeCell ref="AA49:AT49"/>
    <mergeCell ref="G32:Z32"/>
    <mergeCell ref="AA32:AT32"/>
    <mergeCell ref="J9:K9"/>
    <mergeCell ref="C8:C10"/>
    <mergeCell ref="C41:E41"/>
    <mergeCell ref="C42:E42"/>
    <mergeCell ref="C43:E43"/>
    <mergeCell ref="D44:E44"/>
    <mergeCell ref="C25:D27"/>
    <mergeCell ref="F59:G59"/>
    <mergeCell ref="H59:AA59"/>
    <mergeCell ref="AB59:AU59"/>
    <mergeCell ref="AV59:BO59"/>
    <mergeCell ref="F60:G60"/>
    <mergeCell ref="F61:BO63"/>
    <mergeCell ref="F67:G67"/>
    <mergeCell ref="F68:F75"/>
    <mergeCell ref="F76:F80"/>
    <mergeCell ref="F81:F84"/>
    <mergeCell ref="F88:BO90"/>
    <mergeCell ref="BP88:BP90"/>
    <mergeCell ref="F94:G94"/>
    <mergeCell ref="F95:F102"/>
    <mergeCell ref="F103:F107"/>
    <mergeCell ref="F112:BO114"/>
    <mergeCell ref="BP112:BP114"/>
    <mergeCell ref="F118:G118"/>
    <mergeCell ref="F119:F126"/>
    <mergeCell ref="F127:F132"/>
  </mergeCells>
  <conditionalFormatting sqref="K3:K6">
    <cfRule type="notContainsBlanks" dxfId="9" priority="17">
      <formula>LEN(TRIM(K3))&gt;0</formula>
    </cfRule>
    <cfRule type="containsBlanks" dxfId="8" priority="18">
      <formula>LEN(TRIM(K3))=0</formula>
    </cfRule>
  </conditionalFormatting>
  <conditionalFormatting sqref="F41:F43">
    <cfRule type="notContainsBlanks" dxfId="7" priority="15">
      <formula>LEN(TRIM(F41))&gt;0</formula>
    </cfRule>
    <cfRule type="containsBlanks" dxfId="6" priority="16">
      <formula>LEN(TRIM(F41))=0</formula>
    </cfRule>
  </conditionalFormatting>
  <conditionalFormatting sqref="F44:F46">
    <cfRule type="notContainsBlanks" dxfId="5" priority="9">
      <formula>LEN(TRIM(F44))&gt;0</formula>
    </cfRule>
    <cfRule type="containsBlanks" dxfId="4" priority="10">
      <formula>LEN(TRIM(F44))=0</formula>
    </cfRule>
  </conditionalFormatting>
  <conditionalFormatting sqref="E8:E10">
    <cfRule type="notContainsBlanks" dxfId="3" priority="3">
      <formula>LEN(TRIM(E8))&gt;0</formula>
    </cfRule>
    <cfRule type="containsBlanks" dxfId="2" priority="4">
      <formula>LEN(TRIM(E8))=0</formula>
    </cfRule>
  </conditionalFormatting>
  <conditionalFormatting sqref="K10:K13">
    <cfRule type="notContainsBlanks" dxfId="1" priority="1">
      <formula>LEN(TRIM(K10))&gt;0</formula>
    </cfRule>
    <cfRule type="containsBlanks" dxfId="0" priority="2">
      <formula>LEN(TRIM(K10))=0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44</vt:i4>
      </vt:variant>
    </vt:vector>
  </HeadingPairs>
  <TitlesOfParts>
    <vt:vector size="53" baseType="lpstr">
      <vt:lpstr>Queries in simulator</vt:lpstr>
      <vt:lpstr>Simulator2</vt:lpstr>
      <vt:lpstr>Table Format Calculations</vt:lpstr>
      <vt:lpstr>Simulator- Data</vt:lpstr>
      <vt:lpstr>Calculator_Calculations</vt:lpstr>
      <vt:lpstr>Calculator</vt:lpstr>
      <vt:lpstr>Summary</vt:lpstr>
      <vt:lpstr>Table Format Calculations_Blue</vt:lpstr>
      <vt:lpstr>Thai input</vt:lpstr>
      <vt:lpstr>black_check</vt:lpstr>
      <vt:lpstr>DA_Range</vt:lpstr>
      <vt:lpstr>final_result_fe</vt:lpstr>
      <vt:lpstr>final_results_be</vt:lpstr>
      <vt:lpstr>Media_Digital_Range</vt:lpstr>
      <vt:lpstr>Media_KOL_Range</vt:lpstr>
      <vt:lpstr>Media_OOH_Range</vt:lpstr>
      <vt:lpstr>Media_TV_Range</vt:lpstr>
      <vt:lpstr>Mirinda_Digital</vt:lpstr>
      <vt:lpstr>Mirinda_KOL</vt:lpstr>
      <vt:lpstr>Mirinda_Price_Dist</vt:lpstr>
      <vt:lpstr>Mirinda_range1</vt:lpstr>
      <vt:lpstr>Mirinda_range2</vt:lpstr>
      <vt:lpstr>Mirinda_range3</vt:lpstr>
      <vt:lpstr>Mirinda_range4</vt:lpstr>
      <vt:lpstr>Mirinda_sim1</vt:lpstr>
      <vt:lpstr>Mirinda_Thai_1</vt:lpstr>
      <vt:lpstr>Mirinda_Trade</vt:lpstr>
      <vt:lpstr>Mirinda_TV</vt:lpstr>
      <vt:lpstr>Pepsi_Black_Digital</vt:lpstr>
      <vt:lpstr>Pepsi_Black_OOH</vt:lpstr>
      <vt:lpstr>Pepsi_black_Price_Dist</vt:lpstr>
      <vt:lpstr>Pepsi_Black_range_1</vt:lpstr>
      <vt:lpstr>Pepsi_Black_range2</vt:lpstr>
      <vt:lpstr>Pepsi_Black_range3</vt:lpstr>
      <vt:lpstr>Pepsi_Black_range4</vt:lpstr>
      <vt:lpstr>Pepsi_Black_sim1</vt:lpstr>
      <vt:lpstr>Pepsi_Black_Thai_1</vt:lpstr>
      <vt:lpstr>Pepsi_Black_Trade</vt:lpstr>
      <vt:lpstr>Pepsi_Black_TV</vt:lpstr>
      <vt:lpstr>Pepsi_Blue_Digital</vt:lpstr>
      <vt:lpstr>Pepsi_Blue_KOL</vt:lpstr>
      <vt:lpstr>Pepsi_Blue_OOH</vt:lpstr>
      <vt:lpstr>Pepsi_Blue_Price_Dist</vt:lpstr>
      <vt:lpstr>Pepsi_Blue_range1</vt:lpstr>
      <vt:lpstr>Pepsi_Blue_range2</vt:lpstr>
      <vt:lpstr>Pepsi_Blue_range3</vt:lpstr>
      <vt:lpstr>Pepsi_Blue_range4</vt:lpstr>
      <vt:lpstr>Pepsi_Blue_sim1</vt:lpstr>
      <vt:lpstr>Pepsi_Blue_Thai_1</vt:lpstr>
      <vt:lpstr>Pepsi_Blue_Trade</vt:lpstr>
      <vt:lpstr>Pepsi_Blue_TV</vt:lpstr>
      <vt:lpstr>summary_flag</vt:lpstr>
      <vt:lpstr>summary_flag1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Thakur, Akanksha - Contractor {PI}</dc:creator>
  <cp:lastModifiedBy>Thakur, Akanksha - Contractor {PI}</cp:lastModifiedBy>
  <dcterms:created xsi:type="dcterms:W3CDTF">2020-09-01T04:40:55Z</dcterms:created>
  <dcterms:modified xsi:type="dcterms:W3CDTF">2020-10-14T06:03:12Z</dcterms:modified>
</cp:coreProperties>
</file>